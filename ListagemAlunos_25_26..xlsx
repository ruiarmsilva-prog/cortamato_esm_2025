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monserrateorg-my.sharepoint.com/personal/ruiarmsilva_esmonserrate_org/Documents/Documentos/Ano létivo 25_26/"/>
    </mc:Choice>
  </mc:AlternateContent>
  <xr:revisionPtr revIDLastSave="114" documentId="8_{7B85338B-91AD-44FE-8884-D42AE6EF782D}" xr6:coauthVersionLast="47" xr6:coauthVersionMax="47" xr10:uidLastSave="{1D896758-4E36-4B45-BB98-D20E77B33CFE}"/>
  <bookViews>
    <workbookView xWindow="-98" yWindow="-98" windowWidth="20715" windowHeight="13155" xr2:uid="{9243D316-CFFB-4470-8E60-63311BD66A18}"/>
  </bookViews>
  <sheets>
    <sheet name="Sh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 s="1"/>
  <c r="H4" i="1" s="1"/>
  <c r="G4" i="1" s="1"/>
  <c r="J5" i="1"/>
  <c r="I5" i="1" s="1"/>
  <c r="H5" i="1" s="1"/>
  <c r="G5" i="1" s="1"/>
  <c r="J6" i="1"/>
  <c r="I6" i="1" s="1"/>
  <c r="H6" i="1" s="1"/>
  <c r="G6" i="1" s="1"/>
  <c r="J7" i="1"/>
  <c r="I7" i="1" s="1"/>
  <c r="H7" i="1" s="1"/>
  <c r="G7" i="1" s="1"/>
  <c r="J8" i="1"/>
  <c r="I8" i="1" s="1"/>
  <c r="H8" i="1" s="1"/>
  <c r="G8" i="1" s="1"/>
  <c r="J9" i="1"/>
  <c r="I9" i="1" s="1"/>
  <c r="H9" i="1" s="1"/>
  <c r="G9" i="1" s="1"/>
  <c r="J10" i="1"/>
  <c r="I10" i="1" s="1"/>
  <c r="H10" i="1" s="1"/>
  <c r="G10" i="1" s="1"/>
  <c r="J11" i="1"/>
  <c r="I11" i="1" s="1"/>
  <c r="H11" i="1" s="1"/>
  <c r="G11" i="1" s="1"/>
  <c r="J12" i="1"/>
  <c r="I12" i="1" s="1"/>
  <c r="H12" i="1" s="1"/>
  <c r="G12" i="1" s="1"/>
  <c r="J13" i="1"/>
  <c r="I13" i="1" s="1"/>
  <c r="H13" i="1" s="1"/>
  <c r="G13" i="1" s="1"/>
  <c r="J14" i="1"/>
  <c r="I14" i="1" s="1"/>
  <c r="H14" i="1" s="1"/>
  <c r="G14" i="1" s="1"/>
  <c r="J15" i="1"/>
  <c r="I15" i="1" s="1"/>
  <c r="H15" i="1" s="1"/>
  <c r="G15" i="1" s="1"/>
  <c r="J16" i="1"/>
  <c r="I16" i="1" s="1"/>
  <c r="H16" i="1" s="1"/>
  <c r="G16" i="1" s="1"/>
  <c r="J17" i="1"/>
  <c r="I17" i="1" s="1"/>
  <c r="H17" i="1" s="1"/>
  <c r="G17" i="1" s="1"/>
  <c r="J18" i="1"/>
  <c r="I18" i="1" s="1"/>
  <c r="H18" i="1" s="1"/>
  <c r="G18" i="1" s="1"/>
  <c r="J19" i="1"/>
  <c r="I19" i="1" s="1"/>
  <c r="H19" i="1" s="1"/>
  <c r="G19" i="1" s="1"/>
  <c r="J20" i="1"/>
  <c r="I20" i="1" s="1"/>
  <c r="H20" i="1" s="1"/>
  <c r="G20" i="1" s="1"/>
  <c r="J21" i="1"/>
  <c r="I21" i="1" s="1"/>
  <c r="H21" i="1" s="1"/>
  <c r="G21" i="1" s="1"/>
  <c r="J22" i="1"/>
  <c r="I22" i="1" s="1"/>
  <c r="H22" i="1" s="1"/>
  <c r="G22" i="1" s="1"/>
  <c r="I23" i="1"/>
  <c r="H23" i="1" s="1"/>
  <c r="G23" i="1" s="1"/>
  <c r="J23" i="1"/>
  <c r="J24" i="1"/>
  <c r="I24" i="1" s="1"/>
  <c r="H24" i="1" s="1"/>
  <c r="G24" i="1" s="1"/>
  <c r="I25" i="1"/>
  <c r="H25" i="1" s="1"/>
  <c r="G25" i="1" s="1"/>
  <c r="J25" i="1"/>
  <c r="J26" i="1"/>
  <c r="I26" i="1" s="1"/>
  <c r="H26" i="1" s="1"/>
  <c r="G26" i="1" s="1"/>
  <c r="J27" i="1"/>
  <c r="I27" i="1" s="1"/>
  <c r="H27" i="1" s="1"/>
  <c r="G27" i="1" s="1"/>
  <c r="J28" i="1"/>
  <c r="I28" i="1" s="1"/>
  <c r="H28" i="1" s="1"/>
  <c r="G28" i="1" s="1"/>
  <c r="I29" i="1"/>
  <c r="H29" i="1" s="1"/>
  <c r="G29" i="1" s="1"/>
  <c r="J29" i="1"/>
  <c r="J30" i="1"/>
  <c r="I30" i="1" s="1"/>
  <c r="H30" i="1" s="1"/>
  <c r="G30" i="1" s="1"/>
  <c r="J31" i="1"/>
  <c r="I31" i="1" s="1"/>
  <c r="H31" i="1" s="1"/>
  <c r="G31" i="1" s="1"/>
  <c r="J32" i="1"/>
  <c r="I32" i="1" s="1"/>
  <c r="H32" i="1" s="1"/>
  <c r="G32" i="1" s="1"/>
  <c r="J33" i="1"/>
  <c r="I33" i="1" s="1"/>
  <c r="H33" i="1" s="1"/>
  <c r="G33" i="1" s="1"/>
  <c r="J34" i="1"/>
  <c r="I34" i="1" s="1"/>
  <c r="H34" i="1" s="1"/>
  <c r="G34" i="1" s="1"/>
  <c r="J35" i="1"/>
  <c r="I35" i="1" s="1"/>
  <c r="H35" i="1" s="1"/>
  <c r="G35" i="1" s="1"/>
  <c r="J36" i="1"/>
  <c r="I36" i="1" s="1"/>
  <c r="H36" i="1" s="1"/>
  <c r="G36" i="1" s="1"/>
  <c r="J37" i="1"/>
  <c r="I37" i="1" s="1"/>
  <c r="H37" i="1" s="1"/>
  <c r="G37" i="1" s="1"/>
  <c r="J38" i="1"/>
  <c r="I38" i="1" s="1"/>
  <c r="H38" i="1" s="1"/>
  <c r="G38" i="1" s="1"/>
  <c r="J39" i="1"/>
  <c r="I39" i="1" s="1"/>
  <c r="H39" i="1" s="1"/>
  <c r="G39" i="1" s="1"/>
  <c r="J40" i="1"/>
  <c r="I40" i="1" s="1"/>
  <c r="H40" i="1" s="1"/>
  <c r="G40" i="1" s="1"/>
  <c r="J41" i="1"/>
  <c r="I41" i="1" s="1"/>
  <c r="H41" i="1" s="1"/>
  <c r="G41" i="1" s="1"/>
  <c r="J42" i="1"/>
  <c r="I42" i="1" s="1"/>
  <c r="H42" i="1" s="1"/>
  <c r="G42" i="1" s="1"/>
  <c r="J43" i="1"/>
  <c r="I43" i="1" s="1"/>
  <c r="H43" i="1" s="1"/>
  <c r="G43" i="1" s="1"/>
  <c r="J44" i="1"/>
  <c r="I44" i="1" s="1"/>
  <c r="H44" i="1" s="1"/>
  <c r="G44" i="1" s="1"/>
  <c r="J45" i="1"/>
  <c r="I45" i="1" s="1"/>
  <c r="H45" i="1" s="1"/>
  <c r="G45" i="1" s="1"/>
  <c r="J46" i="1"/>
  <c r="I46" i="1" s="1"/>
  <c r="H46" i="1" s="1"/>
  <c r="G46" i="1" s="1"/>
  <c r="J47" i="1"/>
  <c r="I47" i="1" s="1"/>
  <c r="H47" i="1" s="1"/>
  <c r="G47" i="1" s="1"/>
  <c r="J48" i="1"/>
  <c r="I48" i="1" s="1"/>
  <c r="H48" i="1" s="1"/>
  <c r="G48" i="1" s="1"/>
  <c r="I49" i="1"/>
  <c r="H49" i="1" s="1"/>
  <c r="G49" i="1" s="1"/>
  <c r="J49" i="1"/>
  <c r="J50" i="1"/>
  <c r="I50" i="1" s="1"/>
  <c r="H50" i="1" s="1"/>
  <c r="G50" i="1" s="1"/>
  <c r="J51" i="1"/>
  <c r="I51" i="1" s="1"/>
  <c r="H51" i="1" s="1"/>
  <c r="G51" i="1" s="1"/>
  <c r="J52" i="1"/>
  <c r="I52" i="1" s="1"/>
  <c r="H52" i="1" s="1"/>
  <c r="G52" i="1" s="1"/>
  <c r="J53" i="1"/>
  <c r="I53" i="1" s="1"/>
  <c r="H53" i="1" s="1"/>
  <c r="G53" i="1" s="1"/>
  <c r="J54" i="1"/>
  <c r="I54" i="1" s="1"/>
  <c r="H54" i="1" s="1"/>
  <c r="G54" i="1" s="1"/>
  <c r="J55" i="1"/>
  <c r="I55" i="1" s="1"/>
  <c r="H55" i="1" s="1"/>
  <c r="G55" i="1" s="1"/>
  <c r="J56" i="1"/>
  <c r="I56" i="1" s="1"/>
  <c r="H56" i="1" s="1"/>
  <c r="G56" i="1" s="1"/>
  <c r="J57" i="1"/>
  <c r="I57" i="1" s="1"/>
  <c r="H57" i="1" s="1"/>
  <c r="G57" i="1" s="1"/>
  <c r="J58" i="1"/>
  <c r="I58" i="1" s="1"/>
  <c r="H58" i="1" s="1"/>
  <c r="G58" i="1" s="1"/>
  <c r="J59" i="1"/>
  <c r="I59" i="1" s="1"/>
  <c r="H59" i="1" s="1"/>
  <c r="G59" i="1" s="1"/>
  <c r="J60" i="1"/>
  <c r="I60" i="1" s="1"/>
  <c r="H60" i="1" s="1"/>
  <c r="G60" i="1" s="1"/>
  <c r="J61" i="1"/>
  <c r="I61" i="1" s="1"/>
  <c r="H61" i="1" s="1"/>
  <c r="G61" i="1" s="1"/>
  <c r="J62" i="1"/>
  <c r="I62" i="1" s="1"/>
  <c r="H62" i="1" s="1"/>
  <c r="G62" i="1" s="1"/>
  <c r="J63" i="1"/>
  <c r="I63" i="1" s="1"/>
  <c r="H63" i="1" s="1"/>
  <c r="G63" i="1" s="1"/>
  <c r="J64" i="1"/>
  <c r="I64" i="1" s="1"/>
  <c r="H64" i="1" s="1"/>
  <c r="G64" i="1" s="1"/>
  <c r="I65" i="1"/>
  <c r="H65" i="1" s="1"/>
  <c r="G65" i="1" s="1"/>
  <c r="J65" i="1"/>
  <c r="J66" i="1"/>
  <c r="I66" i="1" s="1"/>
  <c r="H66" i="1" s="1"/>
  <c r="G66" i="1" s="1"/>
  <c r="J67" i="1"/>
  <c r="I67" i="1" s="1"/>
  <c r="H67" i="1" s="1"/>
  <c r="G67" i="1" s="1"/>
  <c r="J68" i="1"/>
  <c r="I68" i="1" s="1"/>
  <c r="H68" i="1" s="1"/>
  <c r="G68" i="1" s="1"/>
  <c r="J69" i="1"/>
  <c r="I69" i="1" s="1"/>
  <c r="H69" i="1" s="1"/>
  <c r="G69" i="1" s="1"/>
  <c r="J70" i="1"/>
  <c r="I70" i="1" s="1"/>
  <c r="H70" i="1" s="1"/>
  <c r="G70" i="1" s="1"/>
  <c r="J71" i="1"/>
  <c r="I71" i="1" s="1"/>
  <c r="H71" i="1" s="1"/>
  <c r="G71" i="1" s="1"/>
  <c r="J72" i="1"/>
  <c r="I72" i="1" s="1"/>
  <c r="H72" i="1" s="1"/>
  <c r="G72" i="1" s="1"/>
  <c r="H73" i="1"/>
  <c r="G73" i="1" s="1"/>
  <c r="I73" i="1"/>
  <c r="J73" i="1"/>
  <c r="J74" i="1"/>
  <c r="I74" i="1" s="1"/>
  <c r="H74" i="1" s="1"/>
  <c r="G74" i="1" s="1"/>
  <c r="J75" i="1"/>
  <c r="I75" i="1" s="1"/>
  <c r="H75" i="1" s="1"/>
  <c r="G75" i="1" s="1"/>
  <c r="J76" i="1"/>
  <c r="I76" i="1" s="1"/>
  <c r="H76" i="1" s="1"/>
  <c r="G76" i="1" s="1"/>
  <c r="I77" i="1"/>
  <c r="H77" i="1" s="1"/>
  <c r="G77" i="1" s="1"/>
  <c r="J77" i="1"/>
  <c r="J78" i="1"/>
  <c r="I78" i="1" s="1"/>
  <c r="H78" i="1" s="1"/>
  <c r="G78" i="1" s="1"/>
  <c r="H79" i="1"/>
  <c r="G79" i="1" s="1"/>
  <c r="J79" i="1"/>
  <c r="I79" i="1" s="1"/>
  <c r="J80" i="1"/>
  <c r="I80" i="1" s="1"/>
  <c r="H80" i="1" s="1"/>
  <c r="G80" i="1" s="1"/>
  <c r="H81" i="1"/>
  <c r="G81" i="1" s="1"/>
  <c r="I81" i="1"/>
  <c r="J81" i="1"/>
  <c r="J82" i="1"/>
  <c r="I82" i="1" s="1"/>
  <c r="H82" i="1" s="1"/>
  <c r="G82" i="1" s="1"/>
  <c r="J83" i="1"/>
  <c r="I83" i="1" s="1"/>
  <c r="H83" i="1" s="1"/>
  <c r="G83" i="1" s="1"/>
  <c r="J84" i="1"/>
  <c r="I84" i="1" s="1"/>
  <c r="H84" i="1" s="1"/>
  <c r="G84" i="1" s="1"/>
  <c r="I85" i="1"/>
  <c r="H85" i="1" s="1"/>
  <c r="G85" i="1" s="1"/>
  <c r="J85" i="1"/>
  <c r="J86" i="1"/>
  <c r="I86" i="1" s="1"/>
  <c r="H86" i="1" s="1"/>
  <c r="G86" i="1" s="1"/>
  <c r="H87" i="1"/>
  <c r="G87" i="1" s="1"/>
  <c r="I87" i="1"/>
  <c r="J87" i="1"/>
  <c r="J88" i="1"/>
  <c r="I88" i="1" s="1"/>
  <c r="H88" i="1" s="1"/>
  <c r="G88" i="1" s="1"/>
  <c r="J89" i="1"/>
  <c r="I89" i="1" s="1"/>
  <c r="H89" i="1" s="1"/>
  <c r="G89" i="1" s="1"/>
  <c r="J90" i="1"/>
  <c r="I90" i="1" s="1"/>
  <c r="H90" i="1" s="1"/>
  <c r="G90" i="1" s="1"/>
  <c r="J91" i="1"/>
  <c r="I91" i="1" s="1"/>
  <c r="H91" i="1" s="1"/>
  <c r="G91" i="1" s="1"/>
  <c r="J92" i="1"/>
  <c r="I92" i="1" s="1"/>
  <c r="H92" i="1" s="1"/>
  <c r="G92" i="1" s="1"/>
  <c r="J93" i="1"/>
  <c r="I93" i="1" s="1"/>
  <c r="H93" i="1" s="1"/>
  <c r="G93" i="1" s="1"/>
  <c r="J94" i="1"/>
  <c r="I94" i="1" s="1"/>
  <c r="H94" i="1" s="1"/>
  <c r="G94" i="1" s="1"/>
  <c r="J95" i="1"/>
  <c r="I95" i="1" s="1"/>
  <c r="H95" i="1" s="1"/>
  <c r="G95" i="1" s="1"/>
  <c r="J96" i="1"/>
  <c r="I96" i="1" s="1"/>
  <c r="H96" i="1" s="1"/>
  <c r="G96" i="1" s="1"/>
  <c r="J97" i="1"/>
  <c r="I97" i="1" s="1"/>
  <c r="H97" i="1" s="1"/>
  <c r="G97" i="1" s="1"/>
  <c r="J98" i="1"/>
  <c r="I98" i="1" s="1"/>
  <c r="H98" i="1" s="1"/>
  <c r="G98" i="1" s="1"/>
  <c r="I99" i="1"/>
  <c r="H99" i="1" s="1"/>
  <c r="G99" i="1" s="1"/>
  <c r="J99" i="1"/>
  <c r="J100" i="1"/>
  <c r="I100" i="1" s="1"/>
  <c r="H100" i="1" s="1"/>
  <c r="G100" i="1" s="1"/>
  <c r="J101" i="1"/>
  <c r="I101" i="1" s="1"/>
  <c r="H101" i="1" s="1"/>
  <c r="G101" i="1" s="1"/>
  <c r="J102" i="1"/>
  <c r="I102" i="1" s="1"/>
  <c r="H102" i="1" s="1"/>
  <c r="G102" i="1" s="1"/>
  <c r="J103" i="1"/>
  <c r="I103" i="1" s="1"/>
  <c r="H103" i="1" s="1"/>
  <c r="G103" i="1" s="1"/>
  <c r="J104" i="1"/>
  <c r="I104" i="1" s="1"/>
  <c r="H104" i="1" s="1"/>
  <c r="G104" i="1" s="1"/>
  <c r="I105" i="1"/>
  <c r="H105" i="1" s="1"/>
  <c r="G105" i="1" s="1"/>
  <c r="J105" i="1"/>
  <c r="J106" i="1"/>
  <c r="I106" i="1" s="1"/>
  <c r="H106" i="1" s="1"/>
  <c r="G106" i="1" s="1"/>
  <c r="J107" i="1"/>
  <c r="I107" i="1" s="1"/>
  <c r="H107" i="1" s="1"/>
  <c r="G107" i="1" s="1"/>
  <c r="J108" i="1"/>
  <c r="I108" i="1" s="1"/>
  <c r="H108" i="1" s="1"/>
  <c r="G108" i="1" s="1"/>
  <c r="J109" i="1"/>
  <c r="I109" i="1" s="1"/>
  <c r="H109" i="1" s="1"/>
  <c r="G109" i="1" s="1"/>
  <c r="J110" i="1"/>
  <c r="I110" i="1" s="1"/>
  <c r="H110" i="1" s="1"/>
  <c r="G110" i="1" s="1"/>
  <c r="I111" i="1"/>
  <c r="H111" i="1" s="1"/>
  <c r="G111" i="1" s="1"/>
  <c r="J111" i="1"/>
  <c r="J112" i="1"/>
  <c r="I112" i="1" s="1"/>
  <c r="H112" i="1" s="1"/>
  <c r="G112" i="1" s="1"/>
  <c r="J113" i="1"/>
  <c r="I113" i="1" s="1"/>
  <c r="H113" i="1" s="1"/>
  <c r="G113" i="1" s="1"/>
  <c r="J114" i="1"/>
  <c r="I114" i="1" s="1"/>
  <c r="H114" i="1" s="1"/>
  <c r="G114" i="1" s="1"/>
  <c r="J115" i="1"/>
  <c r="I115" i="1" s="1"/>
  <c r="H115" i="1" s="1"/>
  <c r="G115" i="1" s="1"/>
  <c r="J116" i="1"/>
  <c r="I116" i="1" s="1"/>
  <c r="H116" i="1" s="1"/>
  <c r="G116" i="1" s="1"/>
  <c r="I117" i="1"/>
  <c r="H117" i="1" s="1"/>
  <c r="G117" i="1" s="1"/>
  <c r="J117" i="1"/>
  <c r="J118" i="1"/>
  <c r="I118" i="1" s="1"/>
  <c r="H118" i="1" s="1"/>
  <c r="G118" i="1" s="1"/>
  <c r="I119" i="1"/>
  <c r="H119" i="1" s="1"/>
  <c r="G119" i="1" s="1"/>
  <c r="J119" i="1"/>
  <c r="J120" i="1"/>
  <c r="I120" i="1" s="1"/>
  <c r="H120" i="1" s="1"/>
  <c r="G120" i="1" s="1"/>
  <c r="J121" i="1"/>
  <c r="I121" i="1" s="1"/>
  <c r="H121" i="1" s="1"/>
  <c r="G121" i="1" s="1"/>
  <c r="J122" i="1"/>
  <c r="I122" i="1" s="1"/>
  <c r="H122" i="1" s="1"/>
  <c r="G122" i="1" s="1"/>
  <c r="J123" i="1"/>
  <c r="I123" i="1" s="1"/>
  <c r="H123" i="1" s="1"/>
  <c r="G123" i="1" s="1"/>
  <c r="J124" i="1"/>
  <c r="I124" i="1" s="1"/>
  <c r="H124" i="1" s="1"/>
  <c r="G124" i="1" s="1"/>
  <c r="H125" i="1"/>
  <c r="G125" i="1" s="1"/>
  <c r="I125" i="1"/>
  <c r="J125" i="1"/>
  <c r="J126" i="1"/>
  <c r="I126" i="1" s="1"/>
  <c r="H126" i="1" s="1"/>
  <c r="G126" i="1" s="1"/>
  <c r="J127" i="1"/>
  <c r="I127" i="1" s="1"/>
  <c r="H127" i="1" s="1"/>
  <c r="G127" i="1" s="1"/>
  <c r="J128" i="1"/>
  <c r="I128" i="1" s="1"/>
  <c r="H128" i="1" s="1"/>
  <c r="G128" i="1" s="1"/>
  <c r="I129" i="1"/>
  <c r="H129" i="1" s="1"/>
  <c r="G129" i="1" s="1"/>
  <c r="J129" i="1"/>
  <c r="J130" i="1"/>
  <c r="I130" i="1" s="1"/>
  <c r="H130" i="1" s="1"/>
  <c r="G130" i="1" s="1"/>
  <c r="I131" i="1"/>
  <c r="H131" i="1" s="1"/>
  <c r="G131" i="1" s="1"/>
  <c r="J131" i="1"/>
  <c r="J132" i="1"/>
  <c r="I132" i="1" s="1"/>
  <c r="H132" i="1" s="1"/>
  <c r="G132" i="1" s="1"/>
  <c r="J133" i="1"/>
  <c r="I133" i="1" s="1"/>
  <c r="H133" i="1" s="1"/>
  <c r="G133" i="1" s="1"/>
  <c r="J134" i="1"/>
  <c r="I134" i="1" s="1"/>
  <c r="H134" i="1" s="1"/>
  <c r="G134" i="1" s="1"/>
  <c r="I135" i="1"/>
  <c r="H135" i="1" s="1"/>
  <c r="G135" i="1" s="1"/>
  <c r="J135" i="1"/>
  <c r="J136" i="1"/>
  <c r="I136" i="1" s="1"/>
  <c r="H136" i="1" s="1"/>
  <c r="G136" i="1" s="1"/>
  <c r="H137" i="1"/>
  <c r="G137" i="1" s="1"/>
  <c r="J137" i="1"/>
  <c r="I137" i="1" s="1"/>
  <c r="J138" i="1"/>
  <c r="I138" i="1" s="1"/>
  <c r="H138" i="1" s="1"/>
  <c r="G138" i="1" s="1"/>
  <c r="J139" i="1"/>
  <c r="I139" i="1" s="1"/>
  <c r="H139" i="1" s="1"/>
  <c r="G139" i="1" s="1"/>
  <c r="J140" i="1"/>
  <c r="I140" i="1" s="1"/>
  <c r="H140" i="1" s="1"/>
  <c r="G140" i="1" s="1"/>
  <c r="J141" i="1"/>
  <c r="I141" i="1" s="1"/>
  <c r="H141" i="1" s="1"/>
  <c r="G141" i="1" s="1"/>
  <c r="J142" i="1"/>
  <c r="I142" i="1" s="1"/>
  <c r="H142" i="1" s="1"/>
  <c r="G142" i="1" s="1"/>
  <c r="H143" i="1"/>
  <c r="G143" i="1" s="1"/>
  <c r="I143" i="1"/>
  <c r="J143" i="1"/>
  <c r="J144" i="1"/>
  <c r="I144" i="1" s="1"/>
  <c r="H144" i="1" s="1"/>
  <c r="G144" i="1" s="1"/>
  <c r="J145" i="1"/>
  <c r="I145" i="1" s="1"/>
  <c r="H145" i="1" s="1"/>
  <c r="G145" i="1" s="1"/>
  <c r="J146" i="1"/>
  <c r="I146" i="1" s="1"/>
  <c r="H146" i="1" s="1"/>
  <c r="G146" i="1" s="1"/>
  <c r="I147" i="1"/>
  <c r="H147" i="1" s="1"/>
  <c r="G147" i="1" s="1"/>
  <c r="J147" i="1"/>
  <c r="J148" i="1"/>
  <c r="I148" i="1" s="1"/>
  <c r="H148" i="1" s="1"/>
  <c r="G148" i="1" s="1"/>
  <c r="J149" i="1"/>
  <c r="I149" i="1" s="1"/>
  <c r="H149" i="1" s="1"/>
  <c r="G149" i="1" s="1"/>
  <c r="J150" i="1"/>
  <c r="I150" i="1" s="1"/>
  <c r="H150" i="1" s="1"/>
  <c r="G150" i="1" s="1"/>
  <c r="J151" i="1"/>
  <c r="I151" i="1" s="1"/>
  <c r="H151" i="1" s="1"/>
  <c r="G151" i="1" s="1"/>
  <c r="J152" i="1"/>
  <c r="I152" i="1" s="1"/>
  <c r="H152" i="1" s="1"/>
  <c r="G152" i="1" s="1"/>
  <c r="J153" i="1"/>
  <c r="I153" i="1" s="1"/>
  <c r="H153" i="1" s="1"/>
  <c r="G153" i="1" s="1"/>
  <c r="J154" i="1"/>
  <c r="I154" i="1" s="1"/>
  <c r="H154" i="1" s="1"/>
  <c r="G154" i="1" s="1"/>
  <c r="J155" i="1"/>
  <c r="I155" i="1" s="1"/>
  <c r="H155" i="1" s="1"/>
  <c r="G155" i="1" s="1"/>
  <c r="J156" i="1"/>
  <c r="I156" i="1" s="1"/>
  <c r="H156" i="1" s="1"/>
  <c r="G156" i="1" s="1"/>
  <c r="J157" i="1"/>
  <c r="I157" i="1" s="1"/>
  <c r="H157" i="1" s="1"/>
  <c r="G157" i="1" s="1"/>
  <c r="I158" i="1"/>
  <c r="H158" i="1" s="1"/>
  <c r="G158" i="1" s="1"/>
  <c r="J158" i="1"/>
  <c r="J159" i="1"/>
  <c r="I159" i="1" s="1"/>
  <c r="H159" i="1" s="1"/>
  <c r="G159" i="1" s="1"/>
  <c r="J160" i="1"/>
  <c r="I160" i="1" s="1"/>
  <c r="H160" i="1" s="1"/>
  <c r="G160" i="1" s="1"/>
  <c r="J161" i="1"/>
  <c r="I161" i="1" s="1"/>
  <c r="H161" i="1" s="1"/>
  <c r="G161" i="1" s="1"/>
  <c r="J162" i="1"/>
  <c r="I162" i="1" s="1"/>
  <c r="H162" i="1" s="1"/>
  <c r="G162" i="1" s="1"/>
  <c r="J163" i="1"/>
  <c r="I163" i="1" s="1"/>
  <c r="H163" i="1" s="1"/>
  <c r="G163" i="1" s="1"/>
  <c r="J164" i="1"/>
  <c r="I164" i="1" s="1"/>
  <c r="H164" i="1" s="1"/>
  <c r="G164" i="1" s="1"/>
  <c r="I165" i="1"/>
  <c r="H165" i="1" s="1"/>
  <c r="G165" i="1" s="1"/>
  <c r="J165" i="1"/>
  <c r="I166" i="1"/>
  <c r="H166" i="1" s="1"/>
  <c r="G166" i="1" s="1"/>
  <c r="J166" i="1"/>
  <c r="J167" i="1"/>
  <c r="I167" i="1" s="1"/>
  <c r="H167" i="1" s="1"/>
  <c r="G167" i="1" s="1"/>
  <c r="J168" i="1"/>
  <c r="I168" i="1" s="1"/>
  <c r="H168" i="1" s="1"/>
  <c r="G168" i="1" s="1"/>
  <c r="H169" i="1"/>
  <c r="G169" i="1" s="1"/>
  <c r="I169" i="1"/>
  <c r="J169" i="1"/>
  <c r="J170" i="1"/>
  <c r="I170" i="1" s="1"/>
  <c r="H170" i="1" s="1"/>
  <c r="G170" i="1" s="1"/>
  <c r="I171" i="1"/>
  <c r="H171" i="1" s="1"/>
  <c r="G171" i="1" s="1"/>
  <c r="J171" i="1"/>
  <c r="J172" i="1"/>
  <c r="I172" i="1" s="1"/>
  <c r="H172" i="1" s="1"/>
  <c r="G172" i="1" s="1"/>
  <c r="J173" i="1"/>
  <c r="I173" i="1" s="1"/>
  <c r="H173" i="1" s="1"/>
  <c r="G173" i="1" s="1"/>
  <c r="J174" i="1"/>
  <c r="I174" i="1" s="1"/>
  <c r="H174" i="1" s="1"/>
  <c r="G174" i="1" s="1"/>
  <c r="J175" i="1"/>
  <c r="I175" i="1" s="1"/>
  <c r="H175" i="1" s="1"/>
  <c r="G175" i="1" s="1"/>
  <c r="J176" i="1"/>
  <c r="I176" i="1" s="1"/>
  <c r="H176" i="1" s="1"/>
  <c r="G176" i="1" s="1"/>
  <c r="J177" i="1"/>
  <c r="I177" i="1" s="1"/>
  <c r="H177" i="1" s="1"/>
  <c r="G177" i="1" s="1"/>
  <c r="J178" i="1"/>
  <c r="I178" i="1" s="1"/>
  <c r="H178" i="1" s="1"/>
  <c r="G178" i="1" s="1"/>
  <c r="I179" i="1"/>
  <c r="H179" i="1" s="1"/>
  <c r="G179" i="1" s="1"/>
  <c r="J179" i="1"/>
  <c r="J180" i="1"/>
  <c r="I180" i="1" s="1"/>
  <c r="H180" i="1" s="1"/>
  <c r="G180" i="1" s="1"/>
  <c r="J181" i="1"/>
  <c r="I181" i="1" s="1"/>
  <c r="H181" i="1" s="1"/>
  <c r="G181" i="1" s="1"/>
  <c r="J182" i="1"/>
  <c r="I182" i="1" s="1"/>
  <c r="H182" i="1" s="1"/>
  <c r="G182" i="1" s="1"/>
  <c r="J183" i="1"/>
  <c r="I183" i="1" s="1"/>
  <c r="H183" i="1" s="1"/>
  <c r="G183" i="1" s="1"/>
  <c r="J184" i="1"/>
  <c r="I184" i="1" s="1"/>
  <c r="H184" i="1" s="1"/>
  <c r="G184" i="1" s="1"/>
  <c r="I185" i="1"/>
  <c r="H185" i="1" s="1"/>
  <c r="G185" i="1" s="1"/>
  <c r="J185" i="1"/>
  <c r="J186" i="1"/>
  <c r="I186" i="1" s="1"/>
  <c r="H186" i="1" s="1"/>
  <c r="G186" i="1" s="1"/>
  <c r="J187" i="1"/>
  <c r="I187" i="1" s="1"/>
  <c r="H187" i="1" s="1"/>
  <c r="G187" i="1" s="1"/>
  <c r="J188" i="1"/>
  <c r="I188" i="1" s="1"/>
  <c r="H188" i="1" s="1"/>
  <c r="G188" i="1" s="1"/>
  <c r="H189" i="1"/>
  <c r="G189" i="1" s="1"/>
  <c r="J189" i="1"/>
  <c r="I189" i="1" s="1"/>
  <c r="J190" i="1"/>
  <c r="I190" i="1" s="1"/>
  <c r="H190" i="1" s="1"/>
  <c r="G190" i="1" s="1"/>
  <c r="J191" i="1"/>
  <c r="I191" i="1" s="1"/>
  <c r="H191" i="1" s="1"/>
  <c r="G191" i="1" s="1"/>
  <c r="J192" i="1"/>
  <c r="I192" i="1" s="1"/>
  <c r="H192" i="1" s="1"/>
  <c r="G192" i="1" s="1"/>
  <c r="I193" i="1"/>
  <c r="H193" i="1" s="1"/>
  <c r="G193" i="1" s="1"/>
  <c r="J193" i="1"/>
  <c r="J194" i="1"/>
  <c r="I194" i="1" s="1"/>
  <c r="H194" i="1" s="1"/>
  <c r="G194" i="1" s="1"/>
  <c r="G195" i="1"/>
  <c r="J195" i="1"/>
  <c r="I195" i="1" s="1"/>
  <c r="H195" i="1" s="1"/>
  <c r="J196" i="1"/>
  <c r="I196" i="1" s="1"/>
  <c r="H196" i="1" s="1"/>
  <c r="G196" i="1" s="1"/>
  <c r="I197" i="1"/>
  <c r="H197" i="1" s="1"/>
  <c r="G197" i="1" s="1"/>
  <c r="J197" i="1"/>
  <c r="J198" i="1"/>
  <c r="I198" i="1" s="1"/>
  <c r="H198" i="1" s="1"/>
  <c r="G198" i="1" s="1"/>
  <c r="J199" i="1"/>
  <c r="I199" i="1" s="1"/>
  <c r="H199" i="1" s="1"/>
  <c r="G199" i="1" s="1"/>
  <c r="J200" i="1"/>
  <c r="I200" i="1" s="1"/>
  <c r="H200" i="1" s="1"/>
  <c r="G200" i="1" s="1"/>
  <c r="J201" i="1"/>
  <c r="I201" i="1" s="1"/>
  <c r="H201" i="1" s="1"/>
  <c r="G201" i="1" s="1"/>
  <c r="J202" i="1"/>
  <c r="I202" i="1" s="1"/>
  <c r="H202" i="1" s="1"/>
  <c r="G202" i="1" s="1"/>
  <c r="J203" i="1"/>
  <c r="I203" i="1" s="1"/>
  <c r="H203" i="1" s="1"/>
  <c r="G203" i="1" s="1"/>
  <c r="J204" i="1"/>
  <c r="I204" i="1" s="1"/>
  <c r="H204" i="1" s="1"/>
  <c r="G204" i="1" s="1"/>
  <c r="J205" i="1"/>
  <c r="I205" i="1" s="1"/>
  <c r="H205" i="1" s="1"/>
  <c r="G205" i="1" s="1"/>
  <c r="J206" i="1"/>
  <c r="I206" i="1" s="1"/>
  <c r="H206" i="1" s="1"/>
  <c r="G206" i="1" s="1"/>
  <c r="J207" i="1"/>
  <c r="I207" i="1" s="1"/>
  <c r="H207" i="1" s="1"/>
  <c r="G207" i="1" s="1"/>
  <c r="J208" i="1"/>
  <c r="I208" i="1" s="1"/>
  <c r="H208" i="1" s="1"/>
  <c r="G208" i="1" s="1"/>
  <c r="I209" i="1"/>
  <c r="H209" i="1" s="1"/>
  <c r="G209" i="1" s="1"/>
  <c r="J209" i="1"/>
  <c r="J210" i="1"/>
  <c r="I210" i="1" s="1"/>
  <c r="H210" i="1" s="1"/>
  <c r="G210" i="1" s="1"/>
  <c r="J211" i="1"/>
  <c r="I211" i="1" s="1"/>
  <c r="H211" i="1" s="1"/>
  <c r="G211" i="1" s="1"/>
  <c r="J212" i="1"/>
  <c r="I212" i="1" s="1"/>
  <c r="H212" i="1" s="1"/>
  <c r="G212" i="1" s="1"/>
  <c r="J213" i="1"/>
  <c r="I213" i="1" s="1"/>
  <c r="H213" i="1" s="1"/>
  <c r="G213" i="1" s="1"/>
  <c r="G214" i="1"/>
  <c r="H214" i="1"/>
  <c r="J214" i="1"/>
  <c r="I214" i="1" s="1"/>
  <c r="H215" i="1"/>
  <c r="G215" i="1" s="1"/>
  <c r="J215" i="1"/>
  <c r="I215" i="1" s="1"/>
  <c r="J216" i="1"/>
  <c r="I216" i="1" s="1"/>
  <c r="H216" i="1" s="1"/>
  <c r="G216" i="1" s="1"/>
  <c r="J217" i="1"/>
  <c r="I217" i="1" s="1"/>
  <c r="H217" i="1" s="1"/>
  <c r="G217" i="1" s="1"/>
  <c r="H218" i="1"/>
  <c r="G218" i="1" s="1"/>
  <c r="J218" i="1"/>
  <c r="I218" i="1" s="1"/>
  <c r="I219" i="1"/>
  <c r="H219" i="1" s="1"/>
  <c r="G219" i="1" s="1"/>
  <c r="J219" i="1"/>
  <c r="J220" i="1"/>
  <c r="I220" i="1" s="1"/>
  <c r="H220" i="1" s="1"/>
  <c r="G220" i="1" s="1"/>
  <c r="G221" i="1"/>
  <c r="J221" i="1"/>
  <c r="I221" i="1" s="1"/>
  <c r="H221" i="1" s="1"/>
  <c r="J222" i="1"/>
  <c r="I222" i="1" s="1"/>
  <c r="H222" i="1" s="1"/>
  <c r="G222" i="1" s="1"/>
  <c r="I223" i="1"/>
  <c r="H223" i="1" s="1"/>
  <c r="G223" i="1" s="1"/>
  <c r="J223" i="1"/>
  <c r="H224" i="1"/>
  <c r="G224" i="1" s="1"/>
  <c r="J224" i="1"/>
  <c r="I224" i="1" s="1"/>
  <c r="J225" i="1"/>
  <c r="I225" i="1" s="1"/>
  <c r="H225" i="1" s="1"/>
  <c r="G225" i="1" s="1"/>
  <c r="J226" i="1"/>
  <c r="I226" i="1" s="1"/>
  <c r="H226" i="1" s="1"/>
  <c r="G226" i="1" s="1"/>
  <c r="J227" i="1"/>
  <c r="I227" i="1" s="1"/>
  <c r="H227" i="1" s="1"/>
  <c r="G227" i="1" s="1"/>
  <c r="J228" i="1"/>
  <c r="I228" i="1" s="1"/>
  <c r="H228" i="1" s="1"/>
  <c r="G228" i="1" s="1"/>
  <c r="G229" i="1"/>
  <c r="J229" i="1"/>
  <c r="I229" i="1" s="1"/>
  <c r="H229" i="1" s="1"/>
  <c r="J230" i="1"/>
  <c r="I230" i="1" s="1"/>
  <c r="H230" i="1" s="1"/>
  <c r="G230" i="1" s="1"/>
  <c r="G231" i="1"/>
  <c r="J231" i="1"/>
  <c r="I231" i="1" s="1"/>
  <c r="H231" i="1" s="1"/>
  <c r="J232" i="1"/>
  <c r="I232" i="1" s="1"/>
  <c r="H232" i="1" s="1"/>
  <c r="G232" i="1" s="1"/>
  <c r="I233" i="1"/>
  <c r="H233" i="1" s="1"/>
  <c r="G233" i="1" s="1"/>
  <c r="J233" i="1"/>
  <c r="H234" i="1"/>
  <c r="G234" i="1" s="1"/>
  <c r="J234" i="1"/>
  <c r="I234" i="1" s="1"/>
  <c r="J235" i="1"/>
  <c r="I235" i="1" s="1"/>
  <c r="H235" i="1" s="1"/>
  <c r="G235" i="1" s="1"/>
  <c r="J236" i="1"/>
  <c r="I236" i="1" s="1"/>
  <c r="H236" i="1" s="1"/>
  <c r="G236" i="1" s="1"/>
  <c r="J237" i="1"/>
  <c r="I237" i="1" s="1"/>
  <c r="H237" i="1" s="1"/>
  <c r="G237" i="1" s="1"/>
  <c r="J238" i="1"/>
  <c r="I238" i="1" s="1"/>
  <c r="H238" i="1" s="1"/>
  <c r="G238" i="1" s="1"/>
  <c r="I239" i="1"/>
  <c r="H239" i="1" s="1"/>
  <c r="G239" i="1" s="1"/>
  <c r="J239" i="1"/>
  <c r="J240" i="1"/>
  <c r="I240" i="1" s="1"/>
  <c r="H240" i="1" s="1"/>
  <c r="G240" i="1" s="1"/>
  <c r="J241" i="1"/>
  <c r="I241" i="1" s="1"/>
  <c r="H241" i="1" s="1"/>
  <c r="G241" i="1" s="1"/>
  <c r="J242" i="1"/>
  <c r="I242" i="1" s="1"/>
  <c r="H242" i="1" s="1"/>
  <c r="G242" i="1" s="1"/>
  <c r="I243" i="1"/>
  <c r="H243" i="1" s="1"/>
  <c r="G243" i="1" s="1"/>
  <c r="J243" i="1"/>
  <c r="J244" i="1"/>
  <c r="I244" i="1" s="1"/>
  <c r="H244" i="1" s="1"/>
  <c r="G244" i="1" s="1"/>
  <c r="J245" i="1"/>
  <c r="I245" i="1" s="1"/>
  <c r="H245" i="1" s="1"/>
  <c r="G245" i="1" s="1"/>
  <c r="J246" i="1"/>
  <c r="I246" i="1" s="1"/>
  <c r="H246" i="1" s="1"/>
  <c r="G246" i="1" s="1"/>
  <c r="J247" i="1"/>
  <c r="I247" i="1" s="1"/>
  <c r="H247" i="1" s="1"/>
  <c r="G247" i="1" s="1"/>
  <c r="J248" i="1"/>
  <c r="I248" i="1" s="1"/>
  <c r="H248" i="1" s="1"/>
  <c r="G248" i="1" s="1"/>
  <c r="J249" i="1"/>
  <c r="I249" i="1" s="1"/>
  <c r="H249" i="1" s="1"/>
  <c r="G249" i="1" s="1"/>
  <c r="J250" i="1"/>
  <c r="I250" i="1" s="1"/>
  <c r="H250" i="1" s="1"/>
  <c r="G250" i="1" s="1"/>
  <c r="J251" i="1"/>
  <c r="I251" i="1" s="1"/>
  <c r="H251" i="1" s="1"/>
  <c r="G251" i="1" s="1"/>
  <c r="J252" i="1"/>
  <c r="I252" i="1" s="1"/>
  <c r="H252" i="1" s="1"/>
  <c r="G252" i="1" s="1"/>
  <c r="J253" i="1"/>
  <c r="I253" i="1" s="1"/>
  <c r="H253" i="1" s="1"/>
  <c r="G253" i="1" s="1"/>
  <c r="J254" i="1"/>
  <c r="I254" i="1" s="1"/>
  <c r="H254" i="1" s="1"/>
  <c r="G254" i="1" s="1"/>
  <c r="J255" i="1"/>
  <c r="I255" i="1" s="1"/>
  <c r="H255" i="1" s="1"/>
  <c r="G255" i="1" s="1"/>
  <c r="J256" i="1"/>
  <c r="I256" i="1" s="1"/>
  <c r="H256" i="1" s="1"/>
  <c r="G256" i="1" s="1"/>
  <c r="J257" i="1"/>
  <c r="I257" i="1" s="1"/>
  <c r="H257" i="1" s="1"/>
  <c r="G257" i="1" s="1"/>
  <c r="J258" i="1"/>
  <c r="I258" i="1" s="1"/>
  <c r="H258" i="1" s="1"/>
  <c r="G258" i="1" s="1"/>
  <c r="J259" i="1"/>
  <c r="I259" i="1" s="1"/>
  <c r="H259" i="1" s="1"/>
  <c r="G259" i="1" s="1"/>
  <c r="J260" i="1"/>
  <c r="I260" i="1" s="1"/>
  <c r="H260" i="1" s="1"/>
  <c r="G260" i="1" s="1"/>
  <c r="G261" i="1"/>
  <c r="J261" i="1"/>
  <c r="I261" i="1" s="1"/>
  <c r="H261" i="1" s="1"/>
  <c r="J262" i="1"/>
  <c r="I262" i="1" s="1"/>
  <c r="H262" i="1" s="1"/>
  <c r="G262" i="1" s="1"/>
  <c r="J263" i="1"/>
  <c r="I263" i="1" s="1"/>
  <c r="H263" i="1" s="1"/>
  <c r="G263" i="1" s="1"/>
  <c r="J264" i="1"/>
  <c r="I264" i="1" s="1"/>
  <c r="H264" i="1" s="1"/>
  <c r="G264" i="1" s="1"/>
  <c r="J265" i="1"/>
  <c r="I265" i="1" s="1"/>
  <c r="H265" i="1" s="1"/>
  <c r="G265" i="1" s="1"/>
  <c r="J266" i="1"/>
  <c r="I266" i="1" s="1"/>
  <c r="H266" i="1" s="1"/>
  <c r="G266" i="1" s="1"/>
  <c r="J267" i="1"/>
  <c r="I267" i="1" s="1"/>
  <c r="H267" i="1" s="1"/>
  <c r="G267" i="1" s="1"/>
  <c r="I268" i="1"/>
  <c r="H268" i="1" s="1"/>
  <c r="G268" i="1" s="1"/>
  <c r="J268" i="1"/>
  <c r="J269" i="1"/>
  <c r="I269" i="1" s="1"/>
  <c r="H269" i="1" s="1"/>
  <c r="G269" i="1" s="1"/>
  <c r="J270" i="1"/>
  <c r="I270" i="1" s="1"/>
  <c r="H270" i="1" s="1"/>
  <c r="G270" i="1" s="1"/>
  <c r="J271" i="1"/>
  <c r="I271" i="1" s="1"/>
  <c r="H271" i="1" s="1"/>
  <c r="G271" i="1" s="1"/>
  <c r="J272" i="1"/>
  <c r="I272" i="1" s="1"/>
  <c r="H272" i="1" s="1"/>
  <c r="G272" i="1" s="1"/>
  <c r="I273" i="1"/>
  <c r="H273" i="1" s="1"/>
  <c r="G273" i="1" s="1"/>
  <c r="J273" i="1"/>
  <c r="J274" i="1"/>
  <c r="I274" i="1" s="1"/>
  <c r="H274" i="1" s="1"/>
  <c r="G274" i="1" s="1"/>
  <c r="J275" i="1"/>
  <c r="I275" i="1" s="1"/>
  <c r="H275" i="1" s="1"/>
  <c r="G275" i="1" s="1"/>
  <c r="I276" i="1"/>
  <c r="H276" i="1" s="1"/>
  <c r="G276" i="1" s="1"/>
  <c r="J276" i="1"/>
  <c r="H277" i="1"/>
  <c r="G277" i="1" s="1"/>
  <c r="J277" i="1"/>
  <c r="I277" i="1" s="1"/>
  <c r="I278" i="1"/>
  <c r="H278" i="1" s="1"/>
  <c r="G278" i="1" s="1"/>
  <c r="J278" i="1"/>
  <c r="J279" i="1"/>
  <c r="I279" i="1" s="1"/>
  <c r="H279" i="1" s="1"/>
  <c r="G279" i="1" s="1"/>
  <c r="J280" i="1"/>
  <c r="I280" i="1" s="1"/>
  <c r="H280" i="1" s="1"/>
  <c r="G280" i="1" s="1"/>
  <c r="J281" i="1"/>
  <c r="I281" i="1" s="1"/>
  <c r="H281" i="1" s="1"/>
  <c r="G281" i="1" s="1"/>
  <c r="J282" i="1"/>
  <c r="I282" i="1" s="1"/>
  <c r="H282" i="1" s="1"/>
  <c r="G282" i="1" s="1"/>
  <c r="I283" i="1"/>
  <c r="H283" i="1" s="1"/>
  <c r="G283" i="1" s="1"/>
  <c r="J283" i="1"/>
  <c r="I284" i="1"/>
  <c r="H284" i="1" s="1"/>
  <c r="G284" i="1" s="1"/>
  <c r="J284" i="1"/>
  <c r="J285" i="1"/>
  <c r="I285" i="1" s="1"/>
  <c r="H285" i="1" s="1"/>
  <c r="G285" i="1" s="1"/>
  <c r="J286" i="1"/>
  <c r="I286" i="1" s="1"/>
  <c r="H286" i="1" s="1"/>
  <c r="G286" i="1" s="1"/>
  <c r="J287" i="1"/>
  <c r="I287" i="1" s="1"/>
  <c r="H287" i="1" s="1"/>
  <c r="G287" i="1" s="1"/>
  <c r="I288" i="1"/>
  <c r="H288" i="1" s="1"/>
  <c r="G288" i="1" s="1"/>
  <c r="J288" i="1"/>
  <c r="J289" i="1"/>
  <c r="I289" i="1" s="1"/>
  <c r="H289" i="1" s="1"/>
  <c r="G289" i="1" s="1"/>
  <c r="J290" i="1"/>
  <c r="I290" i="1" s="1"/>
  <c r="H290" i="1" s="1"/>
  <c r="G290" i="1" s="1"/>
  <c r="H291" i="1"/>
  <c r="G291" i="1" s="1"/>
  <c r="I291" i="1"/>
  <c r="J291" i="1"/>
  <c r="I292" i="1"/>
  <c r="H292" i="1" s="1"/>
  <c r="G292" i="1" s="1"/>
  <c r="J292" i="1"/>
  <c r="J293" i="1"/>
  <c r="I293" i="1" s="1"/>
  <c r="H293" i="1" s="1"/>
  <c r="G293" i="1" s="1"/>
  <c r="J294" i="1"/>
  <c r="I294" i="1" s="1"/>
  <c r="H294" i="1" s="1"/>
  <c r="G294" i="1" s="1"/>
  <c r="J295" i="1"/>
  <c r="I295" i="1" s="1"/>
  <c r="H295" i="1" s="1"/>
  <c r="G295" i="1" s="1"/>
  <c r="J296" i="1"/>
  <c r="I296" i="1" s="1"/>
  <c r="H296" i="1" s="1"/>
  <c r="G296" i="1" s="1"/>
  <c r="I297" i="1"/>
  <c r="H297" i="1" s="1"/>
  <c r="G297" i="1" s="1"/>
  <c r="J297" i="1"/>
  <c r="J298" i="1"/>
  <c r="I298" i="1" s="1"/>
  <c r="H298" i="1" s="1"/>
  <c r="G298" i="1" s="1"/>
  <c r="J299" i="1"/>
  <c r="I299" i="1" s="1"/>
  <c r="H299" i="1" s="1"/>
  <c r="G299" i="1" s="1"/>
  <c r="J300" i="1"/>
  <c r="I300" i="1" s="1"/>
  <c r="H300" i="1" s="1"/>
  <c r="G300" i="1" s="1"/>
  <c r="I301" i="1"/>
  <c r="H301" i="1" s="1"/>
  <c r="G301" i="1" s="1"/>
  <c r="J301" i="1"/>
  <c r="J302" i="1"/>
  <c r="I302" i="1" s="1"/>
  <c r="H302" i="1" s="1"/>
  <c r="G302" i="1" s="1"/>
  <c r="J303" i="1"/>
  <c r="I303" i="1" s="1"/>
  <c r="H303" i="1" s="1"/>
  <c r="G303" i="1" s="1"/>
  <c r="J304" i="1"/>
  <c r="I304" i="1" s="1"/>
  <c r="H304" i="1" s="1"/>
  <c r="G304" i="1" s="1"/>
  <c r="J305" i="1"/>
  <c r="I305" i="1" s="1"/>
  <c r="H305" i="1" s="1"/>
  <c r="G305" i="1" s="1"/>
  <c r="J306" i="1"/>
  <c r="I306" i="1" s="1"/>
  <c r="H306" i="1" s="1"/>
  <c r="G306" i="1" s="1"/>
  <c r="I307" i="1"/>
  <c r="H307" i="1" s="1"/>
  <c r="G307" i="1" s="1"/>
  <c r="J307" i="1"/>
  <c r="I308" i="1"/>
  <c r="H308" i="1" s="1"/>
  <c r="G308" i="1" s="1"/>
  <c r="J308" i="1"/>
  <c r="J309" i="1"/>
  <c r="I309" i="1" s="1"/>
  <c r="H309" i="1" s="1"/>
  <c r="G309" i="1" s="1"/>
  <c r="H310" i="1"/>
  <c r="G310" i="1" s="1"/>
  <c r="I310" i="1"/>
  <c r="J310" i="1"/>
  <c r="I311" i="1"/>
  <c r="H311" i="1" s="1"/>
  <c r="G311" i="1" s="1"/>
  <c r="J311" i="1"/>
  <c r="J312" i="1"/>
  <c r="I312" i="1" s="1"/>
  <c r="H312" i="1" s="1"/>
  <c r="G312" i="1" s="1"/>
  <c r="J313" i="1"/>
  <c r="I313" i="1" s="1"/>
  <c r="H313" i="1" s="1"/>
  <c r="G313" i="1" s="1"/>
  <c r="J314" i="1"/>
  <c r="I314" i="1" s="1"/>
  <c r="H314" i="1" s="1"/>
  <c r="G314" i="1" s="1"/>
  <c r="G315" i="1"/>
  <c r="J315" i="1"/>
  <c r="I315" i="1" s="1"/>
  <c r="H315" i="1" s="1"/>
  <c r="J316" i="1"/>
  <c r="I316" i="1" s="1"/>
  <c r="H316" i="1" s="1"/>
  <c r="G316" i="1" s="1"/>
  <c r="I317" i="1"/>
  <c r="H317" i="1" s="1"/>
  <c r="G317" i="1" s="1"/>
  <c r="J317" i="1"/>
  <c r="J318" i="1"/>
  <c r="I318" i="1" s="1"/>
  <c r="H318" i="1" s="1"/>
  <c r="G318" i="1" s="1"/>
  <c r="I319" i="1"/>
  <c r="H319" i="1" s="1"/>
  <c r="G319" i="1" s="1"/>
  <c r="J319" i="1"/>
  <c r="J320" i="1"/>
  <c r="I320" i="1" s="1"/>
  <c r="H320" i="1" s="1"/>
  <c r="G320" i="1" s="1"/>
  <c r="J321" i="1"/>
  <c r="I321" i="1" s="1"/>
  <c r="H321" i="1" s="1"/>
  <c r="G321" i="1" s="1"/>
  <c r="J322" i="1"/>
  <c r="I322" i="1" s="1"/>
  <c r="H322" i="1" s="1"/>
  <c r="G322" i="1" s="1"/>
  <c r="H323" i="1"/>
  <c r="G323" i="1" s="1"/>
  <c r="J323" i="1"/>
  <c r="I323" i="1" s="1"/>
  <c r="H324" i="1"/>
  <c r="G324" i="1" s="1"/>
  <c r="I324" i="1"/>
  <c r="J324" i="1"/>
  <c r="J325" i="1"/>
  <c r="I325" i="1" s="1"/>
  <c r="H325" i="1" s="1"/>
  <c r="G325" i="1" s="1"/>
  <c r="I326" i="1"/>
  <c r="H326" i="1" s="1"/>
  <c r="G326" i="1" s="1"/>
  <c r="J326" i="1"/>
  <c r="J327" i="1"/>
  <c r="I327" i="1" s="1"/>
  <c r="H327" i="1" s="1"/>
  <c r="G327" i="1" s="1"/>
  <c r="J328" i="1"/>
  <c r="I328" i="1" s="1"/>
  <c r="H328" i="1" s="1"/>
  <c r="G328" i="1" s="1"/>
  <c r="J329" i="1"/>
  <c r="I329" i="1" s="1"/>
  <c r="H329" i="1" s="1"/>
  <c r="G329" i="1" s="1"/>
  <c r="J330" i="1"/>
  <c r="I330" i="1" s="1"/>
  <c r="H330" i="1" s="1"/>
  <c r="G330" i="1" s="1"/>
  <c r="J331" i="1"/>
  <c r="I331" i="1" s="1"/>
  <c r="H331" i="1" s="1"/>
  <c r="G331" i="1" s="1"/>
  <c r="J332" i="1"/>
  <c r="I332" i="1" s="1"/>
  <c r="H332" i="1" s="1"/>
  <c r="G332" i="1" s="1"/>
  <c r="G333" i="1"/>
  <c r="J333" i="1"/>
  <c r="I333" i="1" s="1"/>
  <c r="H333" i="1" s="1"/>
  <c r="I334" i="1"/>
  <c r="H334" i="1" s="1"/>
  <c r="G334" i="1" s="1"/>
  <c r="J334" i="1"/>
  <c r="J335" i="1"/>
  <c r="I335" i="1" s="1"/>
  <c r="H335" i="1" s="1"/>
  <c r="G335" i="1" s="1"/>
  <c r="J336" i="1"/>
  <c r="I336" i="1" s="1"/>
  <c r="H336" i="1" s="1"/>
  <c r="G336" i="1" s="1"/>
  <c r="J337" i="1"/>
  <c r="I337" i="1" s="1"/>
  <c r="H337" i="1" s="1"/>
  <c r="G337" i="1" s="1"/>
  <c r="J338" i="1"/>
  <c r="I338" i="1" s="1"/>
  <c r="H338" i="1" s="1"/>
  <c r="G338" i="1" s="1"/>
  <c r="J339" i="1"/>
  <c r="I339" i="1" s="1"/>
  <c r="H339" i="1" s="1"/>
  <c r="G339" i="1" s="1"/>
  <c r="J340" i="1"/>
  <c r="I340" i="1" s="1"/>
  <c r="H340" i="1" s="1"/>
  <c r="G340" i="1" s="1"/>
  <c r="J341" i="1"/>
  <c r="I341" i="1" s="1"/>
  <c r="H341" i="1" s="1"/>
  <c r="G341" i="1" s="1"/>
  <c r="I342" i="1"/>
  <c r="H342" i="1" s="1"/>
  <c r="G342" i="1" s="1"/>
  <c r="J342" i="1"/>
  <c r="I343" i="1"/>
  <c r="H343" i="1" s="1"/>
  <c r="G343" i="1" s="1"/>
  <c r="J343" i="1"/>
  <c r="J344" i="1"/>
  <c r="I344" i="1" s="1"/>
  <c r="H344" i="1" s="1"/>
  <c r="G344" i="1" s="1"/>
  <c r="J345" i="1"/>
  <c r="I345" i="1" s="1"/>
  <c r="H345" i="1" s="1"/>
  <c r="G345" i="1" s="1"/>
  <c r="J346" i="1"/>
  <c r="I346" i="1" s="1"/>
  <c r="H346" i="1" s="1"/>
  <c r="G346" i="1" s="1"/>
  <c r="J347" i="1"/>
  <c r="I347" i="1" s="1"/>
  <c r="H347" i="1" s="1"/>
  <c r="G347" i="1" s="1"/>
  <c r="J348" i="1"/>
  <c r="I348" i="1" s="1"/>
  <c r="H348" i="1" s="1"/>
  <c r="G348" i="1" s="1"/>
  <c r="I349" i="1"/>
  <c r="H349" i="1" s="1"/>
  <c r="G349" i="1" s="1"/>
  <c r="J349" i="1"/>
  <c r="J350" i="1"/>
  <c r="I350" i="1" s="1"/>
  <c r="H350" i="1" s="1"/>
  <c r="G350" i="1" s="1"/>
  <c r="I351" i="1"/>
  <c r="H351" i="1" s="1"/>
  <c r="G351" i="1" s="1"/>
  <c r="J351" i="1"/>
  <c r="J352" i="1"/>
  <c r="I352" i="1" s="1"/>
  <c r="H352" i="1" s="1"/>
  <c r="G352" i="1" s="1"/>
  <c r="J353" i="1"/>
  <c r="I353" i="1" s="1"/>
  <c r="H353" i="1" s="1"/>
  <c r="G353" i="1" s="1"/>
  <c r="J354" i="1"/>
  <c r="I354" i="1" s="1"/>
  <c r="H354" i="1" s="1"/>
  <c r="G354" i="1" s="1"/>
  <c r="J355" i="1"/>
  <c r="I355" i="1" s="1"/>
  <c r="H355" i="1" s="1"/>
  <c r="G355" i="1" s="1"/>
  <c r="J356" i="1"/>
  <c r="I356" i="1" s="1"/>
  <c r="H356" i="1" s="1"/>
  <c r="G356" i="1" s="1"/>
  <c r="J357" i="1"/>
  <c r="I357" i="1" s="1"/>
  <c r="H357" i="1" s="1"/>
  <c r="G357" i="1" s="1"/>
  <c r="J358" i="1"/>
  <c r="I358" i="1" s="1"/>
  <c r="H358" i="1" s="1"/>
  <c r="G358" i="1" s="1"/>
  <c r="I359" i="1"/>
  <c r="H359" i="1" s="1"/>
  <c r="G359" i="1" s="1"/>
  <c r="J359" i="1"/>
  <c r="J360" i="1"/>
  <c r="I360" i="1" s="1"/>
  <c r="H360" i="1" s="1"/>
  <c r="G360" i="1" s="1"/>
  <c r="J361" i="1"/>
  <c r="I361" i="1" s="1"/>
  <c r="H361" i="1" s="1"/>
  <c r="G361" i="1" s="1"/>
  <c r="J362" i="1"/>
  <c r="I362" i="1" s="1"/>
  <c r="H362" i="1" s="1"/>
  <c r="G362" i="1" s="1"/>
  <c r="J363" i="1"/>
  <c r="I363" i="1" s="1"/>
  <c r="H363" i="1" s="1"/>
  <c r="G363" i="1" s="1"/>
  <c r="I364" i="1"/>
  <c r="H364" i="1" s="1"/>
  <c r="G364" i="1" s="1"/>
  <c r="J364" i="1"/>
  <c r="J365" i="1"/>
  <c r="I365" i="1" s="1"/>
  <c r="H365" i="1" s="1"/>
  <c r="G365" i="1" s="1"/>
  <c r="J366" i="1"/>
  <c r="I366" i="1" s="1"/>
  <c r="H366" i="1" s="1"/>
  <c r="G366" i="1" s="1"/>
  <c r="H367" i="1"/>
  <c r="G367" i="1" s="1"/>
  <c r="I367" i="1"/>
  <c r="J367" i="1"/>
  <c r="J368" i="1"/>
  <c r="I368" i="1" s="1"/>
  <c r="H368" i="1" s="1"/>
  <c r="G368" i="1" s="1"/>
  <c r="I369" i="1"/>
  <c r="H369" i="1" s="1"/>
  <c r="G369" i="1" s="1"/>
  <c r="J369" i="1"/>
  <c r="J370" i="1"/>
  <c r="I370" i="1" s="1"/>
  <c r="H370" i="1" s="1"/>
  <c r="G370" i="1" s="1"/>
  <c r="H371" i="1"/>
  <c r="G371" i="1" s="1"/>
  <c r="I371" i="1"/>
  <c r="J371" i="1"/>
  <c r="J372" i="1"/>
  <c r="I372" i="1" s="1"/>
  <c r="H372" i="1" s="1"/>
  <c r="G372" i="1" s="1"/>
  <c r="H373" i="1"/>
  <c r="G373" i="1" s="1"/>
  <c r="I373" i="1"/>
  <c r="J373" i="1"/>
  <c r="I374" i="1"/>
  <c r="H374" i="1" s="1"/>
  <c r="G374" i="1" s="1"/>
  <c r="J374" i="1"/>
  <c r="J375" i="1"/>
  <c r="I375" i="1" s="1"/>
  <c r="H375" i="1" s="1"/>
  <c r="G375" i="1" s="1"/>
  <c r="J376" i="1"/>
  <c r="I376" i="1" s="1"/>
  <c r="H376" i="1" s="1"/>
  <c r="G376" i="1" s="1"/>
  <c r="G377" i="1"/>
  <c r="J377" i="1"/>
  <c r="I377" i="1" s="1"/>
  <c r="H377" i="1" s="1"/>
  <c r="J378" i="1"/>
  <c r="I378" i="1" s="1"/>
  <c r="H378" i="1" s="1"/>
  <c r="G378" i="1" s="1"/>
  <c r="H379" i="1"/>
  <c r="G379" i="1" s="1"/>
  <c r="J379" i="1"/>
  <c r="I379" i="1" s="1"/>
  <c r="J380" i="1"/>
  <c r="I380" i="1" s="1"/>
  <c r="H380" i="1" s="1"/>
  <c r="G380" i="1" s="1"/>
  <c r="J381" i="1"/>
  <c r="I381" i="1" s="1"/>
  <c r="H381" i="1" s="1"/>
  <c r="G381" i="1" s="1"/>
  <c r="J382" i="1"/>
  <c r="I382" i="1" s="1"/>
  <c r="H382" i="1" s="1"/>
  <c r="G382" i="1" s="1"/>
  <c r="I383" i="1"/>
  <c r="H383" i="1" s="1"/>
  <c r="G383" i="1" s="1"/>
  <c r="J383" i="1"/>
  <c r="J384" i="1"/>
  <c r="I384" i="1" s="1"/>
  <c r="H384" i="1" s="1"/>
  <c r="G384" i="1" s="1"/>
  <c r="J385" i="1"/>
  <c r="I385" i="1" s="1"/>
  <c r="H385" i="1" s="1"/>
  <c r="G385" i="1" s="1"/>
  <c r="J386" i="1"/>
  <c r="I386" i="1" s="1"/>
  <c r="H386" i="1" s="1"/>
  <c r="G386" i="1" s="1"/>
  <c r="G387" i="1"/>
  <c r="J387" i="1"/>
  <c r="I387" i="1" s="1"/>
  <c r="H387" i="1" s="1"/>
  <c r="J388" i="1"/>
  <c r="I388" i="1" s="1"/>
  <c r="H388" i="1" s="1"/>
  <c r="G388" i="1" s="1"/>
  <c r="I389" i="1"/>
  <c r="H389" i="1" s="1"/>
  <c r="G389" i="1" s="1"/>
  <c r="J389" i="1"/>
  <c r="I390" i="1"/>
  <c r="H390" i="1" s="1"/>
  <c r="G390" i="1" s="1"/>
  <c r="J390" i="1"/>
  <c r="J391" i="1"/>
  <c r="I391" i="1" s="1"/>
  <c r="H391" i="1" s="1"/>
  <c r="G391" i="1" s="1"/>
  <c r="J392" i="1"/>
  <c r="I392" i="1" s="1"/>
  <c r="H392" i="1" s="1"/>
  <c r="G392" i="1" s="1"/>
  <c r="I393" i="1"/>
  <c r="H393" i="1" s="1"/>
  <c r="G393" i="1" s="1"/>
  <c r="J393" i="1"/>
  <c r="I394" i="1"/>
  <c r="H394" i="1" s="1"/>
  <c r="G394" i="1" s="1"/>
  <c r="J394" i="1"/>
  <c r="H395" i="1"/>
  <c r="G395" i="1" s="1"/>
  <c r="I395" i="1"/>
  <c r="J395" i="1"/>
  <c r="J396" i="1"/>
  <c r="I396" i="1" s="1"/>
  <c r="H396" i="1" s="1"/>
  <c r="G396" i="1" s="1"/>
  <c r="J397" i="1"/>
  <c r="I397" i="1" s="1"/>
  <c r="H397" i="1" s="1"/>
  <c r="G397" i="1" s="1"/>
  <c r="I398" i="1"/>
  <c r="H398" i="1" s="1"/>
  <c r="G398" i="1" s="1"/>
  <c r="J398" i="1"/>
  <c r="J399" i="1"/>
  <c r="I399" i="1" s="1"/>
  <c r="H399" i="1" s="1"/>
  <c r="G399" i="1" s="1"/>
  <c r="J400" i="1"/>
  <c r="I400" i="1" s="1"/>
  <c r="H400" i="1" s="1"/>
  <c r="G400" i="1" s="1"/>
  <c r="J401" i="1"/>
  <c r="I401" i="1" s="1"/>
  <c r="H401" i="1" s="1"/>
  <c r="G401" i="1" s="1"/>
  <c r="J402" i="1"/>
  <c r="I402" i="1" s="1"/>
  <c r="H402" i="1" s="1"/>
  <c r="G402" i="1" s="1"/>
  <c r="I403" i="1"/>
  <c r="H403" i="1" s="1"/>
  <c r="G403" i="1" s="1"/>
  <c r="J403" i="1"/>
  <c r="J404" i="1"/>
  <c r="I404" i="1" s="1"/>
  <c r="H404" i="1" s="1"/>
  <c r="G404" i="1" s="1"/>
  <c r="H405" i="1"/>
  <c r="G405" i="1" s="1"/>
  <c r="I405" i="1"/>
  <c r="J405" i="1"/>
  <c r="I406" i="1"/>
  <c r="H406" i="1" s="1"/>
  <c r="G406" i="1" s="1"/>
  <c r="J406" i="1"/>
  <c r="I407" i="1"/>
  <c r="H407" i="1" s="1"/>
  <c r="G407" i="1" s="1"/>
  <c r="J407" i="1"/>
  <c r="J408" i="1"/>
  <c r="I408" i="1" s="1"/>
  <c r="H408" i="1" s="1"/>
  <c r="G408" i="1" s="1"/>
  <c r="I409" i="1"/>
  <c r="H409" i="1" s="1"/>
  <c r="G409" i="1" s="1"/>
  <c r="J409" i="1"/>
  <c r="J410" i="1"/>
  <c r="I410" i="1" s="1"/>
  <c r="H410" i="1" s="1"/>
  <c r="G410" i="1" s="1"/>
  <c r="G411" i="1"/>
  <c r="H411" i="1"/>
  <c r="I411" i="1"/>
  <c r="J411" i="1"/>
  <c r="I412" i="1"/>
  <c r="H412" i="1" s="1"/>
  <c r="G412" i="1" s="1"/>
  <c r="J412" i="1"/>
  <c r="I413" i="1"/>
  <c r="H413" i="1" s="1"/>
  <c r="G413" i="1" s="1"/>
  <c r="J413" i="1"/>
  <c r="J414" i="1"/>
  <c r="I414" i="1" s="1"/>
  <c r="H414" i="1" s="1"/>
  <c r="G414" i="1" s="1"/>
  <c r="J415" i="1"/>
  <c r="I415" i="1" s="1"/>
  <c r="H415" i="1" s="1"/>
  <c r="G415" i="1" s="1"/>
  <c r="J416" i="1"/>
  <c r="I416" i="1" s="1"/>
  <c r="H416" i="1" s="1"/>
  <c r="G416" i="1" s="1"/>
  <c r="G417" i="1"/>
  <c r="H417" i="1"/>
  <c r="I417" i="1"/>
  <c r="J417" i="1"/>
  <c r="J418" i="1"/>
  <c r="I418" i="1" s="1"/>
  <c r="H418" i="1" s="1"/>
  <c r="G418" i="1" s="1"/>
  <c r="I419" i="1"/>
  <c r="H419" i="1" s="1"/>
  <c r="G419" i="1" s="1"/>
  <c r="J419" i="1"/>
  <c r="H420" i="1"/>
  <c r="G420" i="1" s="1"/>
  <c r="I420" i="1"/>
  <c r="J420" i="1"/>
  <c r="I421" i="1"/>
  <c r="H421" i="1" s="1"/>
  <c r="G421" i="1" s="1"/>
  <c r="J421" i="1"/>
  <c r="I422" i="1"/>
  <c r="H422" i="1" s="1"/>
  <c r="G422" i="1" s="1"/>
  <c r="J422" i="1"/>
  <c r="H423" i="1"/>
  <c r="G423" i="1" s="1"/>
  <c r="I423" i="1"/>
  <c r="J423" i="1"/>
  <c r="J424" i="1"/>
  <c r="I424" i="1" s="1"/>
  <c r="H424" i="1" s="1"/>
  <c r="G424" i="1" s="1"/>
  <c r="J425" i="1"/>
  <c r="I425" i="1" s="1"/>
  <c r="H425" i="1" s="1"/>
  <c r="G425" i="1" s="1"/>
  <c r="I426" i="1"/>
  <c r="H426" i="1" s="1"/>
  <c r="G426" i="1" s="1"/>
  <c r="J426" i="1"/>
  <c r="J427" i="1"/>
  <c r="I427" i="1" s="1"/>
  <c r="H427" i="1" s="1"/>
  <c r="G427" i="1" s="1"/>
  <c r="J428" i="1"/>
  <c r="I428" i="1" s="1"/>
  <c r="H428" i="1" s="1"/>
  <c r="G428" i="1" s="1"/>
  <c r="H429" i="1"/>
  <c r="G429" i="1" s="1"/>
  <c r="I429" i="1"/>
  <c r="J429" i="1"/>
  <c r="J430" i="1"/>
  <c r="I430" i="1" s="1"/>
  <c r="H430" i="1" s="1"/>
  <c r="G430" i="1" s="1"/>
  <c r="I431" i="1"/>
  <c r="H431" i="1" s="1"/>
  <c r="G431" i="1" s="1"/>
  <c r="J431" i="1"/>
  <c r="J432" i="1"/>
  <c r="I432" i="1" s="1"/>
  <c r="H432" i="1" s="1"/>
  <c r="G432" i="1" s="1"/>
  <c r="H433" i="1"/>
  <c r="G433" i="1" s="1"/>
  <c r="I433" i="1"/>
  <c r="J433" i="1"/>
  <c r="J434" i="1"/>
  <c r="I434" i="1" s="1"/>
  <c r="H434" i="1" s="1"/>
  <c r="G434" i="1" s="1"/>
  <c r="I435" i="1"/>
  <c r="H435" i="1" s="1"/>
  <c r="G435" i="1" s="1"/>
  <c r="J435" i="1"/>
  <c r="H436" i="1"/>
  <c r="G436" i="1" s="1"/>
  <c r="I436" i="1"/>
  <c r="J436" i="1"/>
  <c r="J437" i="1"/>
  <c r="I437" i="1" s="1"/>
  <c r="H437" i="1" s="1"/>
  <c r="G437" i="1" s="1"/>
  <c r="J438" i="1"/>
  <c r="I438" i="1" s="1"/>
  <c r="H438" i="1" s="1"/>
  <c r="G438" i="1" s="1"/>
  <c r="J439" i="1"/>
  <c r="I439" i="1" s="1"/>
  <c r="H439" i="1" s="1"/>
  <c r="G439" i="1" s="1"/>
  <c r="J440" i="1"/>
  <c r="I440" i="1" s="1"/>
  <c r="H440" i="1" s="1"/>
  <c r="G440" i="1" s="1"/>
  <c r="I441" i="1"/>
  <c r="H441" i="1" s="1"/>
  <c r="G441" i="1" s="1"/>
  <c r="J441" i="1"/>
  <c r="J442" i="1"/>
  <c r="I442" i="1" s="1"/>
  <c r="H442" i="1" s="1"/>
  <c r="G442" i="1" s="1"/>
  <c r="H443" i="1"/>
  <c r="G443" i="1" s="1"/>
  <c r="I443" i="1"/>
  <c r="J443" i="1"/>
  <c r="J444" i="1"/>
  <c r="I444" i="1" s="1"/>
  <c r="H444" i="1" s="1"/>
  <c r="G444" i="1" s="1"/>
  <c r="I445" i="1"/>
  <c r="H445" i="1" s="1"/>
  <c r="G445" i="1" s="1"/>
  <c r="J445" i="1"/>
  <c r="I446" i="1"/>
  <c r="H446" i="1" s="1"/>
  <c r="G446" i="1" s="1"/>
  <c r="J446" i="1"/>
  <c r="H447" i="1"/>
  <c r="G447" i="1" s="1"/>
  <c r="I447" i="1"/>
  <c r="J447" i="1"/>
  <c r="J448" i="1"/>
  <c r="I448" i="1" s="1"/>
  <c r="H448" i="1" s="1"/>
  <c r="G448" i="1" s="1"/>
  <c r="J449" i="1"/>
  <c r="I449" i="1" s="1"/>
  <c r="H449" i="1" s="1"/>
  <c r="G449" i="1" s="1"/>
  <c r="J450" i="1"/>
  <c r="I450" i="1" s="1"/>
  <c r="H450" i="1" s="1"/>
  <c r="G450" i="1" s="1"/>
  <c r="H451" i="1"/>
  <c r="G451" i="1" s="1"/>
  <c r="I451" i="1"/>
  <c r="J451" i="1"/>
  <c r="I452" i="1"/>
  <c r="H452" i="1" s="1"/>
  <c r="G452" i="1" s="1"/>
  <c r="J452" i="1"/>
  <c r="J453" i="1"/>
  <c r="I453" i="1" s="1"/>
  <c r="H453" i="1" s="1"/>
  <c r="G453" i="1" s="1"/>
  <c r="I454" i="1"/>
  <c r="H454" i="1" s="1"/>
  <c r="G454" i="1" s="1"/>
  <c r="J454" i="1"/>
  <c r="I455" i="1"/>
  <c r="H455" i="1" s="1"/>
  <c r="G455" i="1" s="1"/>
  <c r="J455" i="1"/>
  <c r="J456" i="1"/>
  <c r="I456" i="1" s="1"/>
  <c r="H456" i="1" s="1"/>
  <c r="G456" i="1" s="1"/>
  <c r="H457" i="1"/>
  <c r="G457" i="1" s="1"/>
  <c r="I457" i="1"/>
  <c r="J457" i="1"/>
  <c r="J458" i="1"/>
  <c r="I458" i="1" s="1"/>
  <c r="H458" i="1" s="1"/>
  <c r="G458" i="1" s="1"/>
  <c r="J459" i="1"/>
  <c r="I459" i="1" s="1"/>
  <c r="H459" i="1" s="1"/>
  <c r="G459" i="1" s="1"/>
  <c r="I460" i="1"/>
  <c r="H460" i="1" s="1"/>
  <c r="G460" i="1" s="1"/>
  <c r="J460" i="1"/>
  <c r="J461" i="1"/>
  <c r="I461" i="1" s="1"/>
  <c r="H461" i="1" s="1"/>
  <c r="G461" i="1" s="1"/>
  <c r="J462" i="1"/>
  <c r="I462" i="1" s="1"/>
  <c r="H462" i="1" s="1"/>
  <c r="G462" i="1" s="1"/>
  <c r="H463" i="1"/>
  <c r="G463" i="1" s="1"/>
  <c r="I463" i="1"/>
  <c r="J463" i="1"/>
  <c r="J464" i="1"/>
  <c r="I464" i="1" s="1"/>
  <c r="H464" i="1" s="1"/>
  <c r="G464" i="1" s="1"/>
  <c r="I465" i="1"/>
  <c r="H465" i="1" s="1"/>
  <c r="G465" i="1" s="1"/>
  <c r="J465" i="1"/>
  <c r="J466" i="1"/>
  <c r="I466" i="1" s="1"/>
  <c r="H466" i="1" s="1"/>
  <c r="G466" i="1" s="1"/>
  <c r="J467" i="1"/>
  <c r="I467" i="1" s="1"/>
  <c r="H467" i="1" s="1"/>
  <c r="G467" i="1" s="1"/>
  <c r="J468" i="1"/>
  <c r="I468" i="1" s="1"/>
  <c r="H468" i="1" s="1"/>
  <c r="G468" i="1" s="1"/>
  <c r="I469" i="1"/>
  <c r="H469" i="1" s="1"/>
  <c r="G469" i="1" s="1"/>
  <c r="J469" i="1"/>
  <c r="J470" i="1"/>
  <c r="I470" i="1" s="1"/>
  <c r="H470" i="1" s="1"/>
  <c r="G470" i="1" s="1"/>
  <c r="I471" i="1"/>
  <c r="H471" i="1" s="1"/>
  <c r="G471" i="1" s="1"/>
  <c r="J471" i="1"/>
  <c r="J472" i="1"/>
  <c r="I472" i="1" s="1"/>
  <c r="H472" i="1" s="1"/>
  <c r="G472" i="1" s="1"/>
  <c r="J473" i="1"/>
  <c r="I473" i="1" s="1"/>
  <c r="H473" i="1" s="1"/>
  <c r="G473" i="1" s="1"/>
  <c r="J474" i="1"/>
  <c r="I474" i="1" s="1"/>
  <c r="H474" i="1" s="1"/>
  <c r="G474" i="1" s="1"/>
  <c r="I475" i="1"/>
  <c r="H475" i="1" s="1"/>
  <c r="G475" i="1" s="1"/>
  <c r="J475" i="1"/>
  <c r="J476" i="1"/>
  <c r="I476" i="1" s="1"/>
  <c r="H476" i="1" s="1"/>
  <c r="G476" i="1" s="1"/>
  <c r="J477" i="1"/>
  <c r="I477" i="1" s="1"/>
  <c r="H477" i="1" s="1"/>
  <c r="G477" i="1" s="1"/>
  <c r="J478" i="1"/>
  <c r="I478" i="1" s="1"/>
  <c r="H478" i="1" s="1"/>
  <c r="G478" i="1" s="1"/>
  <c r="I479" i="1"/>
  <c r="H479" i="1" s="1"/>
  <c r="G479" i="1" s="1"/>
  <c r="J479" i="1"/>
  <c r="J480" i="1"/>
  <c r="I480" i="1" s="1"/>
  <c r="H480" i="1" s="1"/>
  <c r="G480" i="1" s="1"/>
  <c r="G481" i="1"/>
  <c r="H481" i="1"/>
  <c r="I481" i="1"/>
  <c r="J481" i="1"/>
  <c r="J482" i="1"/>
  <c r="I482" i="1" s="1"/>
  <c r="H482" i="1" s="1"/>
  <c r="G482" i="1" s="1"/>
  <c r="J483" i="1"/>
  <c r="I483" i="1" s="1"/>
  <c r="H483" i="1" s="1"/>
  <c r="G483" i="1" s="1"/>
  <c r="J484" i="1"/>
  <c r="I484" i="1" s="1"/>
  <c r="H484" i="1" s="1"/>
  <c r="G484" i="1" s="1"/>
  <c r="G485" i="1"/>
  <c r="J485" i="1"/>
  <c r="I485" i="1" s="1"/>
  <c r="H485" i="1" s="1"/>
  <c r="J486" i="1"/>
  <c r="I486" i="1" s="1"/>
  <c r="H486" i="1" s="1"/>
  <c r="G486" i="1" s="1"/>
  <c r="J487" i="1"/>
  <c r="I487" i="1" s="1"/>
  <c r="H487" i="1" s="1"/>
  <c r="G487" i="1" s="1"/>
  <c r="J488" i="1"/>
  <c r="I488" i="1" s="1"/>
  <c r="H488" i="1" s="1"/>
  <c r="G488" i="1" s="1"/>
  <c r="J489" i="1"/>
  <c r="I489" i="1" s="1"/>
  <c r="H489" i="1" s="1"/>
  <c r="G489" i="1" s="1"/>
  <c r="J490" i="1"/>
  <c r="I490" i="1" s="1"/>
  <c r="H490" i="1" s="1"/>
  <c r="G490" i="1" s="1"/>
  <c r="J491" i="1"/>
  <c r="I491" i="1" s="1"/>
  <c r="H491" i="1" s="1"/>
  <c r="G491" i="1" s="1"/>
  <c r="J492" i="1"/>
  <c r="I492" i="1" s="1"/>
  <c r="H492" i="1" s="1"/>
  <c r="G492" i="1" s="1"/>
  <c r="J493" i="1"/>
  <c r="I493" i="1" s="1"/>
  <c r="H493" i="1" s="1"/>
  <c r="G493" i="1" s="1"/>
  <c r="J494" i="1"/>
  <c r="I494" i="1" s="1"/>
  <c r="H494" i="1" s="1"/>
  <c r="G494" i="1" s="1"/>
  <c r="H495" i="1"/>
  <c r="G495" i="1" s="1"/>
  <c r="I495" i="1"/>
  <c r="J495" i="1"/>
  <c r="J496" i="1"/>
  <c r="I496" i="1" s="1"/>
  <c r="H496" i="1" s="1"/>
  <c r="G496" i="1" s="1"/>
  <c r="J497" i="1"/>
  <c r="I497" i="1" s="1"/>
  <c r="H497" i="1" s="1"/>
  <c r="G497" i="1" s="1"/>
  <c r="J498" i="1"/>
  <c r="I498" i="1" s="1"/>
  <c r="H498" i="1" s="1"/>
  <c r="G498" i="1" s="1"/>
  <c r="H499" i="1"/>
  <c r="G499" i="1" s="1"/>
  <c r="I499" i="1"/>
  <c r="J499" i="1"/>
  <c r="J500" i="1"/>
  <c r="I500" i="1" s="1"/>
  <c r="H500" i="1" s="1"/>
  <c r="G500" i="1" s="1"/>
  <c r="J501" i="1"/>
  <c r="I501" i="1" s="1"/>
  <c r="H501" i="1" s="1"/>
  <c r="G501" i="1" s="1"/>
  <c r="J502" i="1"/>
  <c r="I502" i="1" s="1"/>
  <c r="H502" i="1" s="1"/>
  <c r="G502" i="1" s="1"/>
  <c r="H503" i="1"/>
  <c r="G503" i="1" s="1"/>
  <c r="I503" i="1"/>
  <c r="J503" i="1"/>
  <c r="J504" i="1"/>
  <c r="I504" i="1" s="1"/>
  <c r="H504" i="1" s="1"/>
  <c r="G504" i="1" s="1"/>
  <c r="J505" i="1"/>
  <c r="I505" i="1" s="1"/>
  <c r="H505" i="1" s="1"/>
  <c r="G505" i="1" s="1"/>
  <c r="J506" i="1"/>
  <c r="I506" i="1" s="1"/>
  <c r="H506" i="1" s="1"/>
  <c r="G506" i="1" s="1"/>
  <c r="J507" i="1"/>
  <c r="I507" i="1" s="1"/>
  <c r="H507" i="1" s="1"/>
  <c r="G507" i="1" s="1"/>
  <c r="J508" i="1"/>
  <c r="I508" i="1" s="1"/>
  <c r="H508" i="1" s="1"/>
  <c r="G508" i="1" s="1"/>
  <c r="H509" i="1"/>
  <c r="G509" i="1" s="1"/>
  <c r="I509" i="1"/>
  <c r="J509" i="1"/>
  <c r="J510" i="1"/>
  <c r="I510" i="1" s="1"/>
  <c r="H510" i="1" s="1"/>
  <c r="G510" i="1" s="1"/>
  <c r="I511" i="1"/>
  <c r="H511" i="1" s="1"/>
  <c r="G511" i="1" s="1"/>
  <c r="J511" i="1"/>
  <c r="J512" i="1"/>
  <c r="I512" i="1" s="1"/>
  <c r="H512" i="1" s="1"/>
  <c r="G512" i="1" s="1"/>
  <c r="H513" i="1"/>
  <c r="G513" i="1" s="1"/>
  <c r="I513" i="1"/>
  <c r="J513" i="1"/>
  <c r="J514" i="1"/>
  <c r="I514" i="1" s="1"/>
  <c r="H514" i="1" s="1"/>
  <c r="G514" i="1" s="1"/>
  <c r="J515" i="1"/>
  <c r="I515" i="1" s="1"/>
  <c r="H515" i="1" s="1"/>
  <c r="G515" i="1" s="1"/>
  <c r="J516" i="1"/>
  <c r="I516" i="1" s="1"/>
  <c r="H516" i="1" s="1"/>
  <c r="G516" i="1" s="1"/>
  <c r="H517" i="1"/>
  <c r="G517" i="1" s="1"/>
  <c r="I517" i="1"/>
  <c r="J517" i="1"/>
  <c r="J518" i="1"/>
  <c r="I518" i="1" s="1"/>
  <c r="H518" i="1" s="1"/>
  <c r="G518" i="1" s="1"/>
  <c r="J519" i="1"/>
  <c r="I519" i="1" s="1"/>
  <c r="H519" i="1" s="1"/>
  <c r="G519" i="1" s="1"/>
  <c r="J520" i="1"/>
  <c r="I520" i="1" s="1"/>
  <c r="H520" i="1" s="1"/>
  <c r="G520" i="1" s="1"/>
  <c r="J521" i="1"/>
  <c r="I521" i="1" s="1"/>
  <c r="H521" i="1" s="1"/>
  <c r="G521" i="1" s="1"/>
  <c r="J522" i="1"/>
  <c r="I522" i="1" s="1"/>
  <c r="H522" i="1" s="1"/>
  <c r="G522" i="1" s="1"/>
  <c r="J523" i="1"/>
  <c r="I523" i="1" s="1"/>
  <c r="H523" i="1" s="1"/>
  <c r="G523" i="1" s="1"/>
  <c r="J524" i="1"/>
  <c r="I524" i="1" s="1"/>
  <c r="H524" i="1" s="1"/>
  <c r="G524" i="1" s="1"/>
  <c r="J525" i="1"/>
  <c r="I525" i="1" s="1"/>
  <c r="H525" i="1" s="1"/>
  <c r="G525" i="1" s="1"/>
  <c r="J526" i="1"/>
  <c r="I526" i="1" s="1"/>
  <c r="H526" i="1" s="1"/>
  <c r="G526" i="1" s="1"/>
  <c r="H527" i="1"/>
  <c r="G527" i="1" s="1"/>
  <c r="I527" i="1"/>
  <c r="J527" i="1"/>
  <c r="J528" i="1"/>
  <c r="I528" i="1" s="1"/>
  <c r="H528" i="1" s="1"/>
  <c r="G528" i="1" s="1"/>
  <c r="J529" i="1"/>
  <c r="I529" i="1" s="1"/>
  <c r="H529" i="1" s="1"/>
  <c r="G529" i="1" s="1"/>
  <c r="J530" i="1"/>
  <c r="I530" i="1" s="1"/>
  <c r="H530" i="1" s="1"/>
  <c r="G530" i="1" s="1"/>
  <c r="H531" i="1"/>
  <c r="G531" i="1" s="1"/>
  <c r="I531" i="1"/>
  <c r="J531" i="1"/>
  <c r="J532" i="1"/>
  <c r="I532" i="1" s="1"/>
  <c r="H532" i="1" s="1"/>
  <c r="G532" i="1" s="1"/>
  <c r="I533" i="1"/>
  <c r="H533" i="1" s="1"/>
  <c r="G533" i="1" s="1"/>
  <c r="J533" i="1"/>
  <c r="J534" i="1"/>
  <c r="I534" i="1" s="1"/>
  <c r="H534" i="1" s="1"/>
  <c r="G534" i="1" s="1"/>
  <c r="J535" i="1"/>
  <c r="I535" i="1" s="1"/>
  <c r="H535" i="1" s="1"/>
  <c r="G535" i="1" s="1"/>
  <c r="J536" i="1"/>
  <c r="I536" i="1" s="1"/>
  <c r="H536" i="1" s="1"/>
  <c r="G536" i="1" s="1"/>
  <c r="J537" i="1"/>
  <c r="I537" i="1" s="1"/>
  <c r="H537" i="1" s="1"/>
  <c r="G537" i="1" s="1"/>
  <c r="J538" i="1"/>
  <c r="I538" i="1" s="1"/>
  <c r="H538" i="1" s="1"/>
  <c r="G538" i="1" s="1"/>
  <c r="I539" i="1"/>
  <c r="H539" i="1" s="1"/>
  <c r="G539" i="1" s="1"/>
  <c r="J539" i="1"/>
  <c r="J540" i="1"/>
  <c r="I540" i="1" s="1"/>
  <c r="H540" i="1" s="1"/>
  <c r="G540" i="1" s="1"/>
  <c r="J541" i="1"/>
  <c r="I541" i="1" s="1"/>
  <c r="H541" i="1" s="1"/>
  <c r="G541" i="1" s="1"/>
  <c r="J542" i="1"/>
  <c r="I542" i="1" s="1"/>
  <c r="H542" i="1" s="1"/>
  <c r="G542" i="1" s="1"/>
  <c r="I543" i="1"/>
  <c r="H543" i="1" s="1"/>
  <c r="G543" i="1" s="1"/>
  <c r="J543" i="1"/>
  <c r="J544" i="1"/>
  <c r="I544" i="1" s="1"/>
  <c r="H544" i="1" s="1"/>
  <c r="G544" i="1" s="1"/>
  <c r="G545" i="1"/>
  <c r="H545" i="1"/>
  <c r="I545" i="1"/>
  <c r="J545" i="1"/>
  <c r="J546" i="1"/>
  <c r="I546" i="1" s="1"/>
  <c r="H546" i="1" s="1"/>
  <c r="G546" i="1" s="1"/>
  <c r="J547" i="1"/>
  <c r="I547" i="1" s="1"/>
  <c r="H547" i="1" s="1"/>
  <c r="G547" i="1" s="1"/>
  <c r="J548" i="1"/>
  <c r="I548" i="1" s="1"/>
  <c r="H548" i="1" s="1"/>
  <c r="G548" i="1" s="1"/>
  <c r="H549" i="1"/>
  <c r="G549" i="1" s="1"/>
  <c r="I549" i="1"/>
  <c r="J549" i="1"/>
  <c r="J550" i="1"/>
  <c r="I550" i="1" s="1"/>
  <c r="H550" i="1" s="1"/>
  <c r="G550" i="1" s="1"/>
  <c r="J551" i="1"/>
  <c r="I551" i="1" s="1"/>
  <c r="H551" i="1" s="1"/>
  <c r="G551" i="1" s="1"/>
  <c r="J552" i="1"/>
  <c r="I552" i="1" s="1"/>
  <c r="H552" i="1" s="1"/>
  <c r="G552" i="1" s="1"/>
  <c r="H553" i="1"/>
  <c r="G553" i="1" s="1"/>
  <c r="I553" i="1"/>
  <c r="J553" i="1"/>
  <c r="J554" i="1"/>
  <c r="I554" i="1" s="1"/>
  <c r="H554" i="1" s="1"/>
  <c r="G554" i="1" s="1"/>
  <c r="J555" i="1"/>
  <c r="I555" i="1" s="1"/>
  <c r="H555" i="1" s="1"/>
  <c r="G555" i="1" s="1"/>
  <c r="J556" i="1"/>
  <c r="I556" i="1" s="1"/>
  <c r="H556" i="1" s="1"/>
  <c r="G556" i="1" s="1"/>
  <c r="H557" i="1"/>
  <c r="G557" i="1" s="1"/>
  <c r="I557" i="1"/>
  <c r="J557" i="1"/>
  <c r="J558" i="1"/>
  <c r="I558" i="1" s="1"/>
  <c r="H558" i="1" s="1"/>
  <c r="G558" i="1" s="1"/>
  <c r="J559" i="1"/>
  <c r="I559" i="1" s="1"/>
  <c r="H559" i="1" s="1"/>
  <c r="G559" i="1" s="1"/>
  <c r="J560" i="1"/>
  <c r="I560" i="1" s="1"/>
  <c r="H560" i="1" s="1"/>
  <c r="G560" i="1" s="1"/>
  <c r="G561" i="1"/>
  <c r="J561" i="1"/>
  <c r="I561" i="1" s="1"/>
  <c r="H561" i="1" s="1"/>
  <c r="J562" i="1"/>
  <c r="I562" i="1" s="1"/>
  <c r="H562" i="1" s="1"/>
  <c r="G562" i="1" s="1"/>
  <c r="J563" i="1"/>
  <c r="I563" i="1" s="1"/>
  <c r="H563" i="1" s="1"/>
  <c r="G563" i="1" s="1"/>
  <c r="J564" i="1"/>
  <c r="I564" i="1" s="1"/>
  <c r="H564" i="1" s="1"/>
  <c r="G564" i="1" s="1"/>
  <c r="I565" i="1"/>
  <c r="H565" i="1" s="1"/>
  <c r="G565" i="1" s="1"/>
  <c r="J565" i="1"/>
  <c r="J566" i="1"/>
  <c r="I566" i="1" s="1"/>
  <c r="H566" i="1" s="1"/>
  <c r="G566" i="1" s="1"/>
  <c r="H567" i="1"/>
  <c r="G567" i="1" s="1"/>
  <c r="I567" i="1"/>
  <c r="J567" i="1"/>
  <c r="J568" i="1"/>
  <c r="I568" i="1" s="1"/>
  <c r="H568" i="1" s="1"/>
  <c r="G568" i="1" s="1"/>
  <c r="I569" i="1"/>
  <c r="H569" i="1" s="1"/>
  <c r="G569" i="1" s="1"/>
  <c r="J569" i="1"/>
  <c r="J570" i="1"/>
  <c r="I570" i="1" s="1"/>
  <c r="H570" i="1" s="1"/>
  <c r="G570" i="1" s="1"/>
  <c r="H571" i="1"/>
  <c r="G571" i="1" s="1"/>
  <c r="I571" i="1"/>
  <c r="J571" i="1"/>
  <c r="J572" i="1"/>
  <c r="I572" i="1" s="1"/>
  <c r="H572" i="1" s="1"/>
  <c r="G572" i="1" s="1"/>
  <c r="I573" i="1"/>
  <c r="H573" i="1" s="1"/>
  <c r="G573" i="1" s="1"/>
  <c r="J573" i="1"/>
  <c r="J574" i="1"/>
  <c r="I574" i="1" s="1"/>
  <c r="H574" i="1" s="1"/>
  <c r="G574" i="1" s="1"/>
  <c r="J575" i="1"/>
  <c r="I575" i="1" s="1"/>
  <c r="H575" i="1" s="1"/>
  <c r="G575" i="1" s="1"/>
  <c r="J576" i="1"/>
  <c r="I576" i="1" s="1"/>
  <c r="H576" i="1" s="1"/>
  <c r="G576" i="1" s="1"/>
  <c r="J577" i="1"/>
  <c r="I577" i="1" s="1"/>
  <c r="H577" i="1" s="1"/>
  <c r="G577" i="1" s="1"/>
  <c r="J578" i="1"/>
  <c r="I578" i="1" s="1"/>
  <c r="H578" i="1" s="1"/>
  <c r="G578" i="1" s="1"/>
  <c r="H579" i="1"/>
  <c r="G579" i="1" s="1"/>
  <c r="I579" i="1"/>
  <c r="J579" i="1"/>
  <c r="J580" i="1"/>
  <c r="I580" i="1" s="1"/>
  <c r="H580" i="1" s="1"/>
  <c r="G580" i="1" s="1"/>
  <c r="J581" i="1"/>
  <c r="I581" i="1" s="1"/>
  <c r="H581" i="1" s="1"/>
  <c r="G581" i="1" s="1"/>
  <c r="J582" i="1"/>
  <c r="I582" i="1" s="1"/>
  <c r="H582" i="1" s="1"/>
  <c r="G582" i="1" s="1"/>
  <c r="J583" i="1"/>
  <c r="I583" i="1" s="1"/>
  <c r="H583" i="1" s="1"/>
  <c r="G583" i="1" s="1"/>
  <c r="J584" i="1"/>
  <c r="I584" i="1" s="1"/>
  <c r="H584" i="1" s="1"/>
  <c r="G584" i="1" s="1"/>
  <c r="H585" i="1"/>
  <c r="G585" i="1" s="1"/>
  <c r="I585" i="1"/>
  <c r="J585" i="1"/>
  <c r="J586" i="1"/>
  <c r="I586" i="1" s="1"/>
  <c r="H586" i="1" s="1"/>
  <c r="G586" i="1" s="1"/>
  <c r="J587" i="1"/>
  <c r="I587" i="1" s="1"/>
  <c r="H587" i="1" s="1"/>
  <c r="G587" i="1" s="1"/>
  <c r="J588" i="1"/>
  <c r="I588" i="1" s="1"/>
  <c r="H588" i="1" s="1"/>
  <c r="G588" i="1" s="1"/>
  <c r="J589" i="1"/>
  <c r="I589" i="1" s="1"/>
  <c r="H589" i="1" s="1"/>
  <c r="G589" i="1" s="1"/>
  <c r="J590" i="1"/>
  <c r="I590" i="1" s="1"/>
  <c r="H590" i="1" s="1"/>
  <c r="G590" i="1" s="1"/>
  <c r="J591" i="1"/>
  <c r="I591" i="1" s="1"/>
  <c r="H591" i="1" s="1"/>
  <c r="G591" i="1" s="1"/>
  <c r="J592" i="1"/>
  <c r="I592" i="1" s="1"/>
  <c r="H592" i="1" s="1"/>
  <c r="G592" i="1" s="1"/>
  <c r="I593" i="1"/>
  <c r="H593" i="1" s="1"/>
  <c r="G593" i="1" s="1"/>
  <c r="J593" i="1"/>
  <c r="J594" i="1"/>
  <c r="I594" i="1" s="1"/>
  <c r="H594" i="1" s="1"/>
  <c r="G594" i="1" s="1"/>
  <c r="J595" i="1"/>
  <c r="I595" i="1" s="1"/>
  <c r="H595" i="1" s="1"/>
  <c r="G595" i="1" s="1"/>
  <c r="J596" i="1"/>
  <c r="I596" i="1" s="1"/>
  <c r="H596" i="1" s="1"/>
  <c r="G596" i="1" s="1"/>
  <c r="H597" i="1"/>
  <c r="G597" i="1" s="1"/>
  <c r="I597" i="1"/>
  <c r="J597" i="1"/>
  <c r="J598" i="1"/>
  <c r="I598" i="1" s="1"/>
  <c r="H598" i="1" s="1"/>
  <c r="G598" i="1" s="1"/>
  <c r="I599" i="1"/>
  <c r="H599" i="1" s="1"/>
  <c r="G599" i="1" s="1"/>
  <c r="J599" i="1"/>
  <c r="J600" i="1"/>
  <c r="I600" i="1" s="1"/>
  <c r="H600" i="1" s="1"/>
  <c r="G600" i="1" s="1"/>
  <c r="H601" i="1"/>
  <c r="G601" i="1" s="1"/>
  <c r="I601" i="1"/>
  <c r="J601" i="1"/>
  <c r="J602" i="1"/>
  <c r="I602" i="1" s="1"/>
  <c r="H602" i="1" s="1"/>
  <c r="G602" i="1" s="1"/>
  <c r="I603" i="1"/>
  <c r="H603" i="1" s="1"/>
  <c r="G603" i="1" s="1"/>
  <c r="J603" i="1"/>
  <c r="J604" i="1"/>
  <c r="I604" i="1" s="1"/>
  <c r="H604" i="1" s="1"/>
  <c r="G604" i="1" s="1"/>
  <c r="H605" i="1"/>
  <c r="G605" i="1" s="1"/>
  <c r="I605" i="1"/>
  <c r="J605" i="1"/>
  <c r="J606" i="1"/>
  <c r="I606" i="1" s="1"/>
  <c r="H606" i="1" s="1"/>
  <c r="G606" i="1" s="1"/>
  <c r="J607" i="1"/>
  <c r="I607" i="1" s="1"/>
  <c r="H607" i="1" s="1"/>
  <c r="G607" i="1" s="1"/>
  <c r="J608" i="1"/>
  <c r="I608" i="1" s="1"/>
  <c r="H608" i="1" s="1"/>
  <c r="G608" i="1" s="1"/>
  <c r="G609" i="1"/>
  <c r="J609" i="1"/>
  <c r="I609" i="1" s="1"/>
  <c r="H609" i="1" s="1"/>
  <c r="J610" i="1"/>
  <c r="I610" i="1" s="1"/>
  <c r="H610" i="1" s="1"/>
  <c r="G610" i="1" s="1"/>
  <c r="I611" i="1"/>
  <c r="H611" i="1" s="1"/>
  <c r="G611" i="1" s="1"/>
  <c r="J611" i="1"/>
  <c r="J612" i="1"/>
  <c r="I612" i="1" s="1"/>
  <c r="H612" i="1" s="1"/>
  <c r="G612" i="1" s="1"/>
  <c r="J613" i="1"/>
  <c r="I613" i="1" s="1"/>
  <c r="H613" i="1" s="1"/>
  <c r="G613" i="1" s="1"/>
  <c r="J614" i="1"/>
  <c r="I614" i="1" s="1"/>
  <c r="H614" i="1" s="1"/>
  <c r="G614" i="1" s="1"/>
  <c r="I615" i="1"/>
  <c r="H615" i="1" s="1"/>
  <c r="G615" i="1" s="1"/>
  <c r="J615" i="1"/>
  <c r="J616" i="1"/>
  <c r="I616" i="1" s="1"/>
  <c r="H616" i="1" s="1"/>
  <c r="G616" i="1" s="1"/>
  <c r="J617" i="1"/>
  <c r="I617" i="1" s="1"/>
  <c r="H617" i="1" s="1"/>
  <c r="G617" i="1" s="1"/>
  <c r="J618" i="1"/>
  <c r="I618" i="1" s="1"/>
  <c r="H618" i="1" s="1"/>
  <c r="G618" i="1" s="1"/>
  <c r="H619" i="1"/>
  <c r="G619" i="1" s="1"/>
  <c r="I619" i="1"/>
  <c r="J619" i="1"/>
  <c r="J620" i="1"/>
  <c r="I620" i="1" s="1"/>
  <c r="H620" i="1" s="1"/>
  <c r="G620" i="1" s="1"/>
  <c r="J621" i="1"/>
  <c r="I621" i="1" s="1"/>
  <c r="H621" i="1" s="1"/>
  <c r="G621" i="1" s="1"/>
  <c r="J622" i="1"/>
  <c r="I622" i="1" s="1"/>
  <c r="H622" i="1" s="1"/>
  <c r="G622" i="1" s="1"/>
  <c r="H623" i="1"/>
  <c r="G623" i="1" s="1"/>
  <c r="I623" i="1"/>
  <c r="J623" i="1"/>
  <c r="J624" i="1"/>
  <c r="I624" i="1" s="1"/>
  <c r="H624" i="1" s="1"/>
  <c r="G624" i="1" s="1"/>
  <c r="J625" i="1"/>
  <c r="I625" i="1" s="1"/>
  <c r="H625" i="1" s="1"/>
  <c r="G625" i="1" s="1"/>
  <c r="J626" i="1"/>
  <c r="I626" i="1" s="1"/>
  <c r="H626" i="1" s="1"/>
  <c r="G626" i="1" s="1"/>
  <c r="J627" i="1"/>
  <c r="I627" i="1" s="1"/>
  <c r="H627" i="1" s="1"/>
  <c r="G627" i="1" s="1"/>
  <c r="J628" i="1"/>
  <c r="I628" i="1" s="1"/>
  <c r="H628" i="1" s="1"/>
  <c r="G628" i="1" s="1"/>
  <c r="H629" i="1"/>
  <c r="G629" i="1" s="1"/>
  <c r="I629" i="1"/>
  <c r="J629" i="1"/>
  <c r="J630" i="1"/>
  <c r="I630" i="1" s="1"/>
  <c r="H630" i="1" s="1"/>
  <c r="G630" i="1" s="1"/>
  <c r="J631" i="1"/>
  <c r="I631" i="1" s="1"/>
  <c r="H631" i="1" s="1"/>
  <c r="G631" i="1" s="1"/>
  <c r="J632" i="1"/>
  <c r="I632" i="1" s="1"/>
  <c r="H632" i="1" s="1"/>
  <c r="G632" i="1" s="1"/>
  <c r="J633" i="1"/>
  <c r="I633" i="1" s="1"/>
  <c r="H633" i="1" s="1"/>
  <c r="G633" i="1" s="1"/>
  <c r="J634" i="1"/>
  <c r="I634" i="1" s="1"/>
  <c r="H634" i="1" s="1"/>
  <c r="G634" i="1" s="1"/>
  <c r="J635" i="1"/>
  <c r="I635" i="1" s="1"/>
  <c r="H635" i="1" s="1"/>
  <c r="G635" i="1" s="1"/>
  <c r="J636" i="1"/>
  <c r="I636" i="1" s="1"/>
  <c r="H636" i="1" s="1"/>
  <c r="G636" i="1" s="1"/>
  <c r="J637" i="1"/>
  <c r="I637" i="1" s="1"/>
  <c r="H637" i="1" s="1"/>
  <c r="G637" i="1" s="1"/>
  <c r="J638" i="1"/>
  <c r="I638" i="1" s="1"/>
  <c r="H638" i="1" s="1"/>
  <c r="G638" i="1" s="1"/>
  <c r="I639" i="1"/>
  <c r="H639" i="1" s="1"/>
  <c r="G639" i="1" s="1"/>
  <c r="J639" i="1"/>
  <c r="J640" i="1"/>
  <c r="I640" i="1" s="1"/>
  <c r="H640" i="1" s="1"/>
  <c r="G640" i="1" s="1"/>
  <c r="I641" i="1"/>
  <c r="H641" i="1" s="1"/>
  <c r="G641" i="1" s="1"/>
  <c r="J641" i="1"/>
  <c r="J642" i="1"/>
  <c r="I642" i="1" s="1"/>
  <c r="H642" i="1" s="1"/>
  <c r="G642" i="1" s="1"/>
  <c r="I643" i="1"/>
  <c r="H643" i="1" s="1"/>
  <c r="G643" i="1" s="1"/>
  <c r="J643" i="1"/>
  <c r="J644" i="1"/>
  <c r="I644" i="1" s="1"/>
  <c r="H644" i="1" s="1"/>
  <c r="G644" i="1" s="1"/>
  <c r="H645" i="1"/>
  <c r="G645" i="1" s="1"/>
  <c r="I645" i="1"/>
  <c r="J645" i="1"/>
  <c r="J646" i="1"/>
  <c r="I646" i="1" s="1"/>
  <c r="H646" i="1" s="1"/>
  <c r="G646" i="1" s="1"/>
  <c r="J647" i="1"/>
  <c r="I647" i="1" s="1"/>
  <c r="H647" i="1" s="1"/>
  <c r="G647" i="1" s="1"/>
  <c r="J648" i="1"/>
  <c r="I648" i="1" s="1"/>
  <c r="H648" i="1" s="1"/>
  <c r="G648" i="1" s="1"/>
  <c r="J649" i="1"/>
  <c r="I649" i="1" s="1"/>
  <c r="H649" i="1" s="1"/>
  <c r="G649" i="1" s="1"/>
  <c r="J650" i="1"/>
  <c r="I650" i="1" s="1"/>
  <c r="H650" i="1" s="1"/>
  <c r="G650" i="1" s="1"/>
  <c r="I651" i="1"/>
  <c r="H651" i="1" s="1"/>
  <c r="G651" i="1" s="1"/>
  <c r="J651" i="1"/>
  <c r="J652" i="1"/>
  <c r="I652" i="1" s="1"/>
  <c r="H652" i="1" s="1"/>
  <c r="G652" i="1" s="1"/>
  <c r="J653" i="1"/>
  <c r="I653" i="1" s="1"/>
  <c r="H653" i="1" s="1"/>
  <c r="G653" i="1" s="1"/>
  <c r="J654" i="1"/>
  <c r="I654" i="1" s="1"/>
  <c r="H654" i="1" s="1"/>
  <c r="G654" i="1" s="1"/>
  <c r="I655" i="1"/>
  <c r="H655" i="1" s="1"/>
  <c r="G655" i="1" s="1"/>
  <c r="J655" i="1"/>
  <c r="J656" i="1"/>
  <c r="I656" i="1" s="1"/>
  <c r="H656" i="1" s="1"/>
  <c r="G656" i="1" s="1"/>
  <c r="H657" i="1"/>
  <c r="G657" i="1" s="1"/>
  <c r="J657" i="1"/>
  <c r="I657" i="1" s="1"/>
  <c r="J658" i="1"/>
  <c r="I658" i="1" s="1"/>
  <c r="H658" i="1" s="1"/>
  <c r="G658" i="1" s="1"/>
  <c r="H659" i="1"/>
  <c r="G659" i="1" s="1"/>
  <c r="I659" i="1"/>
  <c r="J659" i="1"/>
  <c r="J660" i="1"/>
  <c r="I660" i="1" s="1"/>
  <c r="H660" i="1" s="1"/>
  <c r="G660" i="1" s="1"/>
  <c r="I661" i="1"/>
  <c r="H661" i="1" s="1"/>
  <c r="G661" i="1" s="1"/>
  <c r="J661" i="1"/>
  <c r="J662" i="1"/>
  <c r="I662" i="1" s="1"/>
  <c r="H662" i="1" s="1"/>
  <c r="G662" i="1" s="1"/>
  <c r="H663" i="1"/>
  <c r="G663" i="1" s="1"/>
  <c r="I663" i="1"/>
  <c r="J663" i="1"/>
  <c r="J664" i="1"/>
  <c r="I664" i="1" s="1"/>
  <c r="H664" i="1" s="1"/>
  <c r="G664" i="1" s="1"/>
  <c r="I665" i="1"/>
  <c r="H665" i="1" s="1"/>
  <c r="G665" i="1" s="1"/>
  <c r="J665" i="1"/>
  <c r="J666" i="1"/>
  <c r="I666" i="1" s="1"/>
  <c r="H666" i="1" s="1"/>
  <c r="G666" i="1" s="1"/>
  <c r="J667" i="1"/>
  <c r="I667" i="1" s="1"/>
  <c r="H667" i="1" s="1"/>
  <c r="G667" i="1" s="1"/>
  <c r="J668" i="1"/>
  <c r="I668" i="1" s="1"/>
  <c r="H668" i="1" s="1"/>
  <c r="G668" i="1" s="1"/>
  <c r="I669" i="1"/>
  <c r="H669" i="1" s="1"/>
  <c r="G669" i="1" s="1"/>
  <c r="J669" i="1"/>
  <c r="J670" i="1"/>
  <c r="I670" i="1" s="1"/>
  <c r="H670" i="1" s="1"/>
  <c r="G670" i="1" s="1"/>
  <c r="I671" i="1"/>
  <c r="H671" i="1" s="1"/>
  <c r="G671" i="1" s="1"/>
  <c r="J671" i="1"/>
  <c r="J672" i="1"/>
  <c r="I672" i="1" s="1"/>
  <c r="H672" i="1" s="1"/>
  <c r="G672" i="1" s="1"/>
  <c r="I673" i="1"/>
  <c r="H673" i="1" s="1"/>
  <c r="G673" i="1" s="1"/>
  <c r="J673" i="1"/>
  <c r="J674" i="1"/>
  <c r="I674" i="1" s="1"/>
  <c r="H674" i="1" s="1"/>
  <c r="G674" i="1" s="1"/>
  <c r="J675" i="1"/>
  <c r="I675" i="1" s="1"/>
  <c r="H675" i="1" s="1"/>
  <c r="G675" i="1" s="1"/>
  <c r="J676" i="1"/>
  <c r="I676" i="1" s="1"/>
  <c r="H676" i="1" s="1"/>
  <c r="G676" i="1" s="1"/>
  <c r="H677" i="1"/>
  <c r="G677" i="1" s="1"/>
  <c r="I677" i="1"/>
  <c r="J677" i="1"/>
  <c r="J678" i="1"/>
  <c r="I678" i="1" s="1"/>
  <c r="H678" i="1" s="1"/>
  <c r="G678" i="1" s="1"/>
  <c r="I679" i="1"/>
  <c r="H679" i="1" s="1"/>
  <c r="G679" i="1" s="1"/>
  <c r="J679" i="1"/>
  <c r="J680" i="1"/>
  <c r="I680" i="1" s="1"/>
  <c r="H680" i="1" s="1"/>
  <c r="G680" i="1" s="1"/>
  <c r="H681" i="1"/>
  <c r="G681" i="1" s="1"/>
  <c r="I681" i="1"/>
  <c r="J681" i="1"/>
  <c r="J682" i="1"/>
  <c r="I682" i="1" s="1"/>
  <c r="H682" i="1" s="1"/>
  <c r="G682" i="1" s="1"/>
  <c r="I683" i="1"/>
  <c r="H683" i="1" s="1"/>
  <c r="G683" i="1" s="1"/>
  <c r="J683" i="1"/>
  <c r="J684" i="1"/>
  <c r="I684" i="1" s="1"/>
  <c r="H684" i="1" s="1"/>
  <c r="G684" i="1" s="1"/>
  <c r="H685" i="1"/>
  <c r="G685" i="1" s="1"/>
  <c r="I685" i="1"/>
  <c r="J685" i="1"/>
  <c r="J686" i="1"/>
  <c r="I686" i="1" s="1"/>
  <c r="H686" i="1" s="1"/>
  <c r="G686" i="1" s="1"/>
  <c r="I687" i="1"/>
  <c r="H687" i="1" s="1"/>
  <c r="G687" i="1" s="1"/>
  <c r="J687" i="1"/>
  <c r="J688" i="1"/>
  <c r="I688" i="1" s="1"/>
  <c r="H688" i="1" s="1"/>
  <c r="G688" i="1" s="1"/>
  <c r="I689" i="1"/>
  <c r="H689" i="1" s="1"/>
  <c r="G689" i="1" s="1"/>
  <c r="J689" i="1"/>
  <c r="J690" i="1"/>
  <c r="I690" i="1" s="1"/>
  <c r="H690" i="1" s="1"/>
  <c r="G690" i="1" s="1"/>
  <c r="I691" i="1"/>
  <c r="H691" i="1" s="1"/>
  <c r="G691" i="1" s="1"/>
  <c r="J691" i="1"/>
  <c r="J692" i="1"/>
  <c r="I692" i="1" s="1"/>
  <c r="H692" i="1" s="1"/>
  <c r="G692" i="1" s="1"/>
  <c r="J693" i="1"/>
  <c r="I693" i="1" s="1"/>
  <c r="H693" i="1" s="1"/>
  <c r="G693" i="1" s="1"/>
  <c r="J694" i="1"/>
  <c r="I694" i="1" s="1"/>
  <c r="H694" i="1" s="1"/>
  <c r="G694" i="1" s="1"/>
  <c r="J695" i="1"/>
  <c r="I695" i="1" s="1"/>
  <c r="H695" i="1" s="1"/>
  <c r="G695" i="1" s="1"/>
  <c r="J696" i="1"/>
  <c r="I696" i="1" s="1"/>
  <c r="H696" i="1" s="1"/>
  <c r="G696" i="1" s="1"/>
  <c r="J697" i="1"/>
  <c r="I697" i="1" s="1"/>
  <c r="H697" i="1" s="1"/>
  <c r="G697" i="1" s="1"/>
  <c r="J698" i="1"/>
  <c r="I698" i="1" s="1"/>
  <c r="H698" i="1" s="1"/>
  <c r="G698" i="1" s="1"/>
  <c r="I699" i="1"/>
  <c r="H699" i="1" s="1"/>
  <c r="G699" i="1" s="1"/>
  <c r="J699" i="1"/>
  <c r="J700" i="1"/>
  <c r="I700" i="1" s="1"/>
  <c r="H700" i="1" s="1"/>
  <c r="G700" i="1" s="1"/>
  <c r="J701" i="1"/>
  <c r="I701" i="1" s="1"/>
  <c r="H701" i="1" s="1"/>
  <c r="G701" i="1" s="1"/>
  <c r="J702" i="1"/>
  <c r="I702" i="1" s="1"/>
  <c r="H702" i="1" s="1"/>
  <c r="G702" i="1" s="1"/>
  <c r="I703" i="1"/>
  <c r="H703" i="1" s="1"/>
  <c r="G703" i="1" s="1"/>
  <c r="J703" i="1"/>
  <c r="J704" i="1"/>
  <c r="I704" i="1" s="1"/>
  <c r="H704" i="1" s="1"/>
  <c r="G704" i="1" s="1"/>
  <c r="J705" i="1"/>
  <c r="I705" i="1" s="1"/>
  <c r="H705" i="1" s="1"/>
  <c r="G705" i="1" s="1"/>
  <c r="J706" i="1"/>
  <c r="I706" i="1" s="1"/>
  <c r="H706" i="1" s="1"/>
  <c r="G706" i="1" s="1"/>
  <c r="G707" i="1"/>
  <c r="H707" i="1"/>
  <c r="J707" i="1"/>
  <c r="I707" i="1" s="1"/>
  <c r="J708" i="1"/>
  <c r="I708" i="1" s="1"/>
  <c r="H708" i="1" s="1"/>
  <c r="G708" i="1" s="1"/>
  <c r="J709" i="1"/>
  <c r="I709" i="1" s="1"/>
  <c r="H709" i="1" s="1"/>
  <c r="G709" i="1" s="1"/>
  <c r="J710" i="1"/>
  <c r="I710" i="1" s="1"/>
  <c r="H710" i="1" s="1"/>
  <c r="G710" i="1" s="1"/>
  <c r="H711" i="1"/>
  <c r="G711" i="1" s="1"/>
  <c r="I711" i="1"/>
  <c r="J711" i="1"/>
  <c r="J712" i="1"/>
  <c r="I712" i="1" s="1"/>
  <c r="H712" i="1" s="1"/>
  <c r="G712" i="1" s="1"/>
  <c r="I713" i="1"/>
  <c r="H713" i="1" s="1"/>
  <c r="G713" i="1" s="1"/>
  <c r="J713" i="1"/>
  <c r="J714" i="1"/>
  <c r="I714" i="1" s="1"/>
  <c r="H714" i="1" s="1"/>
  <c r="G714" i="1" s="1"/>
  <c r="H715" i="1"/>
  <c r="G715" i="1" s="1"/>
  <c r="I715" i="1"/>
  <c r="J715" i="1"/>
  <c r="J716" i="1"/>
  <c r="I716" i="1" s="1"/>
  <c r="H716" i="1" s="1"/>
  <c r="G716" i="1" s="1"/>
  <c r="J717" i="1"/>
  <c r="I717" i="1" s="1"/>
  <c r="H717" i="1" s="1"/>
  <c r="G717" i="1" s="1"/>
  <c r="J718" i="1"/>
  <c r="I718" i="1" s="1"/>
  <c r="H718" i="1" s="1"/>
  <c r="G718" i="1" s="1"/>
  <c r="H719" i="1"/>
  <c r="G719" i="1" s="1"/>
  <c r="I719" i="1"/>
  <c r="J719" i="1"/>
  <c r="I720" i="1"/>
  <c r="H720" i="1" s="1"/>
  <c r="G720" i="1" s="1"/>
  <c r="J720" i="1"/>
  <c r="J721" i="1"/>
  <c r="I721" i="1" s="1"/>
  <c r="H721" i="1" s="1"/>
  <c r="G721" i="1" s="1"/>
  <c r="I722" i="1"/>
  <c r="H722" i="1" s="1"/>
  <c r="G722" i="1" s="1"/>
  <c r="J722" i="1"/>
  <c r="J723" i="1"/>
  <c r="I723" i="1" s="1"/>
  <c r="H723" i="1" s="1"/>
  <c r="G723" i="1" s="1"/>
  <c r="J724" i="1"/>
  <c r="I724" i="1" s="1"/>
  <c r="H724" i="1" s="1"/>
  <c r="G724" i="1" s="1"/>
  <c r="H725" i="1"/>
  <c r="G725" i="1" s="1"/>
  <c r="I725" i="1"/>
  <c r="J725" i="1"/>
  <c r="G726" i="1"/>
  <c r="J726" i="1"/>
  <c r="I726" i="1" s="1"/>
  <c r="H726" i="1" s="1"/>
  <c r="J727" i="1"/>
  <c r="I727" i="1" s="1"/>
  <c r="H727" i="1" s="1"/>
  <c r="G727" i="1" s="1"/>
  <c r="I728" i="1"/>
  <c r="H728" i="1" s="1"/>
  <c r="G728" i="1" s="1"/>
  <c r="J728" i="1"/>
  <c r="J729" i="1"/>
  <c r="I729" i="1" s="1"/>
  <c r="H729" i="1" s="1"/>
  <c r="G729" i="1" s="1"/>
  <c r="J730" i="1"/>
  <c r="I730" i="1" s="1"/>
  <c r="H730" i="1" s="1"/>
  <c r="G730" i="1" s="1"/>
  <c r="I731" i="1"/>
  <c r="H731" i="1" s="1"/>
  <c r="G731" i="1" s="1"/>
  <c r="J731" i="1"/>
  <c r="I732" i="1"/>
  <c r="H732" i="1" s="1"/>
  <c r="G732" i="1" s="1"/>
  <c r="J732" i="1"/>
  <c r="J733" i="1"/>
  <c r="I733" i="1" s="1"/>
  <c r="H733" i="1" s="1"/>
  <c r="G733" i="1" s="1"/>
  <c r="J734" i="1"/>
  <c r="I734" i="1" s="1"/>
  <c r="H734" i="1" s="1"/>
  <c r="G734" i="1" s="1"/>
  <c r="G735" i="1"/>
  <c r="J735" i="1"/>
  <c r="I735" i="1" s="1"/>
  <c r="H735" i="1" s="1"/>
  <c r="J736" i="1"/>
  <c r="I736" i="1" s="1"/>
  <c r="H736" i="1" s="1"/>
  <c r="G736" i="1" s="1"/>
  <c r="I737" i="1"/>
  <c r="H737" i="1" s="1"/>
  <c r="G737" i="1" s="1"/>
  <c r="J737" i="1"/>
  <c r="I738" i="1"/>
  <c r="H738" i="1" s="1"/>
  <c r="G738" i="1" s="1"/>
  <c r="J738" i="1"/>
  <c r="I739" i="1"/>
  <c r="H739" i="1" s="1"/>
  <c r="G739" i="1" s="1"/>
  <c r="J739" i="1"/>
  <c r="J740" i="1"/>
  <c r="I740" i="1" s="1"/>
  <c r="H740" i="1" s="1"/>
  <c r="G740" i="1" s="1"/>
  <c r="I741" i="1"/>
  <c r="H741" i="1" s="1"/>
  <c r="G741" i="1" s="1"/>
  <c r="J741" i="1"/>
  <c r="J742" i="1"/>
  <c r="I742" i="1" s="1"/>
  <c r="H742" i="1" s="1"/>
  <c r="G742" i="1" s="1"/>
  <c r="I743" i="1"/>
  <c r="H743" i="1" s="1"/>
  <c r="G743" i="1" s="1"/>
  <c r="J743" i="1"/>
  <c r="J744" i="1"/>
  <c r="I744" i="1" s="1"/>
  <c r="H744" i="1" s="1"/>
  <c r="G744" i="1" s="1"/>
  <c r="J745" i="1"/>
  <c r="I745" i="1" s="1"/>
  <c r="H745" i="1" s="1"/>
  <c r="G745" i="1" s="1"/>
  <c r="I746" i="1"/>
  <c r="H746" i="1" s="1"/>
  <c r="G746" i="1" s="1"/>
  <c r="J746" i="1"/>
  <c r="I747" i="1"/>
  <c r="H747" i="1" s="1"/>
  <c r="G747" i="1" s="1"/>
  <c r="J747" i="1"/>
  <c r="J748" i="1"/>
  <c r="I748" i="1" s="1"/>
  <c r="H748" i="1" s="1"/>
  <c r="G748" i="1" s="1"/>
  <c r="J749" i="1"/>
  <c r="I749" i="1" s="1"/>
  <c r="H749" i="1" s="1"/>
  <c r="G749" i="1" s="1"/>
  <c r="J750" i="1"/>
  <c r="I750" i="1" s="1"/>
  <c r="H750" i="1" s="1"/>
  <c r="G750" i="1" s="1"/>
  <c r="H751" i="1"/>
  <c r="G751" i="1" s="1"/>
  <c r="I751" i="1"/>
  <c r="J751" i="1"/>
  <c r="J752" i="1"/>
  <c r="I752" i="1" s="1"/>
  <c r="H752" i="1" s="1"/>
  <c r="G752" i="1" s="1"/>
  <c r="J753" i="1"/>
  <c r="I753" i="1" s="1"/>
  <c r="H753" i="1" s="1"/>
  <c r="G753" i="1" s="1"/>
  <c r="I754" i="1"/>
  <c r="H754" i="1" s="1"/>
  <c r="G754" i="1" s="1"/>
  <c r="J754" i="1"/>
  <c r="J755" i="1"/>
  <c r="I755" i="1" s="1"/>
  <c r="H755" i="1" s="1"/>
  <c r="G755" i="1" s="1"/>
  <c r="J756" i="1"/>
  <c r="I756" i="1" s="1"/>
  <c r="H756" i="1" s="1"/>
  <c r="G756" i="1" s="1"/>
  <c r="J757" i="1"/>
  <c r="I757" i="1" s="1"/>
  <c r="H757" i="1" s="1"/>
  <c r="G757" i="1" s="1"/>
  <c r="J758" i="1"/>
  <c r="I758" i="1" s="1"/>
  <c r="H758" i="1" s="1"/>
  <c r="G758" i="1" s="1"/>
  <c r="J759" i="1"/>
  <c r="I759" i="1" s="1"/>
  <c r="H759" i="1" s="1"/>
  <c r="G759" i="1" s="1"/>
  <c r="J760" i="1"/>
  <c r="I760" i="1" s="1"/>
  <c r="H760" i="1" s="1"/>
  <c r="G760" i="1" s="1"/>
  <c r="J761" i="1"/>
  <c r="I761" i="1" s="1"/>
  <c r="H761" i="1" s="1"/>
  <c r="G761" i="1" s="1"/>
  <c r="I762" i="1"/>
  <c r="H762" i="1" s="1"/>
  <c r="G762" i="1" s="1"/>
  <c r="J762" i="1"/>
  <c r="I763" i="1"/>
  <c r="H763" i="1" s="1"/>
  <c r="G763" i="1" s="1"/>
  <c r="J763" i="1"/>
  <c r="J764" i="1"/>
  <c r="I764" i="1" s="1"/>
  <c r="H764" i="1" s="1"/>
  <c r="G764" i="1" s="1"/>
  <c r="I765" i="1"/>
  <c r="H765" i="1" s="1"/>
  <c r="G765" i="1" s="1"/>
  <c r="J765" i="1"/>
  <c r="J766" i="1"/>
  <c r="I766" i="1" s="1"/>
  <c r="H766" i="1" s="1"/>
  <c r="G766" i="1" s="1"/>
  <c r="J767" i="1"/>
  <c r="I767" i="1" s="1"/>
  <c r="H767" i="1" s="1"/>
  <c r="G767" i="1" s="1"/>
  <c r="J768" i="1"/>
  <c r="I768" i="1" s="1"/>
  <c r="H768" i="1" s="1"/>
  <c r="G768" i="1" s="1"/>
  <c r="H769" i="1"/>
  <c r="G769" i="1" s="1"/>
  <c r="I769" i="1"/>
  <c r="J769" i="1"/>
  <c r="J770" i="1"/>
  <c r="I770" i="1" s="1"/>
  <c r="H770" i="1" s="1"/>
  <c r="G770" i="1" s="1"/>
  <c r="J771" i="1"/>
  <c r="I771" i="1" s="1"/>
  <c r="H771" i="1" s="1"/>
  <c r="G771" i="1" s="1"/>
  <c r="J772" i="1"/>
  <c r="I772" i="1" s="1"/>
  <c r="H772" i="1" s="1"/>
  <c r="G772" i="1" s="1"/>
  <c r="J773" i="1"/>
  <c r="I773" i="1" s="1"/>
  <c r="H773" i="1" s="1"/>
  <c r="G773" i="1" s="1"/>
  <c r="J774" i="1"/>
  <c r="I774" i="1" s="1"/>
  <c r="H774" i="1" s="1"/>
  <c r="G774" i="1" s="1"/>
  <c r="J775" i="1"/>
  <c r="I775" i="1" s="1"/>
  <c r="H775" i="1" s="1"/>
  <c r="G775" i="1" s="1"/>
  <c r="J776" i="1"/>
  <c r="I776" i="1" s="1"/>
  <c r="H776" i="1" s="1"/>
  <c r="G776" i="1" s="1"/>
  <c r="J777" i="1"/>
  <c r="I777" i="1" s="1"/>
  <c r="H777" i="1" s="1"/>
  <c r="G777" i="1" s="1"/>
  <c r="I778" i="1"/>
  <c r="H778" i="1" s="1"/>
  <c r="G778" i="1" s="1"/>
  <c r="J778" i="1"/>
  <c r="I779" i="1"/>
  <c r="H779" i="1" s="1"/>
  <c r="G779" i="1" s="1"/>
  <c r="J779" i="1"/>
  <c r="J780" i="1"/>
  <c r="I780" i="1" s="1"/>
  <c r="H780" i="1" s="1"/>
  <c r="G780" i="1" s="1"/>
  <c r="J781" i="1"/>
  <c r="I781" i="1" s="1"/>
  <c r="H781" i="1" s="1"/>
  <c r="G781" i="1" s="1"/>
  <c r="J782" i="1"/>
  <c r="I782" i="1" s="1"/>
  <c r="H782" i="1" s="1"/>
  <c r="G782" i="1" s="1"/>
  <c r="J783" i="1"/>
  <c r="I783" i="1" s="1"/>
  <c r="H783" i="1" s="1"/>
  <c r="G783" i="1" s="1"/>
  <c r="J784" i="1"/>
  <c r="I784" i="1" s="1"/>
  <c r="H784" i="1" s="1"/>
  <c r="G784" i="1" s="1"/>
  <c r="H785" i="1"/>
  <c r="G785" i="1" s="1"/>
  <c r="I785" i="1"/>
  <c r="J785" i="1"/>
  <c r="I786" i="1"/>
  <c r="H786" i="1" s="1"/>
  <c r="G786" i="1" s="1"/>
  <c r="J786" i="1"/>
  <c r="J787" i="1"/>
  <c r="I787" i="1" s="1"/>
  <c r="H787" i="1" s="1"/>
  <c r="G787" i="1" s="1"/>
  <c r="J788" i="1"/>
  <c r="I788" i="1" s="1"/>
  <c r="H788" i="1" s="1"/>
  <c r="G788" i="1" s="1"/>
  <c r="H789" i="1"/>
  <c r="G789" i="1" s="1"/>
  <c r="I789" i="1"/>
  <c r="J789" i="1"/>
  <c r="J790" i="1"/>
  <c r="I790" i="1" s="1"/>
  <c r="H790" i="1" s="1"/>
  <c r="G790" i="1" s="1"/>
  <c r="I791" i="1"/>
  <c r="H791" i="1" s="1"/>
  <c r="G791" i="1" s="1"/>
  <c r="J791" i="1"/>
  <c r="J792" i="1"/>
  <c r="I792" i="1" s="1"/>
  <c r="H792" i="1" s="1"/>
  <c r="G792" i="1" s="1"/>
  <c r="H793" i="1"/>
  <c r="G793" i="1" s="1"/>
  <c r="I793" i="1"/>
  <c r="J793" i="1"/>
  <c r="J794" i="1"/>
  <c r="I794" i="1" s="1"/>
  <c r="H794" i="1" s="1"/>
  <c r="G794" i="1" s="1"/>
  <c r="I795" i="1"/>
  <c r="H795" i="1" s="1"/>
  <c r="G795" i="1" s="1"/>
  <c r="J795" i="1"/>
  <c r="J796" i="1"/>
  <c r="I796" i="1" s="1"/>
  <c r="H796" i="1" s="1"/>
  <c r="G796" i="1" s="1"/>
  <c r="J797" i="1"/>
  <c r="I797" i="1" s="1"/>
  <c r="H797" i="1" s="1"/>
  <c r="G797" i="1" s="1"/>
  <c r="J798" i="1"/>
  <c r="I798" i="1" s="1"/>
  <c r="H798" i="1" s="1"/>
  <c r="G798" i="1" s="1"/>
  <c r="J799" i="1"/>
  <c r="I799" i="1" s="1"/>
  <c r="H799" i="1" s="1"/>
  <c r="G799" i="1" s="1"/>
  <c r="J800" i="1"/>
  <c r="I800" i="1" s="1"/>
  <c r="H800" i="1" s="1"/>
  <c r="G800" i="1" s="1"/>
  <c r="J801" i="1"/>
  <c r="I801" i="1" s="1"/>
  <c r="H801" i="1" s="1"/>
  <c r="G801" i="1" s="1"/>
  <c r="G802" i="1"/>
  <c r="I802" i="1"/>
  <c r="H802" i="1" s="1"/>
  <c r="J802" i="1"/>
  <c r="H803" i="1"/>
  <c r="G803" i="1" s="1"/>
  <c r="I803" i="1"/>
  <c r="J803" i="1"/>
  <c r="J804" i="1"/>
  <c r="I804" i="1" s="1"/>
  <c r="H804" i="1" s="1"/>
  <c r="G804" i="1" s="1"/>
  <c r="J805" i="1"/>
  <c r="I805" i="1" s="1"/>
  <c r="H805" i="1" s="1"/>
  <c r="G805" i="1" s="1"/>
  <c r="J806" i="1"/>
  <c r="I806" i="1" s="1"/>
  <c r="H806" i="1" s="1"/>
  <c r="G806" i="1" s="1"/>
  <c r="I807" i="1"/>
  <c r="H807" i="1" s="1"/>
  <c r="G807" i="1" s="1"/>
  <c r="J807" i="1"/>
  <c r="J808" i="1"/>
  <c r="I808" i="1" s="1"/>
  <c r="H808" i="1" s="1"/>
  <c r="G808" i="1" s="1"/>
  <c r="J809" i="1"/>
  <c r="I809" i="1" s="1"/>
  <c r="H809" i="1" s="1"/>
  <c r="G809" i="1" s="1"/>
  <c r="I810" i="1"/>
  <c r="H810" i="1" s="1"/>
  <c r="G810" i="1" s="1"/>
  <c r="J810" i="1"/>
  <c r="J811" i="1"/>
  <c r="I811" i="1" s="1"/>
  <c r="H811" i="1" s="1"/>
  <c r="G811" i="1" s="1"/>
  <c r="J812" i="1"/>
  <c r="I812" i="1" s="1"/>
  <c r="H812" i="1" s="1"/>
  <c r="G812" i="1" s="1"/>
  <c r="J813" i="1"/>
  <c r="I813" i="1" s="1"/>
  <c r="H813" i="1" s="1"/>
  <c r="G813" i="1" s="1"/>
  <c r="J814" i="1"/>
  <c r="I814" i="1" s="1"/>
  <c r="H814" i="1" s="1"/>
  <c r="G814" i="1" s="1"/>
  <c r="J815" i="1"/>
  <c r="I815" i="1" s="1"/>
  <c r="H815" i="1" s="1"/>
  <c r="G815" i="1" s="1"/>
  <c r="J816" i="1"/>
  <c r="I816" i="1" s="1"/>
  <c r="H816" i="1" s="1"/>
  <c r="G816" i="1" s="1"/>
  <c r="J817" i="1"/>
  <c r="I817" i="1" s="1"/>
  <c r="H817" i="1" s="1"/>
  <c r="G817" i="1" s="1"/>
  <c r="I818" i="1"/>
  <c r="H818" i="1" s="1"/>
  <c r="G818" i="1" s="1"/>
  <c r="J818" i="1"/>
  <c r="J819" i="1"/>
  <c r="I819" i="1" s="1"/>
  <c r="H819" i="1" s="1"/>
  <c r="G819" i="1" s="1"/>
  <c r="J820" i="1"/>
  <c r="I820" i="1" s="1"/>
  <c r="H820" i="1" s="1"/>
  <c r="G820" i="1" s="1"/>
  <c r="I821" i="1"/>
  <c r="H821" i="1" s="1"/>
  <c r="G821" i="1" s="1"/>
  <c r="J821" i="1"/>
  <c r="J822" i="1"/>
  <c r="I822" i="1" s="1"/>
  <c r="H822" i="1" s="1"/>
  <c r="G822" i="1" s="1"/>
  <c r="I823" i="1"/>
  <c r="H823" i="1" s="1"/>
  <c r="G823" i="1" s="1"/>
  <c r="J823" i="1"/>
  <c r="J824" i="1"/>
  <c r="I824" i="1" s="1"/>
  <c r="H824" i="1" s="1"/>
  <c r="G824" i="1" s="1"/>
  <c r="H825" i="1"/>
  <c r="G825" i="1" s="1"/>
  <c r="I825" i="1"/>
  <c r="J825" i="1"/>
  <c r="J826" i="1"/>
  <c r="I826" i="1" s="1"/>
  <c r="H826" i="1" s="1"/>
  <c r="G826" i="1" s="1"/>
  <c r="J827" i="1"/>
  <c r="I827" i="1" s="1"/>
  <c r="H827" i="1" s="1"/>
  <c r="G827" i="1" s="1"/>
  <c r="J828" i="1"/>
  <c r="I828" i="1" s="1"/>
  <c r="H828" i="1" s="1"/>
  <c r="G828" i="1" s="1"/>
  <c r="J829" i="1"/>
  <c r="I829" i="1" s="1"/>
  <c r="H829" i="1" s="1"/>
  <c r="G829" i="1" s="1"/>
  <c r="J830" i="1"/>
  <c r="I830" i="1" s="1"/>
  <c r="H830" i="1" s="1"/>
  <c r="G830" i="1" s="1"/>
  <c r="J831" i="1"/>
  <c r="I831" i="1" s="1"/>
  <c r="H831" i="1" s="1"/>
  <c r="G831" i="1" s="1"/>
  <c r="J832" i="1"/>
  <c r="I832" i="1" s="1"/>
  <c r="H832" i="1" s="1"/>
  <c r="G832" i="1" s="1"/>
  <c r="J833" i="1"/>
  <c r="I833" i="1" s="1"/>
  <c r="H833" i="1" s="1"/>
  <c r="G833" i="1" s="1"/>
  <c r="G834" i="1"/>
  <c r="J834" i="1"/>
  <c r="I834" i="1" s="1"/>
  <c r="H834" i="1" s="1"/>
  <c r="H835" i="1"/>
  <c r="G835" i="1" s="1"/>
  <c r="I835" i="1"/>
  <c r="J835" i="1"/>
  <c r="J836" i="1"/>
  <c r="I836" i="1" s="1"/>
  <c r="H836" i="1" s="1"/>
  <c r="G836" i="1" s="1"/>
  <c r="I837" i="1"/>
  <c r="H837" i="1" s="1"/>
  <c r="G837" i="1" s="1"/>
  <c r="J837" i="1"/>
  <c r="J838" i="1"/>
  <c r="I838" i="1" s="1"/>
  <c r="H838" i="1" s="1"/>
  <c r="G838" i="1" s="1"/>
  <c r="J839" i="1"/>
  <c r="I839" i="1" s="1"/>
  <c r="H839" i="1" s="1"/>
  <c r="G839" i="1" s="1"/>
  <c r="J840" i="1"/>
  <c r="I840" i="1" s="1"/>
  <c r="H840" i="1" s="1"/>
  <c r="G840" i="1" s="1"/>
  <c r="H841" i="1"/>
  <c r="G841" i="1" s="1"/>
  <c r="I841" i="1"/>
  <c r="J841" i="1"/>
  <c r="J842" i="1"/>
  <c r="I842" i="1" s="1"/>
  <c r="H842" i="1" s="1"/>
  <c r="G842" i="1" s="1"/>
  <c r="J843" i="1"/>
  <c r="I843" i="1" s="1"/>
  <c r="H843" i="1" s="1"/>
  <c r="G843" i="1" s="1"/>
  <c r="G844" i="1"/>
  <c r="J844" i="1"/>
  <c r="I844" i="1" s="1"/>
  <c r="H844" i="1" s="1"/>
  <c r="G845" i="1"/>
  <c r="J845" i="1"/>
  <c r="I845" i="1" s="1"/>
  <c r="H845" i="1" s="1"/>
  <c r="J846" i="1"/>
  <c r="I846" i="1" s="1"/>
  <c r="H846" i="1" s="1"/>
  <c r="G846" i="1" s="1"/>
  <c r="H847" i="1"/>
  <c r="G847" i="1" s="1"/>
  <c r="I847" i="1"/>
  <c r="J847" i="1"/>
  <c r="I848" i="1"/>
  <c r="H848" i="1" s="1"/>
  <c r="G848" i="1" s="1"/>
  <c r="J848" i="1"/>
  <c r="J849" i="1"/>
  <c r="I849" i="1" s="1"/>
  <c r="H849" i="1" s="1"/>
  <c r="G849" i="1" s="1"/>
  <c r="J850" i="1"/>
  <c r="I850" i="1" s="1"/>
  <c r="H850" i="1" s="1"/>
  <c r="G850" i="1" s="1"/>
  <c r="J851" i="1"/>
  <c r="I851" i="1" s="1"/>
  <c r="H851" i="1" s="1"/>
  <c r="G851" i="1" s="1"/>
  <c r="J852" i="1"/>
  <c r="I852" i="1" s="1"/>
  <c r="H852" i="1" s="1"/>
  <c r="G852" i="1" s="1"/>
  <c r="I853" i="1"/>
  <c r="H853" i="1" s="1"/>
  <c r="G853" i="1" s="1"/>
  <c r="J853" i="1"/>
  <c r="G854" i="1"/>
  <c r="J854" i="1"/>
  <c r="I854" i="1" s="1"/>
  <c r="H854" i="1" s="1"/>
  <c r="I855" i="1"/>
  <c r="H855" i="1" s="1"/>
  <c r="G855" i="1" s="1"/>
  <c r="J855" i="1"/>
  <c r="I856" i="1"/>
  <c r="H856" i="1" s="1"/>
  <c r="G856" i="1" s="1"/>
  <c r="J856" i="1"/>
  <c r="H857" i="1"/>
  <c r="G857" i="1" s="1"/>
  <c r="I857" i="1"/>
  <c r="J857" i="1"/>
  <c r="J858" i="1"/>
  <c r="I858" i="1" s="1"/>
  <c r="H858" i="1" s="1"/>
  <c r="G858" i="1" s="1"/>
  <c r="J859" i="1"/>
  <c r="I859" i="1" s="1"/>
  <c r="H859" i="1" s="1"/>
  <c r="G859" i="1" s="1"/>
  <c r="J860" i="1"/>
  <c r="I860" i="1" s="1"/>
  <c r="H860" i="1" s="1"/>
  <c r="G860" i="1" s="1"/>
  <c r="J861" i="1"/>
  <c r="I861" i="1" s="1"/>
  <c r="H861" i="1" s="1"/>
  <c r="G861" i="1" s="1"/>
  <c r="J862" i="1"/>
  <c r="I862" i="1" s="1"/>
  <c r="H862" i="1" s="1"/>
  <c r="G862" i="1" s="1"/>
  <c r="J863" i="1"/>
  <c r="I863" i="1" s="1"/>
  <c r="H863" i="1" s="1"/>
  <c r="G863" i="1" s="1"/>
  <c r="G864" i="1"/>
  <c r="J864" i="1"/>
  <c r="I864" i="1" s="1"/>
  <c r="H864" i="1" s="1"/>
  <c r="J865" i="1"/>
  <c r="I865" i="1" s="1"/>
  <c r="H865" i="1" s="1"/>
  <c r="G865" i="1" s="1"/>
  <c r="J866" i="1"/>
  <c r="I866" i="1" s="1"/>
  <c r="H866" i="1" s="1"/>
  <c r="G866" i="1" s="1"/>
  <c r="G867" i="1"/>
  <c r="H867" i="1"/>
  <c r="I867" i="1"/>
  <c r="J867" i="1"/>
  <c r="J868" i="1"/>
  <c r="I868" i="1" s="1"/>
  <c r="H868" i="1" s="1"/>
  <c r="G868" i="1" s="1"/>
  <c r="I869" i="1"/>
  <c r="H869" i="1" s="1"/>
  <c r="G869" i="1" s="1"/>
  <c r="J869" i="1"/>
  <c r="J870" i="1"/>
  <c r="I870" i="1" s="1"/>
  <c r="H870" i="1" s="1"/>
  <c r="G870" i="1" s="1"/>
  <c r="J871" i="1"/>
  <c r="I871" i="1" s="1"/>
  <c r="H871" i="1" s="1"/>
  <c r="G871" i="1" s="1"/>
  <c r="J872" i="1"/>
  <c r="I872" i="1" s="1"/>
  <c r="H872" i="1" s="1"/>
  <c r="G872" i="1" s="1"/>
  <c r="I873" i="1"/>
  <c r="H873" i="1" s="1"/>
  <c r="G873" i="1" s="1"/>
  <c r="J873" i="1"/>
  <c r="J874" i="1"/>
  <c r="I874" i="1" s="1"/>
  <c r="H874" i="1" s="1"/>
  <c r="G874" i="1" s="1"/>
  <c r="J875" i="1"/>
  <c r="I875" i="1" s="1"/>
  <c r="H875" i="1" s="1"/>
  <c r="G875" i="1" s="1"/>
  <c r="J876" i="1"/>
  <c r="I876" i="1" s="1"/>
  <c r="H876" i="1" s="1"/>
  <c r="G876" i="1" s="1"/>
  <c r="I877" i="1"/>
  <c r="H877" i="1" s="1"/>
  <c r="G877" i="1" s="1"/>
  <c r="J877" i="1"/>
  <c r="J878" i="1"/>
  <c r="I878" i="1" s="1"/>
  <c r="H878" i="1" s="1"/>
  <c r="G878" i="1" s="1"/>
  <c r="I879" i="1"/>
  <c r="H879" i="1" s="1"/>
  <c r="G879" i="1" s="1"/>
  <c r="J879" i="1"/>
  <c r="J880" i="1"/>
  <c r="I880" i="1" s="1"/>
  <c r="H880" i="1" s="1"/>
  <c r="G880" i="1" s="1"/>
  <c r="J881" i="1"/>
  <c r="I881" i="1" s="1"/>
  <c r="H881" i="1" s="1"/>
  <c r="G881" i="1" s="1"/>
  <c r="J882" i="1"/>
  <c r="I882" i="1" s="1"/>
  <c r="H882" i="1" s="1"/>
  <c r="G882" i="1" s="1"/>
  <c r="G883" i="1"/>
  <c r="I883" i="1"/>
  <c r="H883" i="1" s="1"/>
  <c r="J883" i="1"/>
  <c r="I884" i="1"/>
  <c r="H884" i="1" s="1"/>
  <c r="G884" i="1" s="1"/>
  <c r="J884" i="1"/>
  <c r="J885" i="1"/>
  <c r="I885" i="1" s="1"/>
  <c r="H885" i="1" s="1"/>
  <c r="G885" i="1" s="1"/>
  <c r="J886" i="1"/>
  <c r="I886" i="1" s="1"/>
  <c r="H886" i="1" s="1"/>
  <c r="G886" i="1" s="1"/>
  <c r="H887" i="1"/>
  <c r="G887" i="1" s="1"/>
  <c r="I887" i="1"/>
  <c r="J887" i="1"/>
  <c r="J888" i="1"/>
  <c r="I888" i="1" s="1"/>
  <c r="H888" i="1" s="1"/>
  <c r="G888" i="1" s="1"/>
  <c r="J889" i="1"/>
  <c r="I889" i="1" s="1"/>
  <c r="H889" i="1" s="1"/>
  <c r="G889" i="1" s="1"/>
  <c r="J890" i="1"/>
  <c r="I890" i="1" s="1"/>
  <c r="H890" i="1" s="1"/>
  <c r="G890" i="1" s="1"/>
  <c r="H891" i="1"/>
  <c r="G891" i="1" s="1"/>
  <c r="I891" i="1"/>
  <c r="J891" i="1"/>
  <c r="J892" i="1"/>
  <c r="I892" i="1" s="1"/>
  <c r="H892" i="1" s="1"/>
  <c r="G892" i="1" s="1"/>
  <c r="I893" i="1"/>
  <c r="H893" i="1" s="1"/>
  <c r="G893" i="1" s="1"/>
  <c r="J893" i="1"/>
  <c r="G894" i="1"/>
  <c r="I894" i="1"/>
  <c r="H894" i="1" s="1"/>
  <c r="J894" i="1"/>
  <c r="J895" i="1"/>
  <c r="I895" i="1" s="1"/>
  <c r="H895" i="1" s="1"/>
  <c r="G895" i="1" s="1"/>
  <c r="J896" i="1"/>
  <c r="I896" i="1" s="1"/>
  <c r="H896" i="1" s="1"/>
  <c r="G896" i="1" s="1"/>
  <c r="I897" i="1"/>
  <c r="H897" i="1" s="1"/>
  <c r="G897" i="1" s="1"/>
  <c r="J897" i="1"/>
  <c r="J898" i="1"/>
  <c r="I898" i="1" s="1"/>
  <c r="H898" i="1" s="1"/>
  <c r="G898" i="1" s="1"/>
  <c r="J899" i="1"/>
  <c r="I899" i="1" s="1"/>
  <c r="H899" i="1" s="1"/>
  <c r="G899" i="1" s="1"/>
  <c r="J900" i="1"/>
  <c r="I900" i="1" s="1"/>
  <c r="H900" i="1" s="1"/>
  <c r="G900" i="1" s="1"/>
  <c r="I901" i="1"/>
  <c r="H901" i="1" s="1"/>
  <c r="G901" i="1" s="1"/>
  <c r="J901" i="1"/>
  <c r="J902" i="1"/>
  <c r="I902" i="1" s="1"/>
  <c r="H902" i="1" s="1"/>
  <c r="G902" i="1" s="1"/>
  <c r="I903" i="1"/>
  <c r="H903" i="1" s="1"/>
  <c r="G903" i="1" s="1"/>
  <c r="J903" i="1"/>
  <c r="J904" i="1"/>
  <c r="I904" i="1" s="1"/>
  <c r="H904" i="1" s="1"/>
  <c r="G904" i="1" s="1"/>
  <c r="I905" i="1"/>
  <c r="H905" i="1" s="1"/>
  <c r="G905" i="1" s="1"/>
  <c r="J905" i="1"/>
  <c r="H906" i="1"/>
  <c r="G906" i="1" s="1"/>
  <c r="J906" i="1"/>
  <c r="I906" i="1" s="1"/>
  <c r="I907" i="1"/>
  <c r="H907" i="1" s="1"/>
  <c r="G907" i="1" s="1"/>
  <c r="J907" i="1"/>
  <c r="I908" i="1"/>
  <c r="H908" i="1" s="1"/>
  <c r="G908" i="1" s="1"/>
  <c r="J908" i="1"/>
  <c r="G909" i="1"/>
  <c r="H909" i="1"/>
  <c r="I909" i="1"/>
  <c r="J909" i="1"/>
  <c r="J910" i="1"/>
  <c r="I910" i="1" s="1"/>
  <c r="H910" i="1" s="1"/>
  <c r="G910" i="1" s="1"/>
  <c r="J911" i="1"/>
  <c r="I911" i="1" s="1"/>
  <c r="H911" i="1" s="1"/>
  <c r="G911" i="1" s="1"/>
  <c r="J912" i="1"/>
  <c r="I912" i="1" s="1"/>
  <c r="H912" i="1" s="1"/>
  <c r="G912" i="1" s="1"/>
  <c r="J913" i="1"/>
  <c r="I913" i="1" s="1"/>
  <c r="H913" i="1" s="1"/>
  <c r="G913" i="1" s="1"/>
  <c r="I914" i="1"/>
  <c r="H914" i="1" s="1"/>
  <c r="G914" i="1" s="1"/>
  <c r="J914" i="1"/>
  <c r="G915" i="1"/>
  <c r="H915" i="1"/>
  <c r="I915" i="1"/>
  <c r="J915" i="1"/>
  <c r="J916" i="1"/>
  <c r="I916" i="1" s="1"/>
  <c r="H916" i="1" s="1"/>
  <c r="G916" i="1" s="1"/>
  <c r="G917" i="1"/>
  <c r="J917" i="1"/>
  <c r="I917" i="1" s="1"/>
  <c r="H917" i="1" s="1"/>
  <c r="J918" i="1"/>
  <c r="I918" i="1" s="1"/>
  <c r="H918" i="1" s="1"/>
  <c r="G918" i="1" s="1"/>
  <c r="J919" i="1"/>
  <c r="I919" i="1" s="1"/>
  <c r="H919" i="1" s="1"/>
  <c r="G919" i="1" s="1"/>
  <c r="J920" i="1"/>
  <c r="I920" i="1" s="1"/>
  <c r="H920" i="1" s="1"/>
  <c r="G920" i="1" s="1"/>
  <c r="H921" i="1"/>
  <c r="G921" i="1" s="1"/>
  <c r="I921" i="1"/>
  <c r="J921" i="1"/>
  <c r="J922" i="1"/>
  <c r="I922" i="1" s="1"/>
  <c r="H922" i="1" s="1"/>
  <c r="G922" i="1" s="1"/>
  <c r="J923" i="1"/>
  <c r="I923" i="1" s="1"/>
  <c r="H923" i="1" s="1"/>
  <c r="G923" i="1" s="1"/>
  <c r="I924" i="1"/>
  <c r="H924" i="1" s="1"/>
  <c r="G924" i="1" s="1"/>
  <c r="J924" i="1"/>
  <c r="I925" i="1"/>
  <c r="H925" i="1" s="1"/>
  <c r="G925" i="1" s="1"/>
  <c r="J925" i="1"/>
  <c r="J926" i="1"/>
  <c r="I926" i="1" s="1"/>
  <c r="H926" i="1" s="1"/>
  <c r="G926" i="1" s="1"/>
  <c r="I927" i="1"/>
  <c r="H927" i="1" s="1"/>
  <c r="G927" i="1" s="1"/>
  <c r="J927" i="1"/>
  <c r="J928" i="1"/>
  <c r="I928" i="1" s="1"/>
  <c r="H928" i="1" s="1"/>
  <c r="G928" i="1" s="1"/>
  <c r="I929" i="1"/>
  <c r="H929" i="1" s="1"/>
  <c r="G929" i="1" s="1"/>
  <c r="J929" i="1"/>
  <c r="I930" i="1"/>
  <c r="H930" i="1" s="1"/>
  <c r="G930" i="1" s="1"/>
  <c r="J930" i="1"/>
  <c r="J931" i="1"/>
  <c r="I931" i="1" s="1"/>
  <c r="H931" i="1" s="1"/>
  <c r="G931" i="1" s="1"/>
  <c r="J932" i="1"/>
  <c r="I932" i="1" s="1"/>
  <c r="H932" i="1" s="1"/>
  <c r="G932" i="1" s="1"/>
  <c r="H933" i="1"/>
  <c r="G933" i="1" s="1"/>
  <c r="J933" i="1"/>
  <c r="I933" i="1" s="1"/>
  <c r="J934" i="1"/>
  <c r="I934" i="1" s="1"/>
  <c r="H934" i="1" s="1"/>
  <c r="G934" i="1" s="1"/>
  <c r="J935" i="1"/>
  <c r="I935" i="1" s="1"/>
  <c r="H935" i="1" s="1"/>
  <c r="G935" i="1" s="1"/>
  <c r="J936" i="1"/>
  <c r="I936" i="1" s="1"/>
  <c r="H936" i="1" s="1"/>
  <c r="G936" i="1" s="1"/>
  <c r="H937" i="1"/>
  <c r="G937" i="1" s="1"/>
  <c r="J937" i="1"/>
  <c r="I937" i="1" s="1"/>
  <c r="J938" i="1"/>
  <c r="I938" i="1" s="1"/>
  <c r="H938" i="1" s="1"/>
  <c r="G938" i="1" s="1"/>
  <c r="G939" i="1"/>
  <c r="H939" i="1"/>
  <c r="I939" i="1"/>
  <c r="J939" i="1"/>
  <c r="I940" i="1"/>
  <c r="H940" i="1" s="1"/>
  <c r="G940" i="1" s="1"/>
  <c r="J940" i="1"/>
  <c r="G941" i="1"/>
  <c r="I941" i="1"/>
  <c r="H941" i="1" s="1"/>
  <c r="J941" i="1"/>
  <c r="J942" i="1"/>
  <c r="I942" i="1" s="1"/>
  <c r="H942" i="1" s="1"/>
  <c r="G942" i="1" s="1"/>
  <c r="J943" i="1"/>
  <c r="I943" i="1" s="1"/>
  <c r="H943" i="1" s="1"/>
  <c r="G943" i="1" s="1"/>
  <c r="J944" i="1"/>
  <c r="I944" i="1" s="1"/>
  <c r="H944" i="1" s="1"/>
  <c r="G944" i="1" s="1"/>
  <c r="H945" i="1"/>
  <c r="G945" i="1" s="1"/>
  <c r="I945" i="1"/>
  <c r="J945" i="1"/>
  <c r="J946" i="1"/>
  <c r="I946" i="1" s="1"/>
  <c r="H946" i="1" s="1"/>
  <c r="G946" i="1" s="1"/>
  <c r="G947" i="1"/>
  <c r="I947" i="1"/>
  <c r="H947" i="1" s="1"/>
  <c r="J947" i="1"/>
  <c r="J948" i="1"/>
  <c r="I948" i="1" s="1"/>
  <c r="H948" i="1" s="1"/>
  <c r="G948" i="1" s="1"/>
  <c r="J949" i="1"/>
  <c r="I949" i="1" s="1"/>
  <c r="H949" i="1" s="1"/>
  <c r="G949" i="1" s="1"/>
  <c r="J950" i="1"/>
  <c r="I950" i="1" s="1"/>
  <c r="H950" i="1" s="1"/>
  <c r="G950" i="1" s="1"/>
  <c r="I951" i="1"/>
  <c r="H951" i="1" s="1"/>
  <c r="G951" i="1" s="1"/>
  <c r="J951" i="1"/>
  <c r="J952" i="1"/>
  <c r="I952" i="1" s="1"/>
  <c r="H952" i="1" s="1"/>
  <c r="G952" i="1" s="1"/>
  <c r="H953" i="1"/>
  <c r="G953" i="1" s="1"/>
  <c r="I953" i="1"/>
  <c r="J953" i="1"/>
  <c r="J954" i="1"/>
  <c r="I954" i="1" s="1"/>
  <c r="H954" i="1" s="1"/>
  <c r="G954" i="1" s="1"/>
  <c r="J955" i="1"/>
  <c r="I955" i="1" s="1"/>
  <c r="H955" i="1" s="1"/>
  <c r="G955" i="1" s="1"/>
  <c r="I956" i="1"/>
  <c r="H956" i="1" s="1"/>
  <c r="G956" i="1" s="1"/>
  <c r="J956" i="1"/>
  <c r="I957" i="1"/>
  <c r="H957" i="1" s="1"/>
  <c r="G957" i="1" s="1"/>
  <c r="J957" i="1"/>
  <c r="J958" i="1"/>
  <c r="I958" i="1" s="1"/>
  <c r="H958" i="1" s="1"/>
  <c r="G958" i="1" s="1"/>
  <c r="G959" i="1"/>
  <c r="H959" i="1"/>
  <c r="I959" i="1"/>
  <c r="J959" i="1"/>
  <c r="J960" i="1"/>
  <c r="I960" i="1" s="1"/>
  <c r="H960" i="1" s="1"/>
  <c r="G960" i="1" s="1"/>
  <c r="J961" i="1"/>
  <c r="I961" i="1" s="1"/>
  <c r="H961" i="1" s="1"/>
  <c r="G961" i="1" s="1"/>
  <c r="I962" i="1"/>
  <c r="H962" i="1" s="1"/>
  <c r="G962" i="1" s="1"/>
  <c r="J962" i="1"/>
  <c r="J963" i="1"/>
  <c r="I963" i="1" s="1"/>
  <c r="H963" i="1" s="1"/>
  <c r="G963" i="1" s="1"/>
  <c r="J964" i="1"/>
  <c r="I964" i="1" s="1"/>
  <c r="H964" i="1" s="1"/>
  <c r="G964" i="1" s="1"/>
  <c r="H965" i="1"/>
  <c r="G965" i="1" s="1"/>
  <c r="I965" i="1"/>
  <c r="J965" i="1"/>
  <c r="J966" i="1"/>
  <c r="I966" i="1" s="1"/>
  <c r="H966" i="1" s="1"/>
  <c r="G966" i="1" s="1"/>
  <c r="J967" i="1"/>
  <c r="I967" i="1" s="1"/>
  <c r="H967" i="1" s="1"/>
  <c r="G967" i="1" s="1"/>
  <c r="J968" i="1"/>
  <c r="I968" i="1" s="1"/>
  <c r="H968" i="1" s="1"/>
  <c r="G968" i="1" s="1"/>
  <c r="J969" i="1"/>
  <c r="I969" i="1" s="1"/>
  <c r="H969" i="1" s="1"/>
  <c r="G969" i="1" s="1"/>
  <c r="H970" i="1"/>
  <c r="G970" i="1" s="1"/>
  <c r="J970" i="1"/>
  <c r="I970" i="1" s="1"/>
  <c r="G971" i="1"/>
  <c r="H971" i="1"/>
  <c r="I971" i="1"/>
  <c r="J971" i="1"/>
  <c r="J972" i="1"/>
  <c r="I972" i="1" s="1"/>
  <c r="H972" i="1" s="1"/>
  <c r="G972" i="1" s="1"/>
  <c r="G973" i="1"/>
  <c r="I973" i="1"/>
  <c r="H973" i="1" s="1"/>
  <c r="J973" i="1"/>
  <c r="J974" i="1"/>
  <c r="I974" i="1" s="1"/>
  <c r="H974" i="1" s="1"/>
  <c r="G974" i="1" s="1"/>
  <c r="J975" i="1"/>
  <c r="I975" i="1" s="1"/>
  <c r="H975" i="1" s="1"/>
  <c r="G975" i="1" s="1"/>
  <c r="J976" i="1"/>
  <c r="I976" i="1" s="1"/>
  <c r="H976" i="1" s="1"/>
  <c r="G976" i="1" s="1"/>
  <c r="H977" i="1"/>
  <c r="G977" i="1" s="1"/>
  <c r="I977" i="1"/>
  <c r="J977" i="1"/>
  <c r="I978" i="1"/>
  <c r="H978" i="1" s="1"/>
  <c r="G978" i="1" s="1"/>
  <c r="J978" i="1"/>
  <c r="J979" i="1"/>
  <c r="I979" i="1" s="1"/>
  <c r="H979" i="1" s="1"/>
  <c r="G979" i="1" s="1"/>
  <c r="J980" i="1"/>
  <c r="I980" i="1" s="1"/>
  <c r="H980" i="1" s="1"/>
  <c r="G980" i="1" s="1"/>
  <c r="J981" i="1"/>
  <c r="I981" i="1" s="1"/>
  <c r="H981" i="1" s="1"/>
  <c r="G981" i="1" s="1"/>
  <c r="J982" i="1"/>
  <c r="I982" i="1" s="1"/>
  <c r="H982" i="1" s="1"/>
  <c r="G982" i="1" s="1"/>
  <c r="I983" i="1"/>
  <c r="H983" i="1" s="1"/>
  <c r="G983" i="1" s="1"/>
  <c r="J983" i="1"/>
  <c r="J984" i="1"/>
  <c r="I984" i="1" s="1"/>
  <c r="H984" i="1" s="1"/>
  <c r="G984" i="1" s="1"/>
  <c r="I985" i="1"/>
  <c r="H985" i="1" s="1"/>
  <c r="G985" i="1" s="1"/>
  <c r="J985" i="1"/>
  <c r="J986" i="1"/>
  <c r="I986" i="1" s="1"/>
  <c r="H986" i="1" s="1"/>
  <c r="G986" i="1" s="1"/>
  <c r="J987" i="1"/>
  <c r="I987" i="1" s="1"/>
  <c r="H987" i="1" s="1"/>
  <c r="G987" i="1" s="1"/>
  <c r="J988" i="1"/>
  <c r="I988" i="1" s="1"/>
  <c r="H988" i="1" s="1"/>
  <c r="G988" i="1" s="1"/>
  <c r="G989" i="1"/>
  <c r="H989" i="1"/>
  <c r="I989" i="1"/>
  <c r="J989" i="1"/>
  <c r="J990" i="1"/>
  <c r="I990" i="1" s="1"/>
  <c r="H990" i="1" s="1"/>
  <c r="G990" i="1" s="1"/>
  <c r="J991" i="1"/>
  <c r="I991" i="1" s="1"/>
  <c r="H991" i="1" s="1"/>
  <c r="G991" i="1" s="1"/>
  <c r="H992" i="1"/>
  <c r="G992" i="1" s="1"/>
  <c r="J992" i="1"/>
  <c r="I992" i="1" s="1"/>
  <c r="J993" i="1"/>
  <c r="I993" i="1" s="1"/>
  <c r="H993" i="1" s="1"/>
  <c r="G993" i="1" s="1"/>
  <c r="J994" i="1"/>
  <c r="I994" i="1" s="1"/>
  <c r="H994" i="1" s="1"/>
  <c r="G994" i="1" s="1"/>
  <c r="H995" i="1"/>
  <c r="G995" i="1" s="1"/>
  <c r="J995" i="1"/>
  <c r="I995" i="1" s="1"/>
  <c r="J996" i="1"/>
  <c r="I996" i="1" s="1"/>
  <c r="H996" i="1" s="1"/>
  <c r="G996" i="1" s="1"/>
  <c r="J997" i="1"/>
  <c r="I997" i="1" s="1"/>
  <c r="H997" i="1" s="1"/>
  <c r="G997" i="1" s="1"/>
  <c r="I998" i="1"/>
  <c r="H998" i="1" s="1"/>
  <c r="G998" i="1" s="1"/>
  <c r="J998" i="1"/>
  <c r="J999" i="1"/>
  <c r="I999" i="1" s="1"/>
  <c r="H999" i="1" s="1"/>
  <c r="G999" i="1" s="1"/>
  <c r="J1000" i="1"/>
  <c r="I1000" i="1" s="1"/>
  <c r="H1000" i="1" s="1"/>
  <c r="G1000" i="1" s="1"/>
  <c r="H1001" i="1"/>
  <c r="G1001" i="1" s="1"/>
  <c r="J1001" i="1"/>
  <c r="I1001" i="1" s="1"/>
  <c r="J1002" i="1"/>
  <c r="I1002" i="1" s="1"/>
  <c r="H1002" i="1" s="1"/>
  <c r="G1002" i="1" s="1"/>
  <c r="J1003" i="1"/>
  <c r="I1003" i="1" s="1"/>
  <c r="H1003" i="1" s="1"/>
  <c r="G1003" i="1" s="1"/>
  <c r="I1004" i="1"/>
  <c r="H1004" i="1" s="1"/>
  <c r="G1004" i="1" s="1"/>
  <c r="J1004" i="1"/>
  <c r="I1005" i="1"/>
  <c r="H1005" i="1" s="1"/>
  <c r="G1005" i="1" s="1"/>
  <c r="J1005" i="1"/>
  <c r="J1006" i="1"/>
  <c r="I1006" i="1" s="1"/>
  <c r="H1006" i="1" s="1"/>
  <c r="G1006" i="1" s="1"/>
  <c r="J1007" i="1"/>
  <c r="I1007" i="1" s="1"/>
  <c r="H1007" i="1" s="1"/>
  <c r="G1007" i="1" s="1"/>
  <c r="J1008" i="1"/>
  <c r="I1008" i="1" s="1"/>
  <c r="H1008" i="1" s="1"/>
  <c r="G1008" i="1" s="1"/>
  <c r="I1009" i="1"/>
  <c r="H1009" i="1" s="1"/>
  <c r="G1009" i="1" s="1"/>
  <c r="J1009" i="1"/>
  <c r="J1010" i="1"/>
  <c r="I1010" i="1" s="1"/>
  <c r="H1010" i="1" s="1"/>
  <c r="G1010" i="1" s="1"/>
  <c r="J1011" i="1"/>
  <c r="I1011" i="1" s="1"/>
  <c r="H1011" i="1" s="1"/>
  <c r="G1011" i="1" s="1"/>
  <c r="I1012" i="1"/>
  <c r="H1012" i="1" s="1"/>
  <c r="G1012" i="1" s="1"/>
  <c r="J1012" i="1"/>
  <c r="J1013" i="1"/>
  <c r="I1013" i="1" s="1"/>
  <c r="H1013" i="1" s="1"/>
  <c r="G1013" i="1" s="1"/>
  <c r="J1014" i="1"/>
  <c r="I1014" i="1" s="1"/>
  <c r="H1014" i="1" s="1"/>
  <c r="G1014" i="1" s="1"/>
  <c r="H1015" i="1"/>
  <c r="G1015" i="1" s="1"/>
  <c r="I1015" i="1"/>
  <c r="J1015" i="1"/>
  <c r="I1016" i="1"/>
  <c r="H1016" i="1" s="1"/>
  <c r="G1016" i="1" s="1"/>
  <c r="J1016" i="1"/>
  <c r="J1017" i="1"/>
  <c r="I1017" i="1" s="1"/>
  <c r="H1017" i="1" s="1"/>
  <c r="G1017" i="1" s="1"/>
  <c r="J1018" i="1"/>
  <c r="I1018" i="1" s="1"/>
  <c r="H1018" i="1" s="1"/>
  <c r="G1018" i="1" s="1"/>
  <c r="H1019" i="1"/>
  <c r="G1019" i="1" s="1"/>
  <c r="J1019" i="1"/>
  <c r="I1019" i="1" s="1"/>
  <c r="J1020" i="1"/>
  <c r="I1020" i="1" s="1"/>
  <c r="H1020" i="1" s="1"/>
  <c r="G1020" i="1" s="1"/>
  <c r="J1021" i="1"/>
  <c r="I1021" i="1" s="1"/>
  <c r="H1021" i="1" s="1"/>
  <c r="G1021" i="1" s="1"/>
  <c r="J1022" i="1"/>
  <c r="I1022" i="1" s="1"/>
  <c r="H1022" i="1" s="1"/>
  <c r="G1022" i="1" s="1"/>
  <c r="I1023" i="1"/>
  <c r="H1023" i="1" s="1"/>
  <c r="G1023" i="1" s="1"/>
  <c r="J1023" i="1"/>
  <c r="J1024" i="1"/>
  <c r="I1024" i="1" s="1"/>
  <c r="H1024" i="1" s="1"/>
  <c r="G1024" i="1" s="1"/>
  <c r="J1025" i="1"/>
  <c r="I1025" i="1" s="1"/>
  <c r="H1025" i="1" s="1"/>
  <c r="G1025" i="1" s="1"/>
  <c r="J1026" i="1"/>
  <c r="I1026" i="1" s="1"/>
  <c r="H1026" i="1" s="1"/>
  <c r="G1026" i="1" s="1"/>
  <c r="J1027" i="1"/>
  <c r="I1027" i="1" s="1"/>
  <c r="H1027" i="1" s="1"/>
  <c r="G1027" i="1" s="1"/>
  <c r="J1028" i="1"/>
  <c r="I1028" i="1" s="1"/>
  <c r="H1028" i="1" s="1"/>
  <c r="G1028" i="1" s="1"/>
  <c r="J1029" i="1"/>
  <c r="I1029" i="1" s="1"/>
  <c r="H1029" i="1" s="1"/>
  <c r="G1029" i="1" s="1"/>
  <c r="J1030" i="1"/>
  <c r="I1030" i="1" s="1"/>
  <c r="H1030" i="1" s="1"/>
  <c r="G1030" i="1" s="1"/>
  <c r="G1031" i="1"/>
  <c r="H1031" i="1"/>
  <c r="J1031" i="1"/>
  <c r="I1031" i="1" s="1"/>
  <c r="J1032" i="1"/>
  <c r="I1032" i="1" s="1"/>
  <c r="H1032" i="1" s="1"/>
  <c r="G1032" i="1" s="1"/>
  <c r="J1033" i="1"/>
  <c r="I1033" i="1" s="1"/>
  <c r="H1033" i="1" s="1"/>
  <c r="G1033" i="1" s="1"/>
  <c r="H1034" i="1"/>
  <c r="G1034" i="1" s="1"/>
  <c r="J1034" i="1"/>
  <c r="I1034" i="1" s="1"/>
  <c r="J1035" i="1"/>
  <c r="I1035" i="1" s="1"/>
  <c r="H1035" i="1" s="1"/>
  <c r="G1035" i="1" s="1"/>
  <c r="J1036" i="1"/>
  <c r="I1036" i="1" s="1"/>
  <c r="H1036" i="1" s="1"/>
  <c r="G1036" i="1" s="1"/>
  <c r="I1037" i="1"/>
  <c r="H1037" i="1" s="1"/>
  <c r="G1037" i="1" s="1"/>
  <c r="J1037" i="1"/>
  <c r="J1038" i="1"/>
  <c r="I1038" i="1" s="1"/>
  <c r="H1038" i="1" s="1"/>
  <c r="G1038" i="1" s="1"/>
  <c r="J1039" i="1"/>
  <c r="I1039" i="1" s="1"/>
  <c r="H1039" i="1" s="1"/>
  <c r="G1039" i="1" s="1"/>
  <c r="J1040" i="1"/>
  <c r="I1040" i="1" s="1"/>
  <c r="H1040" i="1" s="1"/>
  <c r="G1040" i="1" s="1"/>
  <c r="J1041" i="1"/>
  <c r="I1041" i="1" s="1"/>
  <c r="H1041" i="1" s="1"/>
  <c r="G1041" i="1" s="1"/>
  <c r="I1042" i="1"/>
  <c r="H1042" i="1" s="1"/>
  <c r="G1042" i="1" s="1"/>
  <c r="J1042" i="1"/>
  <c r="G1043" i="1"/>
  <c r="I1043" i="1"/>
  <c r="H1043" i="1" s="1"/>
  <c r="J1043" i="1"/>
  <c r="J1044" i="1"/>
  <c r="I1044" i="1" s="1"/>
  <c r="H1044" i="1" s="1"/>
  <c r="G1044" i="1" s="1"/>
  <c r="I1045" i="1"/>
  <c r="H1045" i="1" s="1"/>
  <c r="G1045" i="1" s="1"/>
  <c r="J1045" i="1"/>
  <c r="J1046" i="1"/>
  <c r="I1046" i="1" s="1"/>
  <c r="H1046" i="1" s="1"/>
  <c r="G1046" i="1" s="1"/>
  <c r="J1047" i="1"/>
  <c r="I1047" i="1" s="1"/>
  <c r="H1047" i="1" s="1"/>
  <c r="G1047" i="1" s="1"/>
  <c r="J1048" i="1"/>
  <c r="I1048" i="1" s="1"/>
  <c r="H1048" i="1" s="1"/>
  <c r="G1048" i="1" s="1"/>
  <c r="J1049" i="1"/>
  <c r="I1049" i="1" s="1"/>
  <c r="H1049" i="1" s="1"/>
  <c r="G1049" i="1" s="1"/>
  <c r="J1050" i="1"/>
  <c r="I1050" i="1" s="1"/>
  <c r="H1050" i="1" s="1"/>
  <c r="G1050" i="1" s="1"/>
  <c r="J1051" i="1"/>
  <c r="I1051" i="1" s="1"/>
  <c r="H1051" i="1" s="1"/>
  <c r="G1051" i="1" s="1"/>
  <c r="I1052" i="1"/>
  <c r="H1052" i="1" s="1"/>
  <c r="G1052" i="1" s="1"/>
  <c r="J1052" i="1"/>
  <c r="I1053" i="1"/>
  <c r="H1053" i="1" s="1"/>
  <c r="G1053" i="1" s="1"/>
  <c r="J1053" i="1"/>
  <c r="J1054" i="1"/>
  <c r="I1054" i="1" s="1"/>
  <c r="H1054" i="1" s="1"/>
  <c r="G1054" i="1" s="1"/>
  <c r="J1055" i="1"/>
  <c r="I1055" i="1" s="1"/>
  <c r="H1055" i="1" s="1"/>
  <c r="G1055" i="1" s="1"/>
  <c r="J1056" i="1"/>
  <c r="I1056" i="1" s="1"/>
  <c r="H1056" i="1" s="1"/>
  <c r="G1056" i="1" s="1"/>
  <c r="J1057" i="1"/>
  <c r="I1057" i="1" s="1"/>
  <c r="H1057" i="1" s="1"/>
  <c r="G1057" i="1" s="1"/>
  <c r="J1058" i="1"/>
  <c r="I1058" i="1" s="1"/>
  <c r="H1058" i="1" s="1"/>
  <c r="G1058" i="1" s="1"/>
  <c r="J1059" i="1"/>
  <c r="I1059" i="1" s="1"/>
  <c r="H1059" i="1" s="1"/>
  <c r="G1059" i="1" s="1"/>
  <c r="J1060" i="1"/>
  <c r="I1060" i="1" s="1"/>
  <c r="H1060" i="1" s="1"/>
  <c r="G1060" i="1" s="1"/>
  <c r="G1061" i="1"/>
  <c r="I1061" i="1"/>
  <c r="H1061" i="1" s="1"/>
  <c r="J1061" i="1"/>
  <c r="J1062" i="1"/>
  <c r="I1062" i="1" s="1"/>
  <c r="H1062" i="1" s="1"/>
  <c r="G1062" i="1" s="1"/>
  <c r="I1063" i="1"/>
  <c r="H1063" i="1" s="1"/>
  <c r="G1063" i="1" s="1"/>
  <c r="J1063" i="1"/>
  <c r="J1064" i="1"/>
  <c r="I1064" i="1" s="1"/>
  <c r="H1064" i="1" s="1"/>
  <c r="G1064" i="1" s="1"/>
  <c r="J1065" i="1"/>
  <c r="I1065" i="1" s="1"/>
  <c r="H1065" i="1" s="1"/>
  <c r="G1065" i="1" s="1"/>
  <c r="J1066" i="1"/>
  <c r="I1066" i="1" s="1"/>
  <c r="H1066" i="1" s="1"/>
  <c r="G1066" i="1" s="1"/>
  <c r="I1067" i="1"/>
  <c r="H1067" i="1" s="1"/>
  <c r="G1067" i="1" s="1"/>
  <c r="J1067" i="1"/>
  <c r="J1068" i="1"/>
  <c r="I1068" i="1" s="1"/>
  <c r="H1068" i="1" s="1"/>
  <c r="G1068" i="1" s="1"/>
  <c r="I1069" i="1"/>
  <c r="H1069" i="1" s="1"/>
  <c r="G1069" i="1" s="1"/>
  <c r="J1069" i="1"/>
  <c r="J1070" i="1"/>
  <c r="I1070" i="1" s="1"/>
  <c r="H1070" i="1" s="1"/>
  <c r="G1070" i="1" s="1"/>
  <c r="J1071" i="1"/>
  <c r="I1071" i="1" s="1"/>
  <c r="H1071" i="1" s="1"/>
  <c r="G1071" i="1" s="1"/>
  <c r="J1072" i="1"/>
  <c r="I1072" i="1" s="1"/>
  <c r="H1072" i="1" s="1"/>
  <c r="G1072" i="1" s="1"/>
  <c r="I1073" i="1"/>
  <c r="H1073" i="1" s="1"/>
  <c r="G1073" i="1" s="1"/>
  <c r="J1073" i="1"/>
  <c r="H1074" i="1"/>
  <c r="G1074" i="1" s="1"/>
  <c r="I1074" i="1"/>
  <c r="J1074" i="1"/>
  <c r="J1075" i="1"/>
  <c r="I1075" i="1" s="1"/>
  <c r="H1075" i="1" s="1"/>
  <c r="G1075" i="1" s="1"/>
  <c r="J1076" i="1"/>
  <c r="I1076" i="1" s="1"/>
  <c r="H1076" i="1" s="1"/>
  <c r="G1076" i="1" s="1"/>
  <c r="I1077" i="1"/>
  <c r="H1077" i="1" s="1"/>
  <c r="G1077" i="1" s="1"/>
  <c r="J1077" i="1"/>
  <c r="J1078" i="1"/>
  <c r="I1078" i="1" s="1"/>
  <c r="H1078" i="1" s="1"/>
  <c r="G1078" i="1" s="1"/>
  <c r="J1079" i="1"/>
  <c r="I1079" i="1" s="1"/>
  <c r="H1079" i="1" s="1"/>
  <c r="G1079" i="1" s="1"/>
  <c r="J1080" i="1"/>
  <c r="I1080" i="1" s="1"/>
  <c r="H1080" i="1" s="1"/>
  <c r="G1080" i="1" s="1"/>
  <c r="I1081" i="1"/>
  <c r="H1081" i="1" s="1"/>
  <c r="G1081" i="1" s="1"/>
  <c r="J1081" i="1"/>
  <c r="J1082" i="1"/>
  <c r="I1082" i="1" s="1"/>
  <c r="H1082" i="1" s="1"/>
  <c r="G1082" i="1" s="1"/>
  <c r="J1083" i="1"/>
  <c r="I1083" i="1" s="1"/>
  <c r="H1083" i="1" s="1"/>
  <c r="G1083" i="1" s="1"/>
  <c r="J1084" i="1"/>
  <c r="I1084" i="1" s="1"/>
  <c r="H1084" i="1" s="1"/>
  <c r="G1084" i="1" s="1"/>
  <c r="J1085" i="1"/>
  <c r="I1085" i="1" s="1"/>
  <c r="H1085" i="1" s="1"/>
  <c r="G1085" i="1" s="1"/>
  <c r="J1086" i="1"/>
  <c r="I1086" i="1" s="1"/>
  <c r="H1086" i="1" s="1"/>
  <c r="G1086" i="1" s="1"/>
  <c r="I1087" i="1"/>
  <c r="H1087" i="1" s="1"/>
  <c r="G1087" i="1" s="1"/>
  <c r="J1087" i="1"/>
  <c r="J1088" i="1"/>
  <c r="I1088" i="1" s="1"/>
  <c r="H1088" i="1" s="1"/>
  <c r="G1088" i="1" s="1"/>
  <c r="I1089" i="1"/>
  <c r="H1089" i="1" s="1"/>
  <c r="G1089" i="1" s="1"/>
  <c r="J1089" i="1"/>
  <c r="J1090" i="1"/>
  <c r="I1090" i="1" s="1"/>
  <c r="H1090" i="1" s="1"/>
  <c r="G1090" i="1" s="1"/>
  <c r="J1091" i="1"/>
  <c r="I1091" i="1" s="1"/>
  <c r="H1091" i="1" s="1"/>
  <c r="G1091" i="1" s="1"/>
  <c r="J1092" i="1"/>
  <c r="I1092" i="1" s="1"/>
  <c r="H1092" i="1" s="1"/>
  <c r="G1092" i="1" s="1"/>
  <c r="I1093" i="1"/>
  <c r="H1093" i="1" s="1"/>
  <c r="G1093" i="1" s="1"/>
  <c r="J1093" i="1"/>
  <c r="J1094" i="1"/>
  <c r="I1094" i="1" s="1"/>
  <c r="H1094" i="1" s="1"/>
  <c r="G1094" i="1" s="1"/>
  <c r="I1095" i="1"/>
  <c r="H1095" i="1" s="1"/>
  <c r="G1095" i="1" s="1"/>
  <c r="J1095" i="1"/>
  <c r="J1096" i="1"/>
  <c r="I1096" i="1" s="1"/>
  <c r="H1096" i="1" s="1"/>
  <c r="G1096" i="1" s="1"/>
  <c r="J1097" i="1"/>
  <c r="I1097" i="1" s="1"/>
  <c r="H1097" i="1" s="1"/>
  <c r="G1097" i="1" s="1"/>
  <c r="J1098" i="1"/>
  <c r="I1098" i="1" s="1"/>
  <c r="H1098" i="1" s="1"/>
  <c r="G1098" i="1" s="1"/>
  <c r="I1099" i="1"/>
  <c r="H1099" i="1" s="1"/>
  <c r="G1099" i="1" s="1"/>
  <c r="J1099" i="1"/>
  <c r="I1100" i="1"/>
  <c r="H1100" i="1" s="1"/>
  <c r="G1100" i="1" s="1"/>
  <c r="J1100" i="1"/>
  <c r="I1101" i="1"/>
  <c r="H1101" i="1" s="1"/>
  <c r="G1101" i="1" s="1"/>
  <c r="J1101" i="1"/>
  <c r="J1102" i="1"/>
  <c r="I1102" i="1" s="1"/>
  <c r="H1102" i="1" s="1"/>
  <c r="G1102" i="1" s="1"/>
  <c r="I1103" i="1"/>
  <c r="H1103" i="1" s="1"/>
  <c r="G1103" i="1" s="1"/>
  <c r="J1103" i="1"/>
  <c r="J1104" i="1"/>
  <c r="I1104" i="1" s="1"/>
  <c r="H1104" i="1" s="1"/>
  <c r="G1104" i="1" s="1"/>
  <c r="I1105" i="1"/>
  <c r="H1105" i="1" s="1"/>
  <c r="G1105" i="1" s="1"/>
  <c r="J1105" i="1"/>
  <c r="I1106" i="1"/>
  <c r="H1106" i="1" s="1"/>
  <c r="G1106" i="1" s="1"/>
  <c r="J1106" i="1"/>
  <c r="I1107" i="1"/>
  <c r="H1107" i="1" s="1"/>
  <c r="G1107" i="1" s="1"/>
  <c r="J1107" i="1"/>
  <c r="J1108" i="1"/>
  <c r="I1108" i="1" s="1"/>
  <c r="H1108" i="1" s="1"/>
  <c r="G1108" i="1" s="1"/>
  <c r="I1109" i="1"/>
  <c r="H1109" i="1" s="1"/>
  <c r="G1109" i="1" s="1"/>
  <c r="J1109" i="1"/>
  <c r="J1110" i="1"/>
  <c r="I1110" i="1" s="1"/>
  <c r="H1110" i="1" s="1"/>
  <c r="G1110" i="1" s="1"/>
  <c r="I1111" i="1"/>
  <c r="H1111" i="1" s="1"/>
  <c r="G1111" i="1" s="1"/>
  <c r="J1111" i="1"/>
  <c r="J1112" i="1"/>
  <c r="I1112" i="1" s="1"/>
  <c r="H1112" i="1" s="1"/>
  <c r="G1112" i="1" s="1"/>
  <c r="J1113" i="1"/>
  <c r="I1113" i="1" s="1"/>
  <c r="H1113" i="1" s="1"/>
  <c r="G1113" i="1" s="1"/>
  <c r="J1114" i="1"/>
  <c r="I1114" i="1" s="1"/>
  <c r="H1114" i="1" s="1"/>
  <c r="G1114" i="1" s="1"/>
  <c r="J1115" i="1"/>
  <c r="I1115" i="1" s="1"/>
  <c r="H1115" i="1" s="1"/>
  <c r="G1115" i="1" s="1"/>
  <c r="J1116" i="1"/>
  <c r="I1116" i="1" s="1"/>
  <c r="H1116" i="1" s="1"/>
  <c r="G1116" i="1" s="1"/>
  <c r="I1117" i="1"/>
  <c r="H1117" i="1" s="1"/>
  <c r="G1117" i="1" s="1"/>
  <c r="J1117" i="1"/>
  <c r="J1118" i="1"/>
  <c r="I1118" i="1" s="1"/>
  <c r="H1118" i="1" s="1"/>
  <c r="G1118" i="1" s="1"/>
  <c r="G1119" i="1"/>
  <c r="J1119" i="1"/>
  <c r="I1119" i="1" s="1"/>
  <c r="H1119" i="1" s="1"/>
  <c r="H1120" i="1"/>
  <c r="G1120" i="1" s="1"/>
  <c r="J1120" i="1"/>
  <c r="I1120" i="1" s="1"/>
  <c r="G1121" i="1"/>
  <c r="J1121" i="1"/>
  <c r="I1121" i="1" s="1"/>
  <c r="H1121" i="1" s="1"/>
  <c r="G1122" i="1"/>
  <c r="J1122" i="1"/>
  <c r="I1122" i="1" s="1"/>
  <c r="H1122" i="1" s="1"/>
  <c r="G1123" i="1"/>
  <c r="H1123" i="1"/>
  <c r="J1123" i="1"/>
  <c r="I1123" i="1" s="1"/>
  <c r="G1124" i="1"/>
  <c r="J1124" i="1"/>
  <c r="I1124" i="1" s="1"/>
  <c r="H1124" i="1" s="1"/>
  <c r="G1125" i="1"/>
  <c r="J1125" i="1"/>
  <c r="I1125" i="1" s="1"/>
  <c r="H1125" i="1" s="1"/>
  <c r="G1126" i="1"/>
  <c r="H1126" i="1"/>
  <c r="J1126" i="1"/>
  <c r="I1126" i="1" s="1"/>
  <c r="G1127" i="1"/>
  <c r="I1127" i="1"/>
  <c r="H1127" i="1" s="1"/>
  <c r="J1127" i="1"/>
  <c r="G1128" i="1"/>
  <c r="J1128" i="1"/>
  <c r="I1128" i="1" s="1"/>
  <c r="H1128" i="1" s="1"/>
  <c r="G1129" i="1"/>
  <c r="J1129" i="1"/>
  <c r="I1129" i="1" s="1"/>
  <c r="H1129" i="1" s="1"/>
  <c r="G1130" i="1"/>
  <c r="J1130" i="1"/>
  <c r="I1130" i="1" s="1"/>
  <c r="H1130" i="1" s="1"/>
  <c r="G1131" i="1"/>
  <c r="J1131" i="1"/>
  <c r="I1131" i="1" s="1"/>
  <c r="H1131" i="1" s="1"/>
  <c r="G1132" i="1"/>
  <c r="J1132" i="1"/>
  <c r="I1132" i="1" s="1"/>
  <c r="H1132" i="1" s="1"/>
  <c r="G1133" i="1"/>
  <c r="I1133" i="1"/>
  <c r="H1133" i="1" s="1"/>
  <c r="J1133" i="1"/>
  <c r="G1134" i="1"/>
  <c r="J1134" i="1"/>
  <c r="I1134" i="1" s="1"/>
  <c r="H1134" i="1" s="1"/>
  <c r="G1135" i="1"/>
  <c r="I1135" i="1"/>
  <c r="H1135" i="1" s="1"/>
  <c r="J1135" i="1"/>
  <c r="G1136" i="1"/>
  <c r="J1136" i="1"/>
  <c r="I1136" i="1" s="1"/>
  <c r="H1136" i="1" s="1"/>
  <c r="G1137" i="1"/>
  <c r="I1137" i="1"/>
  <c r="H1137" i="1" s="1"/>
  <c r="J1137" i="1"/>
  <c r="G1138" i="1"/>
  <c r="J1138" i="1"/>
  <c r="I1138" i="1" s="1"/>
  <c r="H1138" i="1" s="1"/>
  <c r="G1139" i="1"/>
  <c r="I1139" i="1"/>
  <c r="H1139" i="1" s="1"/>
  <c r="J1139" i="1"/>
  <c r="G1140" i="1"/>
  <c r="J1140" i="1"/>
  <c r="I1140" i="1" s="1"/>
  <c r="H1140" i="1" s="1"/>
  <c r="G1141" i="1"/>
  <c r="J1141" i="1"/>
  <c r="I1141" i="1" s="1"/>
  <c r="H1141" i="1" s="1"/>
  <c r="G1142" i="1"/>
  <c r="H1142" i="1"/>
  <c r="J1142" i="1"/>
  <c r="I1142" i="1" s="1"/>
  <c r="G1143" i="1"/>
  <c r="I1143" i="1"/>
  <c r="H1143" i="1" s="1"/>
  <c r="J1143" i="1"/>
  <c r="G1144" i="1"/>
  <c r="J1144" i="1"/>
  <c r="I1144" i="1" s="1"/>
  <c r="H1144" i="1" s="1"/>
  <c r="G1145" i="1"/>
  <c r="H1145" i="1"/>
  <c r="I1145" i="1"/>
  <c r="J1145" i="1"/>
  <c r="H1146" i="1"/>
  <c r="G1146" i="1" s="1"/>
  <c r="J1146" i="1"/>
  <c r="I1146" i="1" s="1"/>
  <c r="G1147" i="1"/>
  <c r="J1147" i="1"/>
  <c r="I1147" i="1" s="1"/>
  <c r="H1147" i="1" s="1"/>
  <c r="G1148" i="1"/>
  <c r="I1148" i="1"/>
  <c r="H1148" i="1" s="1"/>
  <c r="J1148" i="1"/>
  <c r="G1149" i="1"/>
  <c r="J1149" i="1"/>
  <c r="I1149" i="1" s="1"/>
  <c r="H1149" i="1" s="1"/>
  <c r="G1150" i="1"/>
  <c r="J1150" i="1"/>
  <c r="I1150" i="1" s="1"/>
  <c r="H1150" i="1" s="1"/>
  <c r="G1151" i="1"/>
  <c r="J1151" i="1"/>
  <c r="I1151" i="1" s="1"/>
  <c r="H1151" i="1" s="1"/>
  <c r="G1152" i="1"/>
  <c r="I1152" i="1"/>
  <c r="H1152" i="1" s="1"/>
  <c r="J1152" i="1"/>
  <c r="G1153" i="1"/>
  <c r="H1153" i="1"/>
  <c r="J1153" i="1"/>
  <c r="I1153" i="1" s="1"/>
  <c r="G1154" i="1"/>
  <c r="J1154" i="1"/>
  <c r="I1154" i="1" s="1"/>
  <c r="H1154" i="1" s="1"/>
  <c r="H1155" i="1"/>
  <c r="G1155" i="1" s="1"/>
  <c r="I1155" i="1"/>
  <c r="J1155" i="1"/>
  <c r="G1156" i="1"/>
  <c r="J1156" i="1"/>
  <c r="I1156" i="1" s="1"/>
  <c r="H1156" i="1" s="1"/>
  <c r="G1157" i="1"/>
  <c r="I1157" i="1"/>
  <c r="H1157" i="1" s="1"/>
  <c r="J1157" i="1"/>
  <c r="G1158" i="1"/>
  <c r="I1158" i="1"/>
  <c r="H1158" i="1" s="1"/>
  <c r="J1158" i="1"/>
  <c r="G1159" i="1"/>
  <c r="J1159" i="1"/>
  <c r="I1159" i="1" s="1"/>
  <c r="H1159" i="1" s="1"/>
  <c r="G1160" i="1"/>
  <c r="I1160" i="1"/>
  <c r="H1160" i="1" s="1"/>
  <c r="J1160" i="1"/>
  <c r="G1161" i="1"/>
  <c r="I1161" i="1"/>
  <c r="H1161" i="1" s="1"/>
  <c r="J1161" i="1"/>
  <c r="G1162" i="1"/>
  <c r="J1162" i="1"/>
  <c r="I1162" i="1" s="1"/>
  <c r="H1162" i="1" s="1"/>
  <c r="G1163" i="1"/>
  <c r="I1163" i="1"/>
  <c r="H1163" i="1" s="1"/>
  <c r="J1163" i="1"/>
  <c r="G1164" i="1"/>
  <c r="I1164" i="1"/>
  <c r="H1164" i="1" s="1"/>
  <c r="J1164" i="1"/>
  <c r="G1165" i="1"/>
  <c r="J1165" i="1"/>
  <c r="I1165" i="1" s="1"/>
  <c r="H1165" i="1" s="1"/>
  <c r="H1166" i="1"/>
  <c r="G1166" i="1" s="1"/>
  <c r="J1166" i="1"/>
  <c r="I1166" i="1" s="1"/>
  <c r="G1167" i="1"/>
  <c r="J1167" i="1"/>
  <c r="I1167" i="1" s="1"/>
  <c r="H1167" i="1" s="1"/>
  <c r="G1168" i="1"/>
  <c r="J1168" i="1"/>
  <c r="I1168" i="1" s="1"/>
  <c r="H1168" i="1" s="1"/>
  <c r="G1169" i="1"/>
  <c r="I1169" i="1"/>
  <c r="H1169" i="1" s="1"/>
  <c r="J1169" i="1"/>
  <c r="G1170" i="1"/>
  <c r="J1170" i="1"/>
  <c r="I1170" i="1" s="1"/>
  <c r="H1170" i="1" s="1"/>
  <c r="G1171" i="1"/>
  <c r="H1171" i="1"/>
  <c r="I1171" i="1"/>
  <c r="J1171" i="1"/>
  <c r="G1172" i="1"/>
  <c r="J1172" i="1"/>
  <c r="I1172" i="1" s="1"/>
  <c r="H1172" i="1" s="1"/>
  <c r="H1173" i="1"/>
  <c r="G1173" i="1" s="1"/>
  <c r="I1173" i="1"/>
  <c r="J1173" i="1"/>
  <c r="H1174" i="1"/>
  <c r="G1174" i="1" s="1"/>
  <c r="J1174" i="1"/>
  <c r="I1174" i="1" s="1"/>
  <c r="G1175" i="1"/>
  <c r="J1175" i="1"/>
  <c r="I1175" i="1" s="1"/>
  <c r="H1175" i="1" s="1"/>
  <c r="G1176" i="1"/>
  <c r="J1176" i="1"/>
  <c r="I1176" i="1" s="1"/>
  <c r="H1176" i="1" s="1"/>
  <c r="G1177" i="1"/>
  <c r="I1177" i="1"/>
  <c r="H1177" i="1" s="1"/>
  <c r="J1177" i="1"/>
  <c r="G1178" i="1"/>
  <c r="J1178" i="1"/>
  <c r="I1178" i="1" s="1"/>
  <c r="H1178" i="1" s="1"/>
  <c r="G1179" i="1"/>
  <c r="I1179" i="1"/>
  <c r="H1179" i="1" s="1"/>
  <c r="J1179" i="1"/>
  <c r="H1180" i="1"/>
  <c r="G1180" i="1" s="1"/>
  <c r="J1180" i="1"/>
  <c r="I1180" i="1" s="1"/>
  <c r="G1181" i="1"/>
  <c r="J1181" i="1"/>
  <c r="I1181" i="1" s="1"/>
  <c r="H1181" i="1" s="1"/>
  <c r="G1182" i="1"/>
  <c r="J1182" i="1"/>
  <c r="I1182" i="1" s="1"/>
  <c r="H1182" i="1" s="1"/>
  <c r="G1183" i="1"/>
  <c r="J1183" i="1"/>
  <c r="I1183" i="1" s="1"/>
  <c r="H1183" i="1" s="1"/>
  <c r="H1184" i="1"/>
  <c r="G1184" i="1" s="1"/>
  <c r="J1184" i="1"/>
  <c r="I1184" i="1" s="1"/>
  <c r="H1185" i="1"/>
  <c r="G1185" i="1" s="1"/>
  <c r="I1185" i="1"/>
  <c r="J1185" i="1"/>
  <c r="G1186" i="1"/>
  <c r="J1186" i="1"/>
  <c r="I1186" i="1" s="1"/>
  <c r="H1186" i="1" s="1"/>
  <c r="G1187" i="1"/>
  <c r="J1187" i="1"/>
  <c r="I1187" i="1" s="1"/>
  <c r="H1187" i="1" s="1"/>
  <c r="G1188" i="1"/>
  <c r="J1188" i="1"/>
  <c r="I1188" i="1" s="1"/>
  <c r="H1188" i="1" s="1"/>
  <c r="G1189" i="1"/>
  <c r="J1189" i="1"/>
  <c r="I1189" i="1" s="1"/>
  <c r="H1189" i="1" s="1"/>
  <c r="G1190" i="1"/>
  <c r="J1190" i="1"/>
  <c r="I1190" i="1" s="1"/>
  <c r="H1190" i="1" s="1"/>
  <c r="G1191" i="1"/>
  <c r="J1191" i="1"/>
  <c r="I1191" i="1" s="1"/>
  <c r="H1191" i="1" s="1"/>
  <c r="H1192" i="1"/>
  <c r="G1192" i="1" s="1"/>
  <c r="J1192" i="1"/>
  <c r="I1192" i="1" s="1"/>
  <c r="G1193" i="1"/>
  <c r="J1193" i="1"/>
  <c r="I1193" i="1" s="1"/>
  <c r="H1193" i="1" s="1"/>
  <c r="G1194" i="1"/>
  <c r="I1194" i="1"/>
  <c r="H1194" i="1" s="1"/>
  <c r="J1194" i="1"/>
  <c r="G1195" i="1"/>
  <c r="I1195" i="1"/>
  <c r="H1195" i="1" s="1"/>
  <c r="J1195" i="1"/>
  <c r="H1196" i="1"/>
  <c r="G1196" i="1" s="1"/>
  <c r="J1196" i="1"/>
  <c r="I1196" i="1" s="1"/>
  <c r="G1197" i="1"/>
  <c r="J1197" i="1"/>
  <c r="I1197" i="1" s="1"/>
  <c r="H1197" i="1" s="1"/>
  <c r="G1198" i="1"/>
  <c r="J1198" i="1"/>
  <c r="I1198" i="1" s="1"/>
  <c r="H1198" i="1" s="1"/>
  <c r="H1199" i="1"/>
  <c r="G1199" i="1" s="1"/>
  <c r="J1199" i="1"/>
  <c r="I1199" i="1" s="1"/>
  <c r="H1200" i="1"/>
  <c r="G1200" i="1" s="1"/>
  <c r="J1200" i="1"/>
  <c r="I1200" i="1" s="1"/>
  <c r="H1201" i="1"/>
  <c r="G1201" i="1" s="1"/>
  <c r="J1201" i="1"/>
  <c r="I1201" i="1" s="1"/>
  <c r="H1202" i="1"/>
  <c r="G1202" i="1" s="1"/>
  <c r="J1202" i="1"/>
  <c r="I1202" i="1" s="1"/>
  <c r="H1203" i="1"/>
  <c r="G1203" i="1" s="1"/>
  <c r="J1203" i="1"/>
  <c r="I1203" i="1" s="1"/>
  <c r="H1204" i="1"/>
  <c r="G1204" i="1" s="1"/>
  <c r="J1204" i="1"/>
  <c r="I1204" i="1" s="1"/>
  <c r="H1205" i="1"/>
  <c r="G1205" i="1" s="1"/>
  <c r="J1205" i="1"/>
  <c r="I1205" i="1" s="1"/>
  <c r="H1206" i="1"/>
  <c r="G1206" i="1" s="1"/>
  <c r="J1206" i="1"/>
  <c r="I1206" i="1" s="1"/>
  <c r="G1207" i="1"/>
  <c r="H1207" i="1"/>
  <c r="J1207" i="1"/>
  <c r="I1207" i="1" s="1"/>
  <c r="H1208" i="1"/>
  <c r="G1208" i="1" s="1"/>
  <c r="J1208" i="1"/>
  <c r="I1208" i="1" s="1"/>
  <c r="H1209" i="1"/>
  <c r="G1209" i="1" s="1"/>
  <c r="I1209" i="1"/>
  <c r="J1209" i="1"/>
  <c r="H1210" i="1"/>
  <c r="G1210" i="1" s="1"/>
  <c r="J1210" i="1"/>
  <c r="I1210" i="1" s="1"/>
  <c r="H1211" i="1"/>
  <c r="G1211" i="1" s="1"/>
  <c r="I1211" i="1"/>
  <c r="J1211" i="1"/>
  <c r="H1212" i="1"/>
  <c r="G1212" i="1" s="1"/>
  <c r="I1212" i="1"/>
  <c r="J1212" i="1"/>
  <c r="H1213" i="1"/>
  <c r="G1213" i="1" s="1"/>
  <c r="I1213" i="1"/>
  <c r="J1213" i="1"/>
  <c r="H1214" i="1"/>
  <c r="G1214" i="1" s="1"/>
  <c r="J1214" i="1"/>
  <c r="I1214" i="1" s="1"/>
  <c r="H1215" i="1"/>
  <c r="G1215" i="1" s="1"/>
  <c r="J1215" i="1"/>
  <c r="I1215" i="1" s="1"/>
  <c r="H1216" i="1"/>
  <c r="G1216" i="1" s="1"/>
  <c r="I1216" i="1"/>
  <c r="J1216" i="1"/>
  <c r="G1217" i="1"/>
  <c r="I1217" i="1"/>
  <c r="H1217" i="1" s="1"/>
  <c r="J1217" i="1"/>
  <c r="H1218" i="1"/>
  <c r="G1218" i="1" s="1"/>
  <c r="J1218" i="1"/>
  <c r="I1218" i="1" s="1"/>
  <c r="H1219" i="1"/>
  <c r="G1219" i="1" s="1"/>
  <c r="I1219" i="1"/>
  <c r="J1219" i="1"/>
  <c r="H1220" i="1"/>
  <c r="G1220" i="1" s="1"/>
  <c r="J1220" i="1"/>
  <c r="I1220" i="1" s="1"/>
  <c r="H1221" i="1"/>
  <c r="G1221" i="1" s="1"/>
  <c r="I1221" i="1"/>
  <c r="J1221" i="1"/>
  <c r="H1222" i="1"/>
  <c r="G1222" i="1" s="1"/>
  <c r="J1222" i="1"/>
  <c r="I1222" i="1" s="1"/>
  <c r="H1223" i="1"/>
  <c r="G1223" i="1" s="1"/>
  <c r="I1223" i="1"/>
  <c r="J1223" i="1"/>
  <c r="H1224" i="1"/>
  <c r="G1224" i="1" s="1"/>
  <c r="I1224" i="1"/>
  <c r="J1224" i="1"/>
  <c r="H1225" i="1"/>
  <c r="G1225" i="1" s="1"/>
  <c r="J1225" i="1"/>
  <c r="I1225" i="1" s="1"/>
  <c r="H1226" i="1"/>
  <c r="G1226" i="1" s="1"/>
  <c r="I1226" i="1"/>
  <c r="J1226" i="1"/>
  <c r="H1227" i="1"/>
  <c r="G1227" i="1" s="1"/>
  <c r="J1227" i="1"/>
  <c r="I1227" i="1" s="1"/>
  <c r="H1228" i="1"/>
  <c r="G1228" i="1" s="1"/>
  <c r="J1228" i="1"/>
  <c r="I1228" i="1" s="1"/>
  <c r="H1229" i="1"/>
  <c r="G1229" i="1" s="1"/>
  <c r="J1229" i="1"/>
  <c r="I1229" i="1" s="1"/>
  <c r="H1230" i="1"/>
  <c r="G1230" i="1" s="1"/>
  <c r="J1230" i="1"/>
  <c r="I1230" i="1" s="1"/>
  <c r="H1231" i="1"/>
  <c r="G1231" i="1" s="1"/>
  <c r="J1231" i="1"/>
  <c r="I1231" i="1" s="1"/>
  <c r="H1232" i="1"/>
  <c r="G1232" i="1" s="1"/>
  <c r="I1232" i="1"/>
  <c r="J1232" i="1"/>
  <c r="H1233" i="1"/>
  <c r="G1233" i="1" s="1"/>
  <c r="J1233" i="1"/>
  <c r="I1233" i="1" s="1"/>
  <c r="I1234" i="1"/>
  <c r="H1234" i="1" s="1"/>
  <c r="G1234" i="1" s="1"/>
  <c r="J1234" i="1"/>
  <c r="H1235" i="1"/>
  <c r="G1235" i="1" s="1"/>
  <c r="J1235" i="1"/>
  <c r="I1235" i="1" s="1"/>
  <c r="H1236" i="1"/>
  <c r="G1236" i="1" s="1"/>
  <c r="J1236" i="1"/>
  <c r="I1236" i="1" s="1"/>
  <c r="G1237" i="1"/>
  <c r="H1237" i="1"/>
  <c r="I1237" i="1"/>
  <c r="J1237" i="1"/>
  <c r="H1238" i="1"/>
  <c r="G1238" i="1" s="1"/>
  <c r="J1238" i="1"/>
  <c r="I1238" i="1" s="1"/>
  <c r="H1239" i="1"/>
  <c r="G1239" i="1" s="1"/>
  <c r="I1239" i="1"/>
  <c r="J1239" i="1"/>
  <c r="H1240" i="1"/>
  <c r="G1240" i="1" s="1"/>
  <c r="J1240" i="1"/>
  <c r="I1240" i="1" s="1"/>
  <c r="H1241" i="1"/>
  <c r="G1241" i="1" s="1"/>
  <c r="J1241" i="1"/>
  <c r="I1241" i="1" s="1"/>
  <c r="H1242" i="1"/>
  <c r="G1242" i="1" s="1"/>
  <c r="J1242" i="1"/>
  <c r="I1242" i="1" s="1"/>
  <c r="H1243" i="1"/>
  <c r="G1243" i="1" s="1"/>
  <c r="J1243" i="1"/>
  <c r="I1243" i="1" s="1"/>
  <c r="H1244" i="1"/>
  <c r="G1244" i="1" s="1"/>
  <c r="I1244" i="1"/>
  <c r="J1244" i="1"/>
  <c r="H1245" i="1"/>
  <c r="G1245" i="1" s="1"/>
  <c r="I1245" i="1"/>
  <c r="J1245" i="1"/>
  <c r="H1246" i="1"/>
  <c r="G1246" i="1" s="1"/>
  <c r="J1246" i="1"/>
  <c r="I1246" i="1" s="1"/>
  <c r="H1247" i="1"/>
  <c r="G1247" i="1" s="1"/>
  <c r="J1247" i="1"/>
  <c r="I1247" i="1" s="1"/>
  <c r="H1248" i="1"/>
  <c r="G1248" i="1" s="1"/>
  <c r="J1248" i="1"/>
  <c r="I1248" i="1" s="1"/>
  <c r="H1249" i="1"/>
  <c r="G1249" i="1" s="1"/>
  <c r="J1249" i="1"/>
  <c r="I1249" i="1" s="1"/>
  <c r="H1250" i="1"/>
  <c r="G1250" i="1" s="1"/>
  <c r="I1250" i="1"/>
  <c r="J1250" i="1"/>
  <c r="H1251" i="1"/>
  <c r="G1251" i="1" s="1"/>
  <c r="J1251" i="1"/>
  <c r="I1251" i="1" s="1"/>
  <c r="H1252" i="1"/>
  <c r="G1252" i="1" s="1"/>
  <c r="I1252" i="1"/>
  <c r="J1252" i="1"/>
  <c r="G1253" i="1"/>
  <c r="H1253" i="1"/>
  <c r="J1253" i="1"/>
  <c r="I1253" i="1" s="1"/>
  <c r="H1254" i="1"/>
  <c r="G1254" i="1" s="1"/>
  <c r="J1254" i="1"/>
  <c r="I1254" i="1" s="1"/>
  <c r="H1255" i="1"/>
  <c r="G1255" i="1" s="1"/>
  <c r="I1255" i="1"/>
  <c r="J1255" i="1"/>
  <c r="H1256" i="1"/>
  <c r="G1256" i="1" s="1"/>
  <c r="J1256" i="1"/>
  <c r="I1256" i="1" s="1"/>
  <c r="H1257" i="1"/>
  <c r="G1257" i="1" s="1"/>
  <c r="I1257" i="1"/>
  <c r="J1257" i="1"/>
  <c r="H1258" i="1"/>
  <c r="G1258" i="1" s="1"/>
  <c r="J1258" i="1"/>
  <c r="I1258" i="1" s="1"/>
  <c r="H1259" i="1"/>
  <c r="G1259" i="1" s="1"/>
  <c r="J1259" i="1"/>
  <c r="I1259" i="1" s="1"/>
  <c r="H1260" i="1"/>
  <c r="G1260" i="1" s="1"/>
  <c r="J1260" i="1"/>
  <c r="I1260" i="1" s="1"/>
  <c r="H1261" i="1"/>
  <c r="G1261" i="1" s="1"/>
  <c r="J1261" i="1"/>
  <c r="I1261" i="1" s="1"/>
  <c r="H1262" i="1"/>
  <c r="G1262" i="1" s="1"/>
  <c r="I1262" i="1"/>
  <c r="J1262" i="1"/>
  <c r="H1263" i="1"/>
  <c r="G1263" i="1" s="1"/>
  <c r="J1263" i="1"/>
  <c r="I1263" i="1" s="1"/>
  <c r="H1264" i="1"/>
  <c r="G1264" i="1" s="1"/>
  <c r="J1264" i="1"/>
  <c r="I1264" i="1" s="1"/>
  <c r="H1265" i="1"/>
  <c r="G1265" i="1" s="1"/>
  <c r="J1265" i="1"/>
  <c r="I1265" i="1" s="1"/>
  <c r="H1266" i="1"/>
  <c r="G1266" i="1" s="1"/>
  <c r="J1266" i="1"/>
  <c r="I1266" i="1" s="1"/>
  <c r="H1267" i="1"/>
  <c r="G1267" i="1" s="1"/>
  <c r="J1267" i="1"/>
  <c r="I1267" i="1" s="1"/>
  <c r="H1268" i="1"/>
  <c r="G1268" i="1" s="1"/>
  <c r="I1268" i="1"/>
  <c r="J1268" i="1"/>
  <c r="H1269" i="1"/>
  <c r="G1269" i="1" s="1"/>
  <c r="J1269" i="1"/>
  <c r="I1269" i="1" s="1"/>
  <c r="H1270" i="1"/>
  <c r="G1270" i="1" s="1"/>
  <c r="J1270" i="1"/>
  <c r="I1270" i="1" s="1"/>
  <c r="H1271" i="1"/>
  <c r="G1271" i="1" s="1"/>
  <c r="J1271" i="1"/>
  <c r="I1271" i="1" s="1"/>
  <c r="H1272" i="1"/>
  <c r="G1272" i="1" s="1"/>
  <c r="J1272" i="1"/>
  <c r="I1272" i="1" s="1"/>
  <c r="I1273" i="1"/>
  <c r="H1273" i="1" s="1"/>
  <c r="G1273" i="1" s="1"/>
  <c r="J1273" i="1"/>
  <c r="H1274" i="1"/>
  <c r="G1274" i="1" s="1"/>
  <c r="J1274" i="1"/>
  <c r="I1274" i="1" s="1"/>
  <c r="H1275" i="1"/>
  <c r="G1275" i="1" s="1"/>
  <c r="I1275" i="1"/>
  <c r="J1275" i="1"/>
  <c r="I1276" i="1"/>
  <c r="H1276" i="1" s="1"/>
  <c r="G1276" i="1" s="1"/>
  <c r="J1276" i="1"/>
  <c r="G1277" i="1"/>
  <c r="J1277" i="1"/>
  <c r="I1277" i="1" s="1"/>
  <c r="H1277" i="1" s="1"/>
  <c r="H1278" i="1"/>
  <c r="G1278" i="1" s="1"/>
  <c r="J1278" i="1"/>
  <c r="I1278" i="1" s="1"/>
  <c r="H1279" i="1"/>
  <c r="G1279" i="1" s="1"/>
  <c r="J1279" i="1"/>
  <c r="I1279" i="1" s="1"/>
  <c r="H1280" i="1"/>
  <c r="G1280" i="1" s="1"/>
  <c r="J1280" i="1"/>
  <c r="I1280" i="1" s="1"/>
  <c r="H1281" i="1"/>
  <c r="G1281" i="1" s="1"/>
  <c r="I1281" i="1"/>
  <c r="J1281" i="1"/>
  <c r="H1282" i="1"/>
  <c r="G1282" i="1" s="1"/>
  <c r="J1282" i="1"/>
  <c r="I1282" i="1" s="1"/>
  <c r="G1283" i="1"/>
  <c r="H1283" i="1"/>
  <c r="J1283" i="1"/>
  <c r="I1283" i="1" s="1"/>
  <c r="H1284" i="1"/>
  <c r="G1284" i="1" s="1"/>
  <c r="J1284" i="1"/>
  <c r="I1284" i="1" s="1"/>
  <c r="H1285" i="1"/>
  <c r="G1285" i="1" s="1"/>
  <c r="J1285" i="1"/>
  <c r="I1285" i="1" s="1"/>
  <c r="G1286" i="1"/>
  <c r="I1286" i="1"/>
  <c r="H1286" i="1" s="1"/>
  <c r="J1286" i="1"/>
  <c r="H1287" i="1"/>
  <c r="G1287" i="1" s="1"/>
  <c r="J1287" i="1"/>
  <c r="I1287" i="1" s="1"/>
  <c r="H1288" i="1"/>
  <c r="G1288" i="1" s="1"/>
  <c r="I1288" i="1"/>
  <c r="J1288" i="1"/>
  <c r="J1289" i="1"/>
  <c r="I1289" i="1" s="1"/>
  <c r="H1289" i="1" s="1"/>
  <c r="G1289" i="1" s="1"/>
  <c r="I1290" i="1"/>
  <c r="H1290" i="1" s="1"/>
  <c r="G1290" i="1" s="1"/>
  <c r="J1290" i="1"/>
  <c r="H1291" i="1"/>
  <c r="G1291" i="1" s="1"/>
  <c r="I1291" i="1"/>
  <c r="J1291" i="1"/>
  <c r="I1292" i="1"/>
  <c r="H1292" i="1" s="1"/>
  <c r="G1292" i="1" s="1"/>
  <c r="J1292" i="1"/>
  <c r="H1293" i="1"/>
  <c r="G1293" i="1" s="1"/>
  <c r="J1293" i="1"/>
  <c r="I1293" i="1" s="1"/>
  <c r="H1294" i="1"/>
  <c r="G1294" i="1" s="1"/>
  <c r="I1294" i="1"/>
  <c r="J1294" i="1"/>
  <c r="G1295" i="1"/>
  <c r="H1295" i="1"/>
  <c r="J1295" i="1"/>
  <c r="I1295" i="1" s="1"/>
  <c r="H1296" i="1"/>
  <c r="G1296" i="1" s="1"/>
  <c r="J1296" i="1"/>
  <c r="I1296" i="1" s="1"/>
  <c r="H1297" i="1"/>
  <c r="G1297" i="1" s="1"/>
  <c r="I1297" i="1"/>
  <c r="J1297" i="1"/>
  <c r="I1298" i="1"/>
  <c r="H1298" i="1" s="1"/>
  <c r="G1298" i="1" s="1"/>
  <c r="J1298" i="1"/>
  <c r="H1299" i="1"/>
  <c r="G1299" i="1" s="1"/>
  <c r="J1299" i="1"/>
  <c r="I1299" i="1" s="1"/>
  <c r="H1300" i="1"/>
  <c r="G1300" i="1" s="1"/>
  <c r="I1300" i="1"/>
  <c r="J1300" i="1"/>
  <c r="H1301" i="1"/>
  <c r="G1301" i="1" s="1"/>
  <c r="J1301" i="1"/>
  <c r="I1301" i="1" s="1"/>
  <c r="H1302" i="1"/>
  <c r="G1302" i="1" s="1"/>
  <c r="J1302" i="1"/>
  <c r="I1302" i="1" s="1"/>
  <c r="H1303" i="1"/>
  <c r="G1303" i="1" s="1"/>
  <c r="J1303" i="1"/>
  <c r="I1303" i="1" s="1"/>
  <c r="H1304" i="1"/>
  <c r="G1304" i="1" s="1"/>
  <c r="J1304" i="1"/>
  <c r="I1304" i="1" s="1"/>
  <c r="H1305" i="1"/>
  <c r="G1305" i="1" s="1"/>
  <c r="I1305" i="1"/>
  <c r="J1305" i="1"/>
  <c r="H1306" i="1"/>
  <c r="G1306" i="1" s="1"/>
  <c r="J1306" i="1"/>
  <c r="I1306" i="1" s="1"/>
  <c r="H1307" i="1"/>
  <c r="G1307" i="1" s="1"/>
  <c r="I1307" i="1"/>
  <c r="J1307" i="1"/>
  <c r="H1308" i="1"/>
  <c r="G1308" i="1" s="1"/>
  <c r="J1308" i="1"/>
  <c r="I1308" i="1" s="1"/>
  <c r="H1309" i="1"/>
  <c r="G1309" i="1" s="1"/>
  <c r="J1309" i="1"/>
  <c r="I1309" i="1" s="1"/>
  <c r="H1310" i="1"/>
  <c r="G1310" i="1" s="1"/>
  <c r="I1310" i="1"/>
  <c r="J1310" i="1"/>
  <c r="H1311" i="1"/>
  <c r="G1311" i="1" s="1"/>
  <c r="J1311" i="1"/>
  <c r="I1311" i="1" s="1"/>
  <c r="H1312" i="1"/>
  <c r="G1312" i="1" s="1"/>
  <c r="I1312" i="1"/>
  <c r="J1312" i="1"/>
  <c r="H1313" i="1"/>
  <c r="G1313" i="1" s="1"/>
  <c r="I1313" i="1"/>
  <c r="J1313" i="1"/>
  <c r="H1314" i="1"/>
  <c r="G1314" i="1" s="1"/>
  <c r="J1314" i="1"/>
  <c r="I1314" i="1" s="1"/>
  <c r="I1315" i="1"/>
  <c r="H1315" i="1" s="1"/>
  <c r="G1315" i="1" s="1"/>
  <c r="J1315" i="1"/>
  <c r="I1316" i="1"/>
  <c r="H1316" i="1" s="1"/>
  <c r="G1316" i="1" s="1"/>
  <c r="J1316" i="1"/>
  <c r="I1317" i="1"/>
  <c r="H1317" i="1" s="1"/>
  <c r="G1317" i="1" s="1"/>
  <c r="J1317" i="1"/>
  <c r="H1318" i="1"/>
  <c r="G1318" i="1" s="1"/>
  <c r="J1318" i="1"/>
  <c r="I1318" i="1" s="1"/>
  <c r="H1319" i="1"/>
  <c r="G1319" i="1" s="1"/>
  <c r="I1319" i="1"/>
  <c r="J1319" i="1"/>
  <c r="H1320" i="1"/>
  <c r="G1320" i="1" s="1"/>
  <c r="J1320" i="1"/>
  <c r="I1320" i="1" s="1"/>
  <c r="I1321" i="1"/>
  <c r="H1321" i="1" s="1"/>
  <c r="G1321" i="1" s="1"/>
  <c r="J1321" i="1"/>
  <c r="I1322" i="1"/>
  <c r="H1322" i="1" s="1"/>
  <c r="G1322" i="1" s="1"/>
  <c r="J1322" i="1"/>
  <c r="H1323" i="1"/>
  <c r="G1323" i="1" s="1"/>
  <c r="J1323" i="1"/>
  <c r="I1323" i="1" s="1"/>
  <c r="H1324" i="1"/>
  <c r="G1324" i="1" s="1"/>
  <c r="J1324" i="1"/>
  <c r="I1324" i="1" s="1"/>
  <c r="H1325" i="1"/>
  <c r="G1325" i="1" s="1"/>
  <c r="I1325" i="1"/>
  <c r="J1325" i="1"/>
  <c r="H1326" i="1"/>
  <c r="G1326" i="1" s="1"/>
  <c r="J1326" i="1"/>
  <c r="I1326" i="1" s="1"/>
  <c r="H1327" i="1"/>
  <c r="G1327" i="1" s="1"/>
  <c r="J1327" i="1"/>
  <c r="I1327" i="1" s="1"/>
  <c r="H1328" i="1"/>
  <c r="G1328" i="1" s="1"/>
  <c r="J1328" i="1"/>
  <c r="I1328" i="1" s="1"/>
  <c r="I1329" i="1"/>
  <c r="H1329" i="1" s="1"/>
  <c r="G1329" i="1" s="1"/>
  <c r="J1329" i="1"/>
  <c r="H1330" i="1"/>
  <c r="G1330" i="1" s="1"/>
  <c r="I1330" i="1"/>
  <c r="J1330" i="1"/>
  <c r="H1331" i="1"/>
  <c r="G1331" i="1" s="1"/>
  <c r="J1331" i="1"/>
  <c r="I1331" i="1" s="1"/>
  <c r="H1332" i="1"/>
  <c r="G1332" i="1" s="1"/>
  <c r="I1332" i="1"/>
  <c r="J1332" i="1"/>
  <c r="G1333" i="1"/>
  <c r="H1333" i="1"/>
  <c r="J1333" i="1"/>
  <c r="I1333" i="1" s="1"/>
  <c r="H1334" i="1"/>
  <c r="G1334" i="1" s="1"/>
  <c r="J1334" i="1"/>
  <c r="I1334" i="1" s="1"/>
  <c r="I1335" i="1"/>
  <c r="H1335" i="1" s="1"/>
  <c r="G1335" i="1" s="1"/>
  <c r="J1335" i="1"/>
  <c r="H1336" i="1"/>
  <c r="G1336" i="1" s="1"/>
  <c r="J1336" i="1"/>
  <c r="I1336" i="1" s="1"/>
  <c r="I1337" i="1"/>
  <c r="H1337" i="1" s="1"/>
  <c r="G1337" i="1" s="1"/>
  <c r="J1337" i="1"/>
  <c r="H1338" i="1"/>
  <c r="G1338" i="1" s="1"/>
  <c r="I1338" i="1"/>
  <c r="J1338" i="1"/>
  <c r="H1339" i="1"/>
  <c r="G1339" i="1" s="1"/>
  <c r="J1339" i="1"/>
  <c r="I1339" i="1" s="1"/>
  <c r="I1340" i="1"/>
  <c r="H1340" i="1" s="1"/>
  <c r="G1340" i="1" s="1"/>
  <c r="J1340" i="1"/>
  <c r="H1341" i="1"/>
  <c r="G1341" i="1" s="1"/>
  <c r="I1341" i="1"/>
  <c r="J1341" i="1"/>
  <c r="H1342" i="1"/>
  <c r="G1342" i="1" s="1"/>
  <c r="J1342" i="1"/>
  <c r="I1342" i="1" s="1"/>
  <c r="I1343" i="1"/>
  <c r="H1343" i="1" s="1"/>
  <c r="G1343" i="1" s="1"/>
  <c r="J1343" i="1"/>
  <c r="H1344" i="1"/>
  <c r="G1344" i="1" s="1"/>
  <c r="I1344" i="1"/>
  <c r="J1344" i="1"/>
  <c r="H1345" i="1"/>
  <c r="G1345" i="1" s="1"/>
  <c r="J1345" i="1"/>
  <c r="I1345" i="1" s="1"/>
  <c r="H1346" i="1"/>
  <c r="G1346" i="1" s="1"/>
  <c r="I1346" i="1"/>
  <c r="J1346" i="1"/>
  <c r="H1347" i="1"/>
  <c r="G1347" i="1" s="1"/>
  <c r="J1347" i="1"/>
  <c r="I1347" i="1" s="1"/>
  <c r="H1348" i="1"/>
  <c r="G1348" i="1" s="1"/>
  <c r="J1348" i="1"/>
  <c r="I1348" i="1" s="1"/>
  <c r="G1349" i="1"/>
  <c r="H1349" i="1"/>
  <c r="I1349" i="1"/>
  <c r="J1349" i="1"/>
  <c r="I1350" i="1"/>
  <c r="H1350" i="1" s="1"/>
  <c r="G1350" i="1" s="1"/>
  <c r="J1350" i="1"/>
  <c r="H1351" i="1"/>
  <c r="G1351" i="1" s="1"/>
  <c r="I1351" i="1"/>
  <c r="J1351" i="1"/>
  <c r="H1352" i="1"/>
  <c r="G1352" i="1" s="1"/>
  <c r="I1352" i="1"/>
  <c r="J1352" i="1"/>
  <c r="H1353" i="1"/>
  <c r="G1353" i="1" s="1"/>
  <c r="J1353" i="1"/>
  <c r="I1353" i="1" s="1"/>
  <c r="H1354" i="1"/>
  <c r="G1354" i="1" s="1"/>
  <c r="I1354" i="1"/>
  <c r="J1354" i="1"/>
  <c r="H1355" i="1"/>
  <c r="G1355" i="1" s="1"/>
  <c r="J1355" i="1"/>
  <c r="I1355" i="1" s="1"/>
  <c r="H1356" i="1"/>
  <c r="G1356" i="1" s="1"/>
  <c r="J1356" i="1"/>
  <c r="I1356" i="1" s="1"/>
  <c r="H1357" i="1"/>
  <c r="G1357" i="1" s="1"/>
  <c r="J1357" i="1"/>
  <c r="I1357" i="1" s="1"/>
  <c r="H1358" i="1"/>
  <c r="G1358" i="1" s="1"/>
  <c r="J1358" i="1"/>
  <c r="I1358" i="1" s="1"/>
  <c r="I1359" i="1"/>
  <c r="H1359" i="1" s="1"/>
  <c r="G1359" i="1" s="1"/>
  <c r="J1359" i="1"/>
  <c r="I1360" i="1"/>
  <c r="H1360" i="1" s="1"/>
  <c r="G1360" i="1" s="1"/>
  <c r="J1360" i="1"/>
  <c r="H1361" i="1"/>
  <c r="G1361" i="1" s="1"/>
  <c r="I1361" i="1"/>
  <c r="J1361" i="1"/>
  <c r="H1362" i="1"/>
  <c r="G1362" i="1" s="1"/>
  <c r="J1362" i="1"/>
  <c r="I1362" i="1" s="1"/>
  <c r="H1363" i="1"/>
  <c r="G1363" i="1" s="1"/>
  <c r="J1363" i="1"/>
  <c r="I1363" i="1" s="1"/>
  <c r="H1364" i="1"/>
  <c r="G1364" i="1" s="1"/>
  <c r="J1364" i="1"/>
  <c r="I1364" i="1" s="1"/>
  <c r="H1365" i="1"/>
  <c r="G1365" i="1" s="1"/>
  <c r="I1365" i="1"/>
  <c r="J1365" i="1"/>
  <c r="H1366" i="1"/>
  <c r="G1366" i="1" s="1"/>
  <c r="J1366" i="1"/>
  <c r="I1366" i="1" s="1"/>
  <c r="H1367" i="1"/>
  <c r="G1367" i="1" s="1"/>
  <c r="J1367" i="1"/>
  <c r="I1367" i="1" s="1"/>
  <c r="H1368" i="1"/>
  <c r="G1368" i="1" s="1"/>
  <c r="I1368" i="1"/>
  <c r="J1368" i="1"/>
  <c r="H1369" i="1"/>
  <c r="G1369" i="1" s="1"/>
  <c r="J1369" i="1"/>
  <c r="I1369" i="1" s="1"/>
  <c r="H1370" i="1"/>
  <c r="G1370" i="1" s="1"/>
  <c r="J1370" i="1"/>
  <c r="I1370" i="1" s="1"/>
  <c r="I1371" i="1"/>
  <c r="H1371" i="1" s="1"/>
  <c r="G1371" i="1" s="1"/>
  <c r="J1371" i="1"/>
  <c r="H1372" i="1"/>
  <c r="G1372" i="1" s="1"/>
  <c r="J1372" i="1"/>
  <c r="I1372" i="1" s="1"/>
  <c r="I1373" i="1"/>
  <c r="H1373" i="1" s="1"/>
  <c r="G1373" i="1" s="1"/>
  <c r="J1373" i="1"/>
  <c r="H1374" i="1"/>
  <c r="G1374" i="1" s="1"/>
  <c r="J1374" i="1"/>
  <c r="I1374" i="1" s="1"/>
  <c r="H1375" i="1"/>
  <c r="G1375" i="1" s="1"/>
  <c r="J1375" i="1"/>
  <c r="I1375" i="1" s="1"/>
  <c r="H1376" i="1"/>
  <c r="G1376" i="1" s="1"/>
  <c r="I1376" i="1"/>
  <c r="J1376" i="1"/>
  <c r="H1377" i="1"/>
  <c r="G1377" i="1" s="1"/>
  <c r="I1377" i="1"/>
  <c r="J1377" i="1"/>
  <c r="H1378" i="1"/>
  <c r="G1378" i="1" s="1"/>
  <c r="J1378" i="1"/>
  <c r="I1378" i="1" s="1"/>
  <c r="H1379" i="1"/>
  <c r="G1379" i="1" s="1"/>
  <c r="I1379" i="1"/>
  <c r="J1379" i="1"/>
  <c r="H1380" i="1"/>
  <c r="G1380" i="1" s="1"/>
  <c r="J1380" i="1"/>
  <c r="I1380" i="1" s="1"/>
  <c r="H1381" i="1"/>
  <c r="G1381" i="1" s="1"/>
  <c r="J1381" i="1"/>
  <c r="I1381" i="1" s="1"/>
  <c r="H1382" i="1"/>
  <c r="G1382" i="1" s="1"/>
  <c r="J1382" i="1"/>
  <c r="I1382" i="1" s="1"/>
  <c r="H1383" i="1"/>
  <c r="G1383" i="1" s="1"/>
  <c r="I1383" i="1"/>
  <c r="J1383" i="1"/>
  <c r="J1384" i="1"/>
  <c r="I1384" i="1" s="1"/>
  <c r="H1384" i="1" s="1"/>
  <c r="G1384" i="1" s="1"/>
  <c r="H1385" i="1"/>
  <c r="G1385" i="1" s="1"/>
  <c r="J1385" i="1"/>
  <c r="I1385" i="1" s="1"/>
  <c r="H1386" i="1"/>
  <c r="G1386" i="1" s="1"/>
  <c r="I1386" i="1"/>
  <c r="J1386" i="1"/>
  <c r="I1387" i="1"/>
  <c r="H1387" i="1" s="1"/>
  <c r="G1387" i="1" s="1"/>
  <c r="J1387" i="1"/>
  <c r="I1388" i="1"/>
  <c r="H1388" i="1" s="1"/>
  <c r="G1388" i="1" s="1"/>
  <c r="J1388" i="1"/>
  <c r="H1389" i="1"/>
  <c r="G1389" i="1" s="1"/>
  <c r="J1389" i="1"/>
  <c r="I1389" i="1" s="1"/>
  <c r="J1390" i="1"/>
  <c r="I1390" i="1" s="1"/>
  <c r="H1390" i="1" s="1"/>
  <c r="G1390" i="1" s="1"/>
  <c r="H1391" i="1"/>
  <c r="G1391" i="1" s="1"/>
  <c r="J1391" i="1"/>
  <c r="I1391" i="1" s="1"/>
  <c r="I1392" i="1"/>
  <c r="H1392" i="1" s="1"/>
  <c r="G1392" i="1" s="1"/>
  <c r="J1392" i="1"/>
  <c r="H1393" i="1"/>
  <c r="G1393" i="1" s="1"/>
  <c r="J1393" i="1"/>
  <c r="I1393" i="1" s="1"/>
  <c r="I1394" i="1"/>
  <c r="H1394" i="1" s="1"/>
  <c r="G1394" i="1" s="1"/>
  <c r="J1394" i="1"/>
  <c r="I1395" i="1"/>
  <c r="H1395" i="1" s="1"/>
  <c r="G1395" i="1" s="1"/>
  <c r="J1395" i="1"/>
  <c r="I1396" i="1"/>
  <c r="H1396" i="1" s="1"/>
  <c r="G1396" i="1" s="1"/>
  <c r="J1396" i="1"/>
  <c r="I1397" i="1"/>
  <c r="H1397" i="1" s="1"/>
  <c r="G1397" i="1" s="1"/>
  <c r="J1397" i="1"/>
  <c r="J1398" i="1"/>
  <c r="I1398" i="1" s="1"/>
  <c r="H1398" i="1" s="1"/>
  <c r="G1398" i="1" s="1"/>
  <c r="I1399" i="1"/>
  <c r="H1399" i="1" s="1"/>
  <c r="G1399" i="1" s="1"/>
  <c r="J1399" i="1"/>
  <c r="I1400" i="1"/>
  <c r="H1400" i="1" s="1"/>
  <c r="G1400" i="1" s="1"/>
  <c r="J1400" i="1"/>
  <c r="I1401" i="1"/>
  <c r="H1401" i="1" s="1"/>
  <c r="G1401" i="1" s="1"/>
  <c r="J1401" i="1"/>
  <c r="I1402" i="1"/>
  <c r="H1402" i="1" s="1"/>
  <c r="G1402" i="1" s="1"/>
  <c r="J1402" i="1"/>
  <c r="I1403" i="1"/>
  <c r="H1403" i="1" s="1"/>
  <c r="G1403" i="1" s="1"/>
  <c r="J1403" i="1"/>
  <c r="I1404" i="1"/>
  <c r="H1404" i="1" s="1"/>
  <c r="G1404" i="1" s="1"/>
  <c r="J1404" i="1"/>
  <c r="I1405" i="1"/>
  <c r="H1405" i="1" s="1"/>
  <c r="G1405" i="1" s="1"/>
  <c r="J1405" i="1"/>
  <c r="I1406" i="1"/>
  <c r="H1406" i="1" s="1"/>
  <c r="G1406" i="1" s="1"/>
  <c r="J1406" i="1"/>
  <c r="I1407" i="1"/>
  <c r="H1407" i="1" s="1"/>
  <c r="G1407" i="1" s="1"/>
  <c r="J1407" i="1"/>
  <c r="I1408" i="1"/>
  <c r="H1408" i="1" s="1"/>
  <c r="G1408" i="1" s="1"/>
  <c r="J1408" i="1"/>
  <c r="I1409" i="1"/>
  <c r="H1409" i="1" s="1"/>
  <c r="G1409" i="1" s="1"/>
  <c r="J1409" i="1"/>
  <c r="I1410" i="1"/>
  <c r="H1410" i="1" s="1"/>
  <c r="G1410" i="1" s="1"/>
  <c r="J1410" i="1"/>
  <c r="I1411" i="1"/>
  <c r="H1411" i="1" s="1"/>
  <c r="G1411" i="1" s="1"/>
  <c r="J1411" i="1"/>
  <c r="I1412" i="1"/>
  <c r="H1412" i="1" s="1"/>
  <c r="G1412" i="1" s="1"/>
  <c r="J1412" i="1"/>
  <c r="I1413" i="1"/>
  <c r="H1413" i="1" s="1"/>
  <c r="G1413" i="1" s="1"/>
  <c r="J1413" i="1"/>
  <c r="I1414" i="1"/>
  <c r="H1414" i="1" s="1"/>
  <c r="G1414" i="1" s="1"/>
  <c r="J1414" i="1"/>
  <c r="H1415" i="1"/>
  <c r="G1415" i="1" s="1"/>
  <c r="I1415" i="1"/>
  <c r="J1415" i="1"/>
  <c r="I1416" i="1"/>
  <c r="H1416" i="1" s="1"/>
  <c r="G1416" i="1" s="1"/>
  <c r="J1416" i="1"/>
  <c r="I1417" i="1"/>
  <c r="H1417" i="1" s="1"/>
  <c r="G1417" i="1" s="1"/>
  <c r="J1417" i="1"/>
  <c r="I1418" i="1"/>
  <c r="H1418" i="1" s="1"/>
  <c r="G1418" i="1" s="1"/>
  <c r="J1418" i="1"/>
  <c r="I1419" i="1"/>
  <c r="H1419" i="1" s="1"/>
  <c r="G1419" i="1" s="1"/>
  <c r="J1419" i="1"/>
  <c r="I1420" i="1"/>
  <c r="H1420" i="1" s="1"/>
  <c r="G1420" i="1" s="1"/>
  <c r="J1420" i="1"/>
  <c r="I1421" i="1"/>
  <c r="H1421" i="1" s="1"/>
  <c r="G1421" i="1" s="1"/>
  <c r="J1421" i="1"/>
  <c r="H1422" i="1"/>
  <c r="G1422" i="1" s="1"/>
  <c r="I1422" i="1"/>
  <c r="J1422" i="1"/>
  <c r="J1423" i="1"/>
  <c r="I1423" i="1" s="1"/>
  <c r="H1423" i="1" s="1"/>
  <c r="G1423" i="1" s="1"/>
  <c r="H1424" i="1"/>
  <c r="G1424" i="1" s="1"/>
  <c r="I1424" i="1"/>
  <c r="J1424" i="1"/>
  <c r="H1425" i="1"/>
  <c r="G1425" i="1" s="1"/>
  <c r="I1425" i="1"/>
  <c r="J1425" i="1"/>
  <c r="I1426" i="1"/>
  <c r="H1426" i="1" s="1"/>
  <c r="G1426" i="1" s="1"/>
  <c r="J1426" i="1"/>
  <c r="I1427" i="1"/>
  <c r="H1427" i="1" s="1"/>
  <c r="G1427" i="1" s="1"/>
  <c r="J1427" i="1"/>
  <c r="I1428" i="1"/>
  <c r="H1428" i="1" s="1"/>
  <c r="G1428" i="1" s="1"/>
  <c r="J1428" i="1"/>
  <c r="J1429" i="1"/>
  <c r="I1429" i="1" s="1"/>
  <c r="H1429" i="1" s="1"/>
  <c r="G1429" i="1" s="1"/>
  <c r="I1430" i="1"/>
  <c r="H1430" i="1" s="1"/>
  <c r="G1430" i="1" s="1"/>
  <c r="J1430" i="1"/>
  <c r="I1431" i="1"/>
  <c r="H1431" i="1" s="1"/>
  <c r="G1431" i="1" s="1"/>
  <c r="J1431" i="1"/>
  <c r="H1432" i="1"/>
  <c r="G1432" i="1" s="1"/>
  <c r="I1432" i="1"/>
  <c r="J1432" i="1"/>
  <c r="I1433" i="1"/>
  <c r="H1433" i="1" s="1"/>
  <c r="G1433" i="1" s="1"/>
  <c r="J1433" i="1"/>
  <c r="I1434" i="1"/>
  <c r="H1434" i="1" s="1"/>
  <c r="G1434" i="1" s="1"/>
  <c r="J1434" i="1"/>
  <c r="I1435" i="1"/>
  <c r="H1435" i="1" s="1"/>
  <c r="G1435" i="1" s="1"/>
  <c r="J1435" i="1"/>
  <c r="I1436" i="1"/>
  <c r="H1436" i="1" s="1"/>
  <c r="G1436" i="1" s="1"/>
  <c r="J1436" i="1"/>
  <c r="I1437" i="1"/>
  <c r="H1437" i="1" s="1"/>
  <c r="G1437" i="1" s="1"/>
  <c r="J1437" i="1"/>
  <c r="I1438" i="1"/>
  <c r="H1438" i="1" s="1"/>
  <c r="G1438" i="1" s="1"/>
  <c r="J1438" i="1"/>
  <c r="I1439" i="1"/>
  <c r="H1439" i="1" s="1"/>
  <c r="G1439" i="1" s="1"/>
  <c r="J1439" i="1"/>
  <c r="H1440" i="1"/>
  <c r="G1440" i="1" s="1"/>
  <c r="I1440" i="1"/>
  <c r="J1440" i="1"/>
  <c r="I1441" i="1"/>
  <c r="H1441" i="1" s="1"/>
  <c r="G1441" i="1" s="1"/>
  <c r="J1441" i="1"/>
  <c r="I1442" i="1"/>
  <c r="H1442" i="1" s="1"/>
  <c r="G1442" i="1" s="1"/>
  <c r="J1442" i="1"/>
  <c r="I1443" i="1"/>
  <c r="H1443" i="1" s="1"/>
  <c r="G1443" i="1" s="1"/>
  <c r="J1443" i="1"/>
  <c r="H1444" i="1"/>
  <c r="G1444" i="1" s="1"/>
  <c r="I1444" i="1"/>
  <c r="J1444" i="1"/>
  <c r="I1445" i="1"/>
  <c r="H1445" i="1" s="1"/>
  <c r="G1445" i="1" s="1"/>
  <c r="J1445" i="1"/>
  <c r="I1446" i="1"/>
  <c r="H1446" i="1" s="1"/>
  <c r="G1446" i="1" s="1"/>
  <c r="J1446" i="1"/>
  <c r="I1447" i="1"/>
  <c r="H1447" i="1" s="1"/>
  <c r="G1447" i="1" s="1"/>
  <c r="J1447" i="1"/>
  <c r="H1448" i="1"/>
  <c r="G1448" i="1" s="1"/>
  <c r="I1448" i="1"/>
  <c r="J1448" i="1"/>
  <c r="I1449" i="1"/>
  <c r="H1449" i="1" s="1"/>
  <c r="G1449" i="1" s="1"/>
  <c r="J1449" i="1"/>
  <c r="I1450" i="1"/>
  <c r="H1450" i="1" s="1"/>
  <c r="G1450" i="1" s="1"/>
  <c r="J1450" i="1"/>
  <c r="I1451" i="1"/>
  <c r="H1451" i="1" s="1"/>
  <c r="G1451" i="1" s="1"/>
  <c r="J1451" i="1"/>
  <c r="I1452" i="1"/>
  <c r="H1452" i="1" s="1"/>
  <c r="G1452" i="1" s="1"/>
  <c r="J1452" i="1"/>
  <c r="I1453" i="1"/>
  <c r="H1453" i="1" s="1"/>
  <c r="G1453" i="1" s="1"/>
  <c r="J1453" i="1"/>
  <c r="I1454" i="1"/>
  <c r="H1454" i="1" s="1"/>
  <c r="G1454" i="1" s="1"/>
  <c r="J1454" i="1"/>
  <c r="I1455" i="1"/>
  <c r="H1455" i="1" s="1"/>
  <c r="G1455" i="1" s="1"/>
  <c r="J1455" i="1"/>
  <c r="I1456" i="1"/>
  <c r="H1456" i="1" s="1"/>
  <c r="G1456" i="1" s="1"/>
  <c r="J1456" i="1"/>
  <c r="I1457" i="1"/>
  <c r="H1457" i="1" s="1"/>
  <c r="G1457" i="1" s="1"/>
  <c r="J1457" i="1"/>
  <c r="I1458" i="1"/>
  <c r="H1458" i="1" s="1"/>
  <c r="G1458" i="1" s="1"/>
  <c r="J1458" i="1"/>
  <c r="I1459" i="1"/>
  <c r="H1459" i="1" s="1"/>
  <c r="G1459" i="1" s="1"/>
  <c r="J1459" i="1"/>
  <c r="H1460" i="1"/>
  <c r="G1460" i="1" s="1"/>
  <c r="I1460" i="1"/>
  <c r="J1460" i="1"/>
  <c r="I1461" i="1"/>
  <c r="H1461" i="1" s="1"/>
  <c r="G1461" i="1" s="1"/>
  <c r="J1461" i="1"/>
  <c r="I1462" i="1"/>
  <c r="H1462" i="1" s="1"/>
  <c r="G1462" i="1" s="1"/>
  <c r="J1462" i="1"/>
  <c r="H1463" i="1"/>
  <c r="G1463" i="1" s="1"/>
  <c r="J1463" i="1"/>
  <c r="I1463" i="1" s="1"/>
  <c r="I1464" i="1"/>
  <c r="H1464" i="1" s="1"/>
  <c r="G1464" i="1" s="1"/>
  <c r="J1464" i="1"/>
  <c r="I1465" i="1"/>
  <c r="H1465" i="1" s="1"/>
  <c r="G1465" i="1" s="1"/>
  <c r="J1465" i="1"/>
  <c r="H1466" i="1"/>
  <c r="G1466" i="1" s="1"/>
  <c r="I1466" i="1"/>
  <c r="J1466" i="1"/>
  <c r="I1467" i="1"/>
  <c r="H1467" i="1" s="1"/>
  <c r="G1467" i="1" s="1"/>
  <c r="J1467" i="1"/>
  <c r="I1468" i="1"/>
  <c r="H1468" i="1" s="1"/>
  <c r="G1468" i="1" s="1"/>
  <c r="J1468" i="1"/>
  <c r="I1469" i="1"/>
  <c r="H1469" i="1" s="1"/>
  <c r="G1469" i="1" s="1"/>
  <c r="J1469" i="1"/>
  <c r="H1470" i="1"/>
  <c r="G1470" i="1" s="1"/>
  <c r="I1470" i="1"/>
  <c r="J1470" i="1"/>
  <c r="I1471" i="1"/>
  <c r="H1471" i="1" s="1"/>
  <c r="G1471" i="1" s="1"/>
  <c r="J1471" i="1"/>
  <c r="H1472" i="1"/>
  <c r="G1472" i="1" s="1"/>
  <c r="I1472" i="1"/>
  <c r="J1472" i="1"/>
  <c r="I1473" i="1"/>
  <c r="H1473" i="1" s="1"/>
  <c r="G1473" i="1" s="1"/>
  <c r="J1473" i="1"/>
  <c r="I1474" i="1"/>
  <c r="H1474" i="1" s="1"/>
  <c r="G1474" i="1" s="1"/>
  <c r="J1474" i="1"/>
  <c r="I1475" i="1"/>
  <c r="H1475" i="1" s="1"/>
  <c r="G1475" i="1" s="1"/>
  <c r="J1475" i="1"/>
  <c r="I1476" i="1"/>
  <c r="H1476" i="1" s="1"/>
  <c r="G1476" i="1" s="1"/>
  <c r="J1476" i="1"/>
  <c r="I1477" i="1"/>
  <c r="H1477" i="1" s="1"/>
  <c r="G1477" i="1" s="1"/>
  <c r="J1477" i="1"/>
  <c r="I1478" i="1"/>
  <c r="H1478" i="1" s="1"/>
  <c r="G1478" i="1" s="1"/>
  <c r="J1478" i="1"/>
  <c r="I1479" i="1"/>
  <c r="H1479" i="1" s="1"/>
  <c r="G1479" i="1" s="1"/>
  <c r="J1479" i="1"/>
  <c r="I1480" i="1"/>
  <c r="H1480" i="1" s="1"/>
  <c r="G1480" i="1" s="1"/>
  <c r="J1480" i="1"/>
  <c r="I1481" i="1"/>
  <c r="H1481" i="1" s="1"/>
  <c r="G1481" i="1" s="1"/>
  <c r="J1481" i="1"/>
  <c r="H1482" i="1"/>
  <c r="G1482" i="1" s="1"/>
  <c r="I1482" i="1"/>
  <c r="J1482" i="1"/>
  <c r="I1483" i="1"/>
  <c r="H1483" i="1" s="1"/>
  <c r="G1483" i="1" s="1"/>
  <c r="J1483" i="1"/>
  <c r="J1484" i="1"/>
  <c r="I1484" i="1" s="1"/>
  <c r="H1484" i="1" s="1"/>
  <c r="G1484" i="1" s="1"/>
  <c r="I1485" i="1"/>
  <c r="H1485" i="1" s="1"/>
  <c r="G1485" i="1" s="1"/>
  <c r="J1485" i="1"/>
  <c r="H1486" i="1"/>
  <c r="G1486" i="1" s="1"/>
  <c r="I1486" i="1"/>
  <c r="J1486" i="1"/>
  <c r="I1487" i="1"/>
  <c r="H1487" i="1" s="1"/>
  <c r="G1487" i="1" s="1"/>
  <c r="J1487" i="1"/>
  <c r="J1488" i="1"/>
  <c r="I1488" i="1" s="1"/>
  <c r="H1488" i="1" s="1"/>
  <c r="G1488" i="1" s="1"/>
  <c r="I1489" i="1"/>
  <c r="H1489" i="1" s="1"/>
  <c r="G1489" i="1" s="1"/>
  <c r="J1489" i="1"/>
  <c r="H1490" i="1"/>
  <c r="G1490" i="1" s="1"/>
  <c r="I1490" i="1"/>
  <c r="J1490" i="1"/>
  <c r="I1491" i="1"/>
  <c r="H1491" i="1" s="1"/>
  <c r="G1491" i="1" s="1"/>
  <c r="J1491" i="1"/>
  <c r="I1492" i="1"/>
  <c r="H1492" i="1" s="1"/>
  <c r="G1492" i="1" s="1"/>
  <c r="J1492" i="1"/>
  <c r="I1493" i="1"/>
  <c r="H1493" i="1" s="1"/>
  <c r="G1493" i="1" s="1"/>
  <c r="J1493" i="1"/>
  <c r="J1494" i="1"/>
  <c r="I1494" i="1" s="1"/>
  <c r="H1494" i="1" s="1"/>
  <c r="G1494" i="1" s="1"/>
  <c r="J1495" i="1"/>
  <c r="I1495" i="1" s="1"/>
  <c r="H1495" i="1" s="1"/>
  <c r="G1495" i="1" s="1"/>
  <c r="J1496" i="1"/>
  <c r="I1496" i="1" s="1"/>
  <c r="H1496" i="1" s="1"/>
  <c r="G1496" i="1" s="1"/>
  <c r="I1497" i="1"/>
  <c r="H1497" i="1" s="1"/>
  <c r="G1497" i="1" s="1"/>
  <c r="J1497" i="1"/>
  <c r="J1498" i="1"/>
  <c r="I1498" i="1" s="1"/>
  <c r="H1498" i="1" s="1"/>
  <c r="G1498" i="1" s="1"/>
  <c r="I1499" i="1"/>
  <c r="H1499" i="1" s="1"/>
  <c r="G1499" i="1" s="1"/>
  <c r="J1499" i="1"/>
  <c r="J1500" i="1"/>
  <c r="I1500" i="1" s="1"/>
  <c r="H1500" i="1" s="1"/>
  <c r="G1500" i="1" s="1"/>
  <c r="I1501" i="1"/>
  <c r="H1501" i="1" s="1"/>
  <c r="G1501" i="1" s="1"/>
  <c r="J1501" i="1"/>
  <c r="H1502" i="1"/>
  <c r="G1502" i="1" s="1"/>
  <c r="I1502" i="1"/>
  <c r="J1502" i="1"/>
  <c r="J1503" i="1"/>
  <c r="I1503" i="1" s="1"/>
  <c r="H1503" i="1" s="1"/>
  <c r="G1503" i="1" s="1"/>
  <c r="I1504" i="1"/>
  <c r="H1504" i="1" s="1"/>
  <c r="G1504" i="1" s="1"/>
  <c r="J1504" i="1"/>
  <c r="I1505" i="1"/>
  <c r="H1505" i="1" s="1"/>
  <c r="G1505" i="1" s="1"/>
  <c r="J1505" i="1"/>
  <c r="J1506" i="1"/>
  <c r="I1506" i="1" s="1"/>
  <c r="H1506" i="1" s="1"/>
  <c r="G1506" i="1" s="1"/>
  <c r="I1507" i="1"/>
  <c r="H1507" i="1" s="1"/>
  <c r="G1507" i="1" s="1"/>
  <c r="J1507" i="1"/>
  <c r="I1508" i="1"/>
  <c r="H1508" i="1" s="1"/>
  <c r="G1508" i="1" s="1"/>
  <c r="J1508" i="1"/>
  <c r="I1509" i="1"/>
  <c r="H1509" i="1" s="1"/>
  <c r="G1509" i="1" s="1"/>
  <c r="J1509" i="1"/>
  <c r="H1510" i="1"/>
  <c r="G1510" i="1" s="1"/>
  <c r="I1510" i="1"/>
  <c r="J1510" i="1"/>
  <c r="I1511" i="1"/>
  <c r="H1511" i="1" s="1"/>
  <c r="G1511" i="1" s="1"/>
  <c r="J1511" i="1"/>
  <c r="I1512" i="1"/>
  <c r="H1512" i="1" s="1"/>
  <c r="G1512" i="1" s="1"/>
  <c r="J1512" i="1"/>
  <c r="I1513" i="1"/>
  <c r="H1513" i="1" s="1"/>
  <c r="G1513" i="1" s="1"/>
  <c r="J1513" i="1"/>
  <c r="H1514" i="1"/>
  <c r="G1514" i="1" s="1"/>
  <c r="I1514" i="1"/>
  <c r="J1514" i="1"/>
  <c r="I1515" i="1"/>
  <c r="H1515" i="1" s="1"/>
  <c r="G1515" i="1" s="1"/>
  <c r="J1515" i="1"/>
  <c r="I1516" i="1"/>
  <c r="H1516" i="1" s="1"/>
  <c r="G1516" i="1" s="1"/>
  <c r="J1516" i="1"/>
  <c r="I1517" i="1"/>
  <c r="H1517" i="1" s="1"/>
  <c r="G1517" i="1" s="1"/>
  <c r="J1517" i="1"/>
  <c r="I1518" i="1"/>
  <c r="H1518" i="1" s="1"/>
  <c r="G1518" i="1" s="1"/>
  <c r="J1518" i="1"/>
  <c r="I1519" i="1"/>
  <c r="H1519" i="1" s="1"/>
  <c r="G1519" i="1" s="1"/>
  <c r="J1519" i="1"/>
  <c r="I1520" i="1"/>
  <c r="H1520" i="1" s="1"/>
  <c r="G1520" i="1" s="1"/>
  <c r="J1520" i="1"/>
  <c r="I1521" i="1"/>
  <c r="H1521" i="1" s="1"/>
  <c r="G1521" i="1" s="1"/>
  <c r="J1521" i="1"/>
  <c r="J1522" i="1"/>
  <c r="I1522" i="1" s="1"/>
  <c r="H1522" i="1" s="1"/>
  <c r="G1522" i="1" s="1"/>
  <c r="I1523" i="1"/>
  <c r="H1523" i="1" s="1"/>
  <c r="G1523" i="1" s="1"/>
  <c r="J1523" i="1"/>
  <c r="I1524" i="1"/>
  <c r="H1524" i="1" s="1"/>
  <c r="G1524" i="1" s="1"/>
  <c r="J1524" i="1"/>
  <c r="I1525" i="1"/>
  <c r="H1525" i="1" s="1"/>
  <c r="G1525" i="1" s="1"/>
  <c r="J1525" i="1"/>
  <c r="I1526" i="1"/>
  <c r="H1526" i="1" s="1"/>
  <c r="G1526" i="1" s="1"/>
  <c r="J1526" i="1"/>
  <c r="I1527" i="1"/>
  <c r="H1527" i="1" s="1"/>
  <c r="G1527" i="1" s="1"/>
  <c r="J1527" i="1"/>
  <c r="J1528" i="1"/>
  <c r="I1528" i="1" s="1"/>
  <c r="H1528" i="1" s="1"/>
  <c r="G1528" i="1" s="1"/>
  <c r="I1529" i="1"/>
  <c r="H1529" i="1" s="1"/>
  <c r="G1529" i="1" s="1"/>
  <c r="J1529" i="1"/>
  <c r="I1530" i="1"/>
  <c r="H1530" i="1" s="1"/>
  <c r="G1530" i="1" s="1"/>
  <c r="J1530" i="1"/>
  <c r="I1531" i="1"/>
  <c r="H1531" i="1" s="1"/>
  <c r="G1531" i="1" s="1"/>
  <c r="J1531" i="1"/>
  <c r="I1532" i="1"/>
  <c r="H1532" i="1" s="1"/>
  <c r="G1532" i="1" s="1"/>
  <c r="J1532" i="1"/>
  <c r="I1533" i="1"/>
  <c r="H1533" i="1" s="1"/>
  <c r="G1533" i="1" s="1"/>
  <c r="J1533" i="1"/>
  <c r="H1534" i="1"/>
  <c r="G1534" i="1" s="1"/>
  <c r="I1534" i="1"/>
  <c r="J1534" i="1"/>
  <c r="I1535" i="1"/>
  <c r="H1535" i="1" s="1"/>
  <c r="G1535" i="1" s="1"/>
  <c r="J1535" i="1"/>
  <c r="I1536" i="1"/>
  <c r="H1536" i="1" s="1"/>
  <c r="G1536" i="1" s="1"/>
  <c r="J1536" i="1"/>
  <c r="I1537" i="1"/>
  <c r="H1537" i="1" s="1"/>
  <c r="G1537" i="1" s="1"/>
  <c r="J1537" i="1"/>
  <c r="H1538" i="1"/>
  <c r="G1538" i="1" s="1"/>
  <c r="I1538" i="1"/>
  <c r="J1538" i="1"/>
  <c r="I1539" i="1"/>
  <c r="H1539" i="1" s="1"/>
  <c r="G1539" i="1" s="1"/>
  <c r="J1539" i="1"/>
  <c r="J1540" i="1"/>
  <c r="I1540" i="1" s="1"/>
  <c r="H1540" i="1" s="1"/>
  <c r="G1540" i="1" s="1"/>
  <c r="I1541" i="1"/>
  <c r="H1541" i="1" s="1"/>
  <c r="G1541" i="1" s="1"/>
  <c r="J1541" i="1"/>
  <c r="H1542" i="1"/>
  <c r="G1542" i="1" s="1"/>
  <c r="I1542" i="1"/>
  <c r="J1542" i="1"/>
  <c r="I1543" i="1"/>
  <c r="H1543" i="1" s="1"/>
  <c r="G1543" i="1" s="1"/>
  <c r="J1543" i="1"/>
  <c r="H1544" i="1"/>
  <c r="G1544" i="1" s="1"/>
  <c r="I1544" i="1"/>
  <c r="J1544" i="1"/>
  <c r="I1545" i="1"/>
  <c r="H1545" i="1" s="1"/>
  <c r="G1545" i="1" s="1"/>
  <c r="J1545" i="1"/>
  <c r="I1546" i="1"/>
  <c r="H1546" i="1" s="1"/>
  <c r="G1546" i="1" s="1"/>
  <c r="J1546" i="1"/>
  <c r="I1547" i="1"/>
  <c r="H1547" i="1" s="1"/>
  <c r="G1547" i="1" s="1"/>
  <c r="J1547" i="1"/>
  <c r="J1548" i="1"/>
  <c r="I1548" i="1" s="1"/>
  <c r="H1548" i="1" s="1"/>
  <c r="G1548" i="1" s="1"/>
  <c r="I1549" i="1"/>
  <c r="H1549" i="1" s="1"/>
  <c r="G1549" i="1" s="1"/>
  <c r="J1549" i="1"/>
  <c r="I1550" i="1"/>
  <c r="H1550" i="1" s="1"/>
  <c r="G1550" i="1" s="1"/>
  <c r="J1550" i="1"/>
  <c r="I1551" i="1"/>
  <c r="H1551" i="1" s="1"/>
  <c r="G1551" i="1" s="1"/>
  <c r="J1551" i="1"/>
  <c r="I1552" i="1"/>
  <c r="H1552" i="1" s="1"/>
  <c r="G1552" i="1" s="1"/>
  <c r="J1552" i="1"/>
  <c r="J1553" i="1"/>
  <c r="I1553" i="1" s="1"/>
  <c r="H1553" i="1" s="1"/>
  <c r="G1553" i="1" s="1"/>
  <c r="J1554" i="1"/>
  <c r="I1554" i="1" s="1"/>
  <c r="H1554" i="1" s="1"/>
  <c r="G1554" i="1" s="1"/>
  <c r="J1555" i="1"/>
  <c r="I1555" i="1" s="1"/>
  <c r="H1555" i="1" s="1"/>
  <c r="G1555" i="1" s="1"/>
  <c r="I1556" i="1"/>
  <c r="H1556" i="1" s="1"/>
  <c r="G1556" i="1" s="1"/>
  <c r="J1556" i="1"/>
  <c r="J1557" i="1"/>
  <c r="I1557" i="1" s="1"/>
  <c r="H1557" i="1" s="1"/>
  <c r="G1557" i="1" s="1"/>
  <c r="J1558" i="1"/>
  <c r="I1558" i="1" s="1"/>
  <c r="H1558" i="1" s="1"/>
  <c r="G1558" i="1" s="1"/>
  <c r="I1559" i="1"/>
  <c r="H1559" i="1" s="1"/>
  <c r="G1559" i="1" s="1"/>
  <c r="J1559" i="1"/>
  <c r="J1560" i="1"/>
  <c r="I1560" i="1" s="1"/>
  <c r="H1560" i="1" s="1"/>
  <c r="G1560" i="1" s="1"/>
  <c r="I1561" i="1"/>
  <c r="H1561" i="1" s="1"/>
  <c r="G1561" i="1" s="1"/>
  <c r="J1561" i="1"/>
  <c r="I1562" i="1"/>
  <c r="H1562" i="1" s="1"/>
  <c r="G1562" i="1" s="1"/>
  <c r="J1562" i="1"/>
  <c r="I1563" i="1"/>
  <c r="H1563" i="1" s="1"/>
  <c r="G1563" i="1" s="1"/>
  <c r="J1563" i="1"/>
  <c r="I1564" i="1"/>
  <c r="H1564" i="1" s="1"/>
  <c r="G1564" i="1" s="1"/>
  <c r="J1564" i="1"/>
  <c r="J1565" i="1"/>
  <c r="I1565" i="1" s="1"/>
  <c r="H1565" i="1" s="1"/>
  <c r="G1565" i="1" s="1"/>
  <c r="H1566" i="1"/>
  <c r="G1566" i="1" s="1"/>
  <c r="I1566" i="1"/>
  <c r="J1566" i="1"/>
  <c r="I1567" i="1"/>
  <c r="H1567" i="1" s="1"/>
  <c r="G1567" i="1" s="1"/>
  <c r="J1567" i="1"/>
  <c r="I1568" i="1"/>
  <c r="H1568" i="1" s="1"/>
  <c r="G1568" i="1" s="1"/>
  <c r="J1568" i="1"/>
  <c r="I1569" i="1"/>
  <c r="H1569" i="1" s="1"/>
  <c r="G1569" i="1" s="1"/>
  <c r="J1569" i="1"/>
  <c r="H1570" i="1"/>
  <c r="G1570" i="1" s="1"/>
  <c r="I1570" i="1"/>
  <c r="J1570" i="1"/>
  <c r="I1571" i="1"/>
  <c r="H1571" i="1" s="1"/>
  <c r="G1571" i="1" s="1"/>
  <c r="J1571" i="1"/>
  <c r="I1572" i="1"/>
  <c r="H1572" i="1" s="1"/>
  <c r="G1572" i="1" s="1"/>
  <c r="J1572" i="1"/>
  <c r="I1573" i="1"/>
  <c r="H1573" i="1" s="1"/>
  <c r="G1573" i="1" s="1"/>
  <c r="J1573" i="1"/>
  <c r="J1574" i="1"/>
  <c r="I1574" i="1" s="1"/>
  <c r="H1574" i="1" s="1"/>
  <c r="G1574" i="1" s="1"/>
  <c r="J1575" i="1"/>
  <c r="I1575" i="1" s="1"/>
  <c r="H1575" i="1" s="1"/>
  <c r="G1575" i="1" s="1"/>
  <c r="I1576" i="1"/>
  <c r="H1576" i="1" s="1"/>
  <c r="G1576" i="1" s="1"/>
  <c r="J1576" i="1"/>
  <c r="I1577" i="1"/>
  <c r="H1577" i="1" s="1"/>
  <c r="G1577" i="1" s="1"/>
  <c r="J1577" i="1"/>
  <c r="H1578" i="1"/>
  <c r="G1578" i="1" s="1"/>
  <c r="I1578" i="1"/>
  <c r="J1578" i="1"/>
  <c r="J1579" i="1"/>
  <c r="I1579" i="1" s="1"/>
  <c r="H1579" i="1" s="1"/>
  <c r="G1579" i="1" s="1"/>
  <c r="I1580" i="1"/>
  <c r="H1580" i="1" s="1"/>
  <c r="G1580" i="1" s="1"/>
  <c r="J1580" i="1"/>
  <c r="I1581" i="1"/>
  <c r="H1581" i="1" s="1"/>
  <c r="G1581" i="1" s="1"/>
  <c r="J1581" i="1"/>
  <c r="J1582" i="1"/>
  <c r="I1582" i="1" s="1"/>
  <c r="H1582" i="1" s="1"/>
  <c r="G1582" i="1" s="1"/>
  <c r="I1583" i="1"/>
  <c r="H1583" i="1" s="1"/>
  <c r="G1583" i="1" s="1"/>
  <c r="J1583" i="1"/>
  <c r="J1584" i="1"/>
  <c r="I1584" i="1" s="1"/>
  <c r="H1584" i="1" s="1"/>
  <c r="G1584" i="1" s="1"/>
  <c r="I1585" i="1"/>
  <c r="H1585" i="1" s="1"/>
  <c r="G1585" i="1" s="1"/>
  <c r="J1585" i="1"/>
  <c r="J1586" i="1"/>
  <c r="I1586" i="1" s="1"/>
  <c r="H1586" i="1" s="1"/>
  <c r="G1586" i="1" s="1"/>
  <c r="J1587" i="1"/>
  <c r="I1587" i="1" s="1"/>
  <c r="H1587" i="1" s="1"/>
  <c r="G1587" i="1" s="1"/>
  <c r="J1588" i="1"/>
  <c r="I1588" i="1" s="1"/>
  <c r="H1588" i="1" s="1"/>
  <c r="G1588" i="1" s="1"/>
  <c r="I1589" i="1"/>
  <c r="H1589" i="1" s="1"/>
  <c r="G1589" i="1" s="1"/>
  <c r="J1589" i="1"/>
  <c r="H1590" i="1"/>
  <c r="G1590" i="1" s="1"/>
  <c r="I1590" i="1"/>
  <c r="J1590" i="1"/>
  <c r="J1591" i="1"/>
  <c r="I1591" i="1" s="1"/>
  <c r="H1591" i="1" s="1"/>
  <c r="G1591" i="1" s="1"/>
  <c r="J3" i="1"/>
  <c r="I3" i="1"/>
  <c r="H3" i="1"/>
  <c r="G3" i="1" s="1"/>
</calcChain>
</file>

<file path=xl/sharedStrings.xml><?xml version="1.0" encoding="utf-8"?>
<sst xmlns="http://schemas.openxmlformats.org/spreadsheetml/2006/main" count="7952" uniqueCount="4799">
  <si>
    <t>Processo</t>
  </si>
  <si>
    <t>Nome</t>
  </si>
  <si>
    <t>Sexo</t>
  </si>
  <si>
    <t>Data nascimento</t>
  </si>
  <si>
    <t>Doc. ident.</t>
  </si>
  <si>
    <t>Turma</t>
  </si>
  <si>
    <t>48136</t>
  </si>
  <si>
    <t>Alessandro Valentino Vasco Cano Orna</t>
  </si>
  <si>
    <t>M</t>
  </si>
  <si>
    <t>120437269</t>
  </si>
  <si>
    <t>48099</t>
  </si>
  <si>
    <t>Augusto da Silva Garcia</t>
  </si>
  <si>
    <t>GD442393</t>
  </si>
  <si>
    <t>48767</t>
  </si>
  <si>
    <t>Bastian Gael Reyes Rivero</t>
  </si>
  <si>
    <t>AAI469713</t>
  </si>
  <si>
    <t>47610</t>
  </si>
  <si>
    <t>Davi Souza Garcia</t>
  </si>
  <si>
    <t>YF295832</t>
  </si>
  <si>
    <t>44816</t>
  </si>
  <si>
    <t>Diana Filipa Vieira Cabete</t>
  </si>
  <si>
    <t>F</t>
  </si>
  <si>
    <t>314049851ZX2</t>
  </si>
  <si>
    <t>48896</t>
  </si>
  <si>
    <t>Enzo Wanderlei Monteiro Joaquim</t>
  </si>
  <si>
    <t>315114380ZY7</t>
  </si>
  <si>
    <t>46226</t>
  </si>
  <si>
    <t>Ester de Souza Silva</t>
  </si>
  <si>
    <t>324261551ZY6</t>
  </si>
  <si>
    <t>46666</t>
  </si>
  <si>
    <t>Giovani Gonçalves Pinto</t>
  </si>
  <si>
    <t>315025514ZY9</t>
  </si>
  <si>
    <t>46649</t>
  </si>
  <si>
    <t>Leonardo Neves de Sá</t>
  </si>
  <si>
    <t>315032618ZX1</t>
  </si>
  <si>
    <t>47628</t>
  </si>
  <si>
    <t>Lucas Passos Santos</t>
  </si>
  <si>
    <t>GD606864</t>
  </si>
  <si>
    <t>48315</t>
  </si>
  <si>
    <t>Maria Helloysa Soares da Costa</t>
  </si>
  <si>
    <t>GF565554</t>
  </si>
  <si>
    <t>46794</t>
  </si>
  <si>
    <t>Micael Rodrigo Dias Lima</t>
  </si>
  <si>
    <t>314675183ZY9</t>
  </si>
  <si>
    <t>48190</t>
  </si>
  <si>
    <t>Michelle Alexia Pérez Alarcon</t>
  </si>
  <si>
    <t>169092346</t>
  </si>
  <si>
    <t>46652</t>
  </si>
  <si>
    <t>Santiago Cardoso da Silva</t>
  </si>
  <si>
    <t>313771391ZY3</t>
  </si>
  <si>
    <t>47496</t>
  </si>
  <si>
    <t>Sophie Leandra Fernandes Matos de Oliveira</t>
  </si>
  <si>
    <t>GC446256</t>
  </si>
  <si>
    <t>47611</t>
  </si>
  <si>
    <t>Thayná Carla Pereira Dantas</t>
  </si>
  <si>
    <t>GD117614</t>
  </si>
  <si>
    <t>49272</t>
  </si>
  <si>
    <t>Rafael Alan Prado dos Santos</t>
  </si>
  <si>
    <t>52Q80807Q</t>
  </si>
  <si>
    <t>49426</t>
  </si>
  <si>
    <t>Gabryelle Silva Morais</t>
  </si>
  <si>
    <t>GJ741476</t>
  </si>
  <si>
    <t>49433</t>
  </si>
  <si>
    <t>Hossana Liria Manuel Martins</t>
  </si>
  <si>
    <t>N2970648</t>
  </si>
  <si>
    <t>49456</t>
  </si>
  <si>
    <t>Santiago Filipe da Cunha Martins</t>
  </si>
  <si>
    <t>312200536ZY6</t>
  </si>
  <si>
    <t>46638</t>
  </si>
  <si>
    <t>Adrien Miguel da Costa de Sousa Barbosa</t>
  </si>
  <si>
    <t>316155837ZX6</t>
  </si>
  <si>
    <t>46479</t>
  </si>
  <si>
    <t>Beatriz Matos Alves</t>
  </si>
  <si>
    <t>314374787ZX3</t>
  </si>
  <si>
    <t>48234</t>
  </si>
  <si>
    <t>Bruno da Silva e Silva</t>
  </si>
  <si>
    <t>GD642122</t>
  </si>
  <si>
    <t>46508</t>
  </si>
  <si>
    <t>Carolina Araújo Félix</t>
  </si>
  <si>
    <t>313904642ZY9</t>
  </si>
  <si>
    <t>44583</t>
  </si>
  <si>
    <t>Carolina Sofia Queiroz Viana</t>
  </si>
  <si>
    <t>314487263ZY7</t>
  </si>
  <si>
    <t>48216</t>
  </si>
  <si>
    <t>Cássia Cordeiro de Figueiredo e Faro</t>
  </si>
  <si>
    <t>331787253ZZ7</t>
  </si>
  <si>
    <t>45071</t>
  </si>
  <si>
    <t>Constança da Silva Souto</t>
  </si>
  <si>
    <t>314793984ZY7</t>
  </si>
  <si>
    <t>46509</t>
  </si>
  <si>
    <t>Dinis Afonso Pires Lopes</t>
  </si>
  <si>
    <t>314819061ZX6</t>
  </si>
  <si>
    <t>43962</t>
  </si>
  <si>
    <t>Gonçalo Miguel Sousa Castro</t>
  </si>
  <si>
    <t>313166234ZX0</t>
  </si>
  <si>
    <t>46489</t>
  </si>
  <si>
    <t>Lourenço Rodrigues Pinto</t>
  </si>
  <si>
    <t>315016604ZY9</t>
  </si>
  <si>
    <t>48065</t>
  </si>
  <si>
    <t>Lucas Ferreira Marinho</t>
  </si>
  <si>
    <t>GD629755</t>
  </si>
  <si>
    <t>48720</t>
  </si>
  <si>
    <t>Luisa Pereira Ribeiro</t>
  </si>
  <si>
    <t>315247401ZY1</t>
  </si>
  <si>
    <t>46491</t>
  </si>
  <si>
    <t>Naara do Vale Souza</t>
  </si>
  <si>
    <t>56P900L45</t>
  </si>
  <si>
    <t>43133</t>
  </si>
  <si>
    <t>Gustavo de Campos Vaz</t>
  </si>
  <si>
    <t>159209382ZX3</t>
  </si>
  <si>
    <t>48750</t>
  </si>
  <si>
    <t>Alecio João Andres Anis Lefrançois</t>
  </si>
  <si>
    <t>307738078ZY0</t>
  </si>
  <si>
    <t>41457</t>
  </si>
  <si>
    <t>Afonso Gaspar Gonçalves</t>
  </si>
  <si>
    <t>155209965ZX3</t>
  </si>
  <si>
    <t>48542</t>
  </si>
  <si>
    <t>Rita Rosa Ribeiro</t>
  </si>
  <si>
    <t>158509919ZX1</t>
  </si>
  <si>
    <t>45524</t>
  </si>
  <si>
    <t>Tomás Fernandes Furtado</t>
  </si>
  <si>
    <t>158202430ZX9</t>
  </si>
  <si>
    <t>43253</t>
  </si>
  <si>
    <t>Rodrigo Nunes Santos</t>
  </si>
  <si>
    <t>300410239zw2</t>
  </si>
  <si>
    <t>48969</t>
  </si>
  <si>
    <t>Nelson Pinto Ferreira</t>
  </si>
  <si>
    <t>157287637ZX9</t>
  </si>
  <si>
    <t>49283</t>
  </si>
  <si>
    <t>Nayken Geraldine Reyes Rivero</t>
  </si>
  <si>
    <t>AAI544714</t>
  </si>
  <si>
    <t>49282</t>
  </si>
  <si>
    <t>Nahara Jaqueline Reyes Rivero</t>
  </si>
  <si>
    <t>AA1544463</t>
  </si>
  <si>
    <t>45842</t>
  </si>
  <si>
    <t>Matias Nunes Lopes da Costa</t>
  </si>
  <si>
    <t>300870663ZX4</t>
  </si>
  <si>
    <t>45843</t>
  </si>
  <si>
    <t>Martim Gonçalves Viegas</t>
  </si>
  <si>
    <t>302331913ZX2</t>
  </si>
  <si>
    <t>48976</t>
  </si>
  <si>
    <t>Luana Martins Gomes</t>
  </si>
  <si>
    <t>159913829ZY8</t>
  </si>
  <si>
    <t>49085</t>
  </si>
  <si>
    <t>Luana Amaral Correia</t>
  </si>
  <si>
    <t>158914325zx0</t>
  </si>
  <si>
    <t>49000</t>
  </si>
  <si>
    <t>Leonardo Lima Sobreiro</t>
  </si>
  <si>
    <t>159080304ZX1</t>
  </si>
  <si>
    <t>48551</t>
  </si>
  <si>
    <t>Telma Maciel Dias</t>
  </si>
  <si>
    <t>307084604ZX5</t>
  </si>
  <si>
    <t>45841</t>
  </si>
  <si>
    <t>Rita Antunes Baganha</t>
  </si>
  <si>
    <t>301592489ZX9</t>
  </si>
  <si>
    <t>49084</t>
  </si>
  <si>
    <t>Rafaela Lourenço Lima</t>
  </si>
  <si>
    <t>301672806ZW9</t>
  </si>
  <si>
    <t>49083</t>
  </si>
  <si>
    <t>Matilde Tavares Pereira Ventura</t>
  </si>
  <si>
    <t>300673710ZW4</t>
  </si>
  <si>
    <t>48870</t>
  </si>
  <si>
    <t>Mário Luiz Espindola Esperante Limp</t>
  </si>
  <si>
    <t>329862480ZY0</t>
  </si>
  <si>
    <t>41892</t>
  </si>
  <si>
    <t>Mariana Ribeiro Azevedo</t>
  </si>
  <si>
    <t>301467315ZX8</t>
  </si>
  <si>
    <t>48459</t>
  </si>
  <si>
    <t>Maria Isabelle de Melo Mendonça Fernandes</t>
  </si>
  <si>
    <t>GC870459</t>
  </si>
  <si>
    <t>48865</t>
  </si>
  <si>
    <t>Lauanny Júlia da Silva Alves</t>
  </si>
  <si>
    <t>GG884378</t>
  </si>
  <si>
    <t>49073</t>
  </si>
  <si>
    <t>Inês Sá Novo</t>
  </si>
  <si>
    <t>302011684ZX6</t>
  </si>
  <si>
    <t>43164</t>
  </si>
  <si>
    <t>Bruna Silva Amaral</t>
  </si>
  <si>
    <t>302188401ZX2</t>
  </si>
  <si>
    <t>41885</t>
  </si>
  <si>
    <t>Beatriz Mota Cambão</t>
  </si>
  <si>
    <t>300426542ZX9</t>
  </si>
  <si>
    <t>48805</t>
  </si>
  <si>
    <t>Emilly Maria Santos da Silva</t>
  </si>
  <si>
    <t>GH377939</t>
  </si>
  <si>
    <t>49135</t>
  </si>
  <si>
    <t>Mateus Dantas Oliveira</t>
  </si>
  <si>
    <t>156315386ZX1</t>
  </si>
  <si>
    <t>43224</t>
  </si>
  <si>
    <t>Rodrigo Durães Barros</t>
  </si>
  <si>
    <t>302247742ZX8</t>
  </si>
  <si>
    <t>49119</t>
  </si>
  <si>
    <t>Victor Joaquim da Cunha Sousa</t>
  </si>
  <si>
    <t>157788679ZX5</t>
  </si>
  <si>
    <t>49130</t>
  </si>
  <si>
    <t>Tomás Baptista Gonçalves</t>
  </si>
  <si>
    <t>159417333ZX4</t>
  </si>
  <si>
    <t>49128</t>
  </si>
  <si>
    <t>Rodrigo Martins Leitão</t>
  </si>
  <si>
    <t>302001964ZY2</t>
  </si>
  <si>
    <t>49113</t>
  </si>
  <si>
    <t>Rafael Capitão</t>
  </si>
  <si>
    <t>302060405ZW8</t>
  </si>
  <si>
    <t>49127</t>
  </si>
  <si>
    <t>Nuno Martins Lima</t>
  </si>
  <si>
    <t>158943384ZW4</t>
  </si>
  <si>
    <t>41798</t>
  </si>
  <si>
    <t>Miguel Duarte Alves Arriscado Queirós</t>
  </si>
  <si>
    <t>157718247ZW8</t>
  </si>
  <si>
    <t>49112</t>
  </si>
  <si>
    <t>Leandro Fernandes Condês</t>
  </si>
  <si>
    <t>159175607zx3</t>
  </si>
  <si>
    <t>49123</t>
  </si>
  <si>
    <t>João Lourenço Armas Lima</t>
  </si>
  <si>
    <t>158390849ZY0</t>
  </si>
  <si>
    <t>49122</t>
  </si>
  <si>
    <t>Eric Sousa Andrade</t>
  </si>
  <si>
    <t>313938709ZX8</t>
  </si>
  <si>
    <t>49121</t>
  </si>
  <si>
    <t>Duarte Oliveira Martins</t>
  </si>
  <si>
    <t>156977915ZX6</t>
  </si>
  <si>
    <t>49115</t>
  </si>
  <si>
    <t>Ander Gomes da Silva Barros</t>
  </si>
  <si>
    <t>303529156ZW0</t>
  </si>
  <si>
    <t>49120</t>
  </si>
  <si>
    <t>Afonso Rodrigues Pereira</t>
  </si>
  <si>
    <t>302376364ZX4</t>
  </si>
  <si>
    <t>49052</t>
  </si>
  <si>
    <t>Ana Clara Barreto de Campos Abreu</t>
  </si>
  <si>
    <t>331038528ZZ9</t>
  </si>
  <si>
    <t>48868</t>
  </si>
  <si>
    <t>Luiz Otavio Pereira Sousa</t>
  </si>
  <si>
    <t>GI172516</t>
  </si>
  <si>
    <t>49411</t>
  </si>
  <si>
    <t>Manuela Squartecchia</t>
  </si>
  <si>
    <t>CA88693QM</t>
  </si>
  <si>
    <t>49066</t>
  </si>
  <si>
    <t>Paola Valentina Montilla Maradey</t>
  </si>
  <si>
    <t>YB7239952</t>
  </si>
  <si>
    <t>45839</t>
  </si>
  <si>
    <t>Mariana Rego</t>
  </si>
  <si>
    <t>301490180ZY5</t>
  </si>
  <si>
    <t>46429</t>
  </si>
  <si>
    <t>Mariana Honda Maeda</t>
  </si>
  <si>
    <t>078Q328R7</t>
  </si>
  <si>
    <t>49285</t>
  </si>
  <si>
    <t>Lucas Eduardo da Silva</t>
  </si>
  <si>
    <t>GJ662354</t>
  </si>
  <si>
    <t>49061</t>
  </si>
  <si>
    <t>Luana Gonçalves Campos</t>
  </si>
  <si>
    <t>156834847ZX4</t>
  </si>
  <si>
    <t>49060</t>
  </si>
  <si>
    <t>Luna Alexandra Tavares Godinho</t>
  </si>
  <si>
    <t>306558793ZX5</t>
  </si>
  <si>
    <t>49058</t>
  </si>
  <si>
    <t>Lorena Soares de Alvarenga</t>
  </si>
  <si>
    <t>P323176L4</t>
  </si>
  <si>
    <t>49057</t>
  </si>
  <si>
    <t>Lara Correia Pereira</t>
  </si>
  <si>
    <t>157329500ZX9</t>
  </si>
  <si>
    <t>47624</t>
  </si>
  <si>
    <t>Kevin Amaral Nunes dos Santos</t>
  </si>
  <si>
    <t>8S0G06586</t>
  </si>
  <si>
    <t>46464</t>
  </si>
  <si>
    <t>Jeuel Calebe Muniz de Mattos</t>
  </si>
  <si>
    <t>792R658R4</t>
  </si>
  <si>
    <t>49055</t>
  </si>
  <si>
    <t>Iara Maria de Sousa Conceição</t>
  </si>
  <si>
    <t>156702576ZX8</t>
  </si>
  <si>
    <t>49054</t>
  </si>
  <si>
    <t>Gonçalo Moreno de Araújo</t>
  </si>
  <si>
    <t>159253632ZX6</t>
  </si>
  <si>
    <t>49053</t>
  </si>
  <si>
    <t>Dinis Vicente da Cunha</t>
  </si>
  <si>
    <t>301667675ZX3</t>
  </si>
  <si>
    <t>49249</t>
  </si>
  <si>
    <t>Arturo Alfonso Aravena Vivanco</t>
  </si>
  <si>
    <t>F69695080</t>
  </si>
  <si>
    <t>49029</t>
  </si>
  <si>
    <t>Rafael Sebastião Ribeiro da Cruz</t>
  </si>
  <si>
    <t>158983289ZX4</t>
  </si>
  <si>
    <t>49037</t>
  </si>
  <si>
    <t>Miguel Araújo de Carvalho</t>
  </si>
  <si>
    <t>302268413ZX0</t>
  </si>
  <si>
    <t>49040</t>
  </si>
  <si>
    <t>Mauro Rodrigues Carvalho</t>
  </si>
  <si>
    <t>PC064576</t>
  </si>
  <si>
    <t>49033</t>
  </si>
  <si>
    <t>Matilde Guimarães Cadilha</t>
  </si>
  <si>
    <t>300979410ZX0</t>
  </si>
  <si>
    <t>49031</t>
  </si>
  <si>
    <t>Mateus Freitas Lisboa</t>
  </si>
  <si>
    <t>301054720ZX8</t>
  </si>
  <si>
    <t>43160</t>
  </si>
  <si>
    <t>Mariana Meixedo Branco Malheiro</t>
  </si>
  <si>
    <t>159034744ZX5</t>
  </si>
  <si>
    <t>49042</t>
  </si>
  <si>
    <t>Letícia Salgado Vieira</t>
  </si>
  <si>
    <t>159208963ZX1</t>
  </si>
  <si>
    <t>49280</t>
  </si>
  <si>
    <t>Leticia Araujo Magalhães</t>
  </si>
  <si>
    <t>159322111ZX8</t>
  </si>
  <si>
    <t>49022</t>
  </si>
  <si>
    <t>Gonçalo de Oliveira Alves</t>
  </si>
  <si>
    <t>158897218ZX8</t>
  </si>
  <si>
    <t>42232</t>
  </si>
  <si>
    <t>Francisca Esteves Ferreira</t>
  </si>
  <si>
    <t>311846041ZY9</t>
  </si>
  <si>
    <t>49017</t>
  </si>
  <si>
    <t>Diana Viana Dias</t>
  </si>
  <si>
    <t>301625328ZY8</t>
  </si>
  <si>
    <t>49038</t>
  </si>
  <si>
    <t>Diana Moreira Ribeiro</t>
  </si>
  <si>
    <t>156897229ZX9</t>
  </si>
  <si>
    <t>49016</t>
  </si>
  <si>
    <t>Daniela Soraia Fernandes Menezes</t>
  </si>
  <si>
    <t>159728940ZY8</t>
  </si>
  <si>
    <t>49013</t>
  </si>
  <si>
    <t>Daniela Sá Couto</t>
  </si>
  <si>
    <t>300310625ZX1</t>
  </si>
  <si>
    <t>48987</t>
  </si>
  <si>
    <t>Sofia Baeva</t>
  </si>
  <si>
    <t>22D04029703</t>
  </si>
  <si>
    <t>49011</t>
  </si>
  <si>
    <t>Clara Fernandes Queirós</t>
  </si>
  <si>
    <t>301423130ZX4</t>
  </si>
  <si>
    <t>49010</t>
  </si>
  <si>
    <t>Bruno Daniel Martins Pombo</t>
  </si>
  <si>
    <t>159584736ZX5</t>
  </si>
  <si>
    <t>49008</t>
  </si>
  <si>
    <t>Bruna Lima Oliveira</t>
  </si>
  <si>
    <t>157520820ZX8</t>
  </si>
  <si>
    <t>48841</t>
  </si>
  <si>
    <t>Anaísa Soares Alves</t>
  </si>
  <si>
    <t>158319354ZX1</t>
  </si>
  <si>
    <t>49006</t>
  </si>
  <si>
    <t>Ana Rafaela da Costa Meira</t>
  </si>
  <si>
    <t>159664837ZX4</t>
  </si>
  <si>
    <t>48999</t>
  </si>
  <si>
    <t>Ana Margarida Carvalhosa Meneses</t>
  </si>
  <si>
    <t>159290074ZX6</t>
  </si>
  <si>
    <t>48998</t>
  </si>
  <si>
    <t>Ana Francisca Hermógenes Valente</t>
  </si>
  <si>
    <t>300911564ZX5</t>
  </si>
  <si>
    <t>43161</t>
  </si>
  <si>
    <t>Patrícia Jiménez Soares Ribeiro</t>
  </si>
  <si>
    <t>301407649ZY1</t>
  </si>
  <si>
    <t>48558</t>
  </si>
  <si>
    <t>Tomás Ribeiro Roque</t>
  </si>
  <si>
    <t>156553260ZX9</t>
  </si>
  <si>
    <t>49138</t>
  </si>
  <si>
    <t>Tomás Costa Lima</t>
  </si>
  <si>
    <t>307720381ZX0</t>
  </si>
  <si>
    <t>48836</t>
  </si>
  <si>
    <t>Tiago Neiva da Fonseca</t>
  </si>
  <si>
    <t>157252590ZY9</t>
  </si>
  <si>
    <t>48552</t>
  </si>
  <si>
    <t>Tiago Felgueiras da Silva</t>
  </si>
  <si>
    <t>158215397ZX5</t>
  </si>
  <si>
    <t>48546</t>
  </si>
  <si>
    <t>Simone da Costa Pereira</t>
  </si>
  <si>
    <t>156071886zx4</t>
  </si>
  <si>
    <t>46441</t>
  </si>
  <si>
    <t>Simão Peixoto Vaz</t>
  </si>
  <si>
    <t>158173953zx5</t>
  </si>
  <si>
    <t>49133</t>
  </si>
  <si>
    <t>Samuel Duarte da Costa Araújo</t>
  </si>
  <si>
    <t>156172909ZX2</t>
  </si>
  <si>
    <t>49136</t>
  </si>
  <si>
    <t>Robim Barros Crujeira</t>
  </si>
  <si>
    <t>302987754ZW9</t>
  </si>
  <si>
    <t>41841</t>
  </si>
  <si>
    <t>Rafael Condês Soares</t>
  </si>
  <si>
    <t>302043586ZW7</t>
  </si>
  <si>
    <t>49137</t>
  </si>
  <si>
    <t>Pedro Miguel Ribeiro da Lomba Peres</t>
  </si>
  <si>
    <t>300458100ZY5</t>
  </si>
  <si>
    <t>48874</t>
  </si>
  <si>
    <t>Nicolas Henrique Santos de Oliveira</t>
  </si>
  <si>
    <t>39814SG18</t>
  </si>
  <si>
    <t>48232</t>
  </si>
  <si>
    <t>Miguel Fanfa Delpino</t>
  </si>
  <si>
    <t>J0R741642</t>
  </si>
  <si>
    <t>49132</t>
  </si>
  <si>
    <t>Marco Paulo Gomes Martins</t>
  </si>
  <si>
    <t>300875185ZX3</t>
  </si>
  <si>
    <t>46899</t>
  </si>
  <si>
    <t>Manuel Quiadituala Enes do Vale</t>
  </si>
  <si>
    <t>324731230ZZ7</t>
  </si>
  <si>
    <t>49131</t>
  </si>
  <si>
    <t>Lucas Brito Pimenta</t>
  </si>
  <si>
    <t>159358450ZW9</t>
  </si>
  <si>
    <t>46426</t>
  </si>
  <si>
    <t>João Mauro Nogueira Santos Mendonça Ferreira</t>
  </si>
  <si>
    <t>087888JQ7</t>
  </si>
  <si>
    <t>46409</t>
  </si>
  <si>
    <t>Andrii Rozhkov</t>
  </si>
  <si>
    <t>768Q610Q4</t>
  </si>
  <si>
    <t>49141</t>
  </si>
  <si>
    <t>Afonso Neves Monteiro</t>
  </si>
  <si>
    <t>301290490ZW4</t>
  </si>
  <si>
    <t>48887</t>
  </si>
  <si>
    <t>Levi Freitas de Souza</t>
  </si>
  <si>
    <t>GE424297</t>
  </si>
  <si>
    <t>49023</t>
  </si>
  <si>
    <t>Rodrigo Borlido Gonçalves</t>
  </si>
  <si>
    <t>300825641ZX6</t>
  </si>
  <si>
    <t>49114</t>
  </si>
  <si>
    <t>Tiago de Sá Vieira</t>
  </si>
  <si>
    <t>159260701ZX0</t>
  </si>
  <si>
    <t>49111</t>
  </si>
  <si>
    <t>Tomás Orfão Vieira</t>
  </si>
  <si>
    <t>301571511zx5</t>
  </si>
  <si>
    <t>49110</t>
  </si>
  <si>
    <t>Tiago da Silva Barbosa</t>
  </si>
  <si>
    <t>300550510ZX4</t>
  </si>
  <si>
    <t>49109</t>
  </si>
  <si>
    <t>Tiago Belchior Carvalho</t>
  </si>
  <si>
    <t>300897588ZX2</t>
  </si>
  <si>
    <t>49095</t>
  </si>
  <si>
    <t>Rodrigo Filipe Meira Aires</t>
  </si>
  <si>
    <t>155553909ZX3</t>
  </si>
  <si>
    <t>49107</t>
  </si>
  <si>
    <t>Miguel Soto-Maior Silva</t>
  </si>
  <si>
    <t>159854016ZY3</t>
  </si>
  <si>
    <t>49106</t>
  </si>
  <si>
    <t>Matheus de Castro Andrade</t>
  </si>
  <si>
    <t>300580398ZW0</t>
  </si>
  <si>
    <t>41828</t>
  </si>
  <si>
    <t>Martim Sampaio de Barros</t>
  </si>
  <si>
    <t>302248242ZX8</t>
  </si>
  <si>
    <t>49105</t>
  </si>
  <si>
    <t>Lucas Alexandre Rocha Gonçalves</t>
  </si>
  <si>
    <t>159946557ZW0</t>
  </si>
  <si>
    <t>49104</t>
  </si>
  <si>
    <t>João Freitas Costa</t>
  </si>
  <si>
    <t>159454786zx7</t>
  </si>
  <si>
    <t>49103</t>
  </si>
  <si>
    <t>James Vieira Cardoso</t>
  </si>
  <si>
    <t>302233873ZW9</t>
  </si>
  <si>
    <t>49079</t>
  </si>
  <si>
    <t>Gustavo Monteiro Rodrigues Veríssimo</t>
  </si>
  <si>
    <t>301045950ZX3</t>
  </si>
  <si>
    <t>42282</t>
  </si>
  <si>
    <t>Guilherme José Mesquita Fernandes</t>
  </si>
  <si>
    <t>158151038ZX1</t>
  </si>
  <si>
    <t>49078</t>
  </si>
  <si>
    <t>Gabriel Martins Lopes</t>
  </si>
  <si>
    <t>301288054ZX0</t>
  </si>
  <si>
    <t>49098</t>
  </si>
  <si>
    <t>David António Pinto de Oliveira</t>
  </si>
  <si>
    <t>155645579ZX4</t>
  </si>
  <si>
    <t>49101</t>
  </si>
  <si>
    <t>Bruno Rocha Quintela</t>
  </si>
  <si>
    <t>157298485ZW2</t>
  </si>
  <si>
    <t>49099</t>
  </si>
  <si>
    <t>Aliu Sal</t>
  </si>
  <si>
    <t>01F001V31</t>
  </si>
  <si>
    <t>49097</t>
  </si>
  <si>
    <t>Alejo Santino Dulcimasco</t>
  </si>
  <si>
    <t>AAI140178</t>
  </si>
  <si>
    <t>48954</t>
  </si>
  <si>
    <t>Jessica Maria Barreto Correia</t>
  </si>
  <si>
    <t>300654146ZX2</t>
  </si>
  <si>
    <t>41811</t>
  </si>
  <si>
    <t>Wendy de Castro da Graça</t>
  </si>
  <si>
    <t>303727756zy3</t>
  </si>
  <si>
    <t>48981</t>
  </si>
  <si>
    <t>Nicolly Cunha e Silva</t>
  </si>
  <si>
    <t>JJ4992563</t>
  </si>
  <si>
    <t>49271</t>
  </si>
  <si>
    <t>Leonildo Eduardo Gomes Semedo</t>
  </si>
  <si>
    <t>2G2T45761</t>
  </si>
  <si>
    <t>43150</t>
  </si>
  <si>
    <t>Diogo Fernandes Peres</t>
  </si>
  <si>
    <t>159102197ZW5</t>
  </si>
  <si>
    <t>45022</t>
  </si>
  <si>
    <t>Ângela Santos Ramos</t>
  </si>
  <si>
    <t>159170680ZW7</t>
  </si>
  <si>
    <t>48944</t>
  </si>
  <si>
    <t>Valentina Sosa Alanis</t>
  </si>
  <si>
    <t>AAI194480</t>
  </si>
  <si>
    <t>48943</t>
  </si>
  <si>
    <t>Martinha Pinto Fontelo</t>
  </si>
  <si>
    <t>301992649ZW6</t>
  </si>
  <si>
    <t>48928</t>
  </si>
  <si>
    <t>Mariana Vieira Parente Esteves</t>
  </si>
  <si>
    <t>309435854ZX8</t>
  </si>
  <si>
    <t>48942</t>
  </si>
  <si>
    <t>Mariana da Costa Gonçalves</t>
  </si>
  <si>
    <t>302210008ZX7</t>
  </si>
  <si>
    <t>48938</t>
  </si>
  <si>
    <t>Maria João Rolo Cancelo</t>
  </si>
  <si>
    <t>301978212ZX9</t>
  </si>
  <si>
    <t>42263</t>
  </si>
  <si>
    <t>Luciana Gonçalves Menezes Martins</t>
  </si>
  <si>
    <t>158376692ZX4</t>
  </si>
  <si>
    <t>48940</t>
  </si>
  <si>
    <t>Leonor Simões Ucha Gonçalves</t>
  </si>
  <si>
    <t>300399090ZX2</t>
  </si>
  <si>
    <t>48941</t>
  </si>
  <si>
    <t>Lara Maria Lopes Mesquita</t>
  </si>
  <si>
    <t>301629153ZX8</t>
  </si>
  <si>
    <t>48507</t>
  </si>
  <si>
    <t>Iara Oliveira Lima</t>
  </si>
  <si>
    <t>155106350ZX2</t>
  </si>
  <si>
    <t>48910</t>
  </si>
  <si>
    <t>Florencia Anahí Giusti Olivera</t>
  </si>
  <si>
    <t>AAH953627</t>
  </si>
  <si>
    <t>48939</t>
  </si>
  <si>
    <t>Beatriz Pereira Baeta</t>
  </si>
  <si>
    <t>159635110ZX2</t>
  </si>
  <si>
    <t>43127</t>
  </si>
  <si>
    <t>Beatriz Fernandes Viana</t>
  </si>
  <si>
    <t>158846575ZX3</t>
  </si>
  <si>
    <t>48937</t>
  </si>
  <si>
    <t>Beatriz Costa Gavina Novo</t>
  </si>
  <si>
    <t>158035992zx1</t>
  </si>
  <si>
    <t>49125</t>
  </si>
  <si>
    <t>João Paulo Rita Pereira</t>
  </si>
  <si>
    <t>302047387ZX4</t>
  </si>
  <si>
    <t>49298</t>
  </si>
  <si>
    <t>Denil Muriel Ferreira Alves</t>
  </si>
  <si>
    <t>159179688ZX9</t>
  </si>
  <si>
    <t>48988</t>
  </si>
  <si>
    <t>Romeu Miguel Laranjeira Fonseca</t>
  </si>
  <si>
    <t>301699895ZW1</t>
  </si>
  <si>
    <t>42276</t>
  </si>
  <si>
    <t>Rodrigo Machado dos Santos Ximenes Cristino</t>
  </si>
  <si>
    <t>156974436zx6</t>
  </si>
  <si>
    <t>49007</t>
  </si>
  <si>
    <t>Renato Abreu Carneiro</t>
  </si>
  <si>
    <t>159577969zx1</t>
  </si>
  <si>
    <t>49035</t>
  </si>
  <si>
    <t>Rafael Pena Vieira</t>
  </si>
  <si>
    <t>159277795ZW5</t>
  </si>
  <si>
    <t>49019</t>
  </si>
  <si>
    <t>Nuno Micael Lima Borges</t>
  </si>
  <si>
    <t>300520816ZX2</t>
  </si>
  <si>
    <t>49032</t>
  </si>
  <si>
    <t>Miguel Ramos Rodrigues</t>
  </si>
  <si>
    <t>155596870ZX6</t>
  </si>
  <si>
    <t>49039</t>
  </si>
  <si>
    <t>Miguel Ãngelo Pereira Lopes</t>
  </si>
  <si>
    <t>156473828ZX0</t>
  </si>
  <si>
    <t>49043</t>
  </si>
  <si>
    <t>Micael Baião de Oliveira</t>
  </si>
  <si>
    <t>326016210ZZ0</t>
  </si>
  <si>
    <t>49281</t>
  </si>
  <si>
    <t>Martim de Brito Morim</t>
  </si>
  <si>
    <t>159107369ZW5</t>
  </si>
  <si>
    <t>49012</t>
  </si>
  <si>
    <t>Leandro Laranjeira Pedreira Fernandes</t>
  </si>
  <si>
    <t>156799600ZV4</t>
  </si>
  <si>
    <t>48992</t>
  </si>
  <si>
    <t>João Paulo Pereira Lopes</t>
  </si>
  <si>
    <t>156473712ZX6</t>
  </si>
  <si>
    <t>49034</t>
  </si>
  <si>
    <t>Gustavo Quesado Franco</t>
  </si>
  <si>
    <t>301845492ZY6</t>
  </si>
  <si>
    <t>49045</t>
  </si>
  <si>
    <t>Gonçalo Godinho Torgal Santos</t>
  </si>
  <si>
    <t>304285234ZW7</t>
  </si>
  <si>
    <t>41642</t>
  </si>
  <si>
    <t>Gabriel Pinto Peres</t>
  </si>
  <si>
    <t>155459171ZX5</t>
  </si>
  <si>
    <t>49041</t>
  </si>
  <si>
    <t>Francisco Sá Pinto</t>
  </si>
  <si>
    <t>301712476ZX1</t>
  </si>
  <si>
    <t>49044</t>
  </si>
  <si>
    <t>Edgar Martim Santos da Fonte</t>
  </si>
  <si>
    <t>157894878ZV8</t>
  </si>
  <si>
    <t>49086</t>
  </si>
  <si>
    <t>Diogo Menezes Fernandes</t>
  </si>
  <si>
    <t>156483947ZX6</t>
  </si>
  <si>
    <t>49089</t>
  </si>
  <si>
    <t>David Murilho Azevedo</t>
  </si>
  <si>
    <t>302072080ZW5</t>
  </si>
  <si>
    <t>49030</t>
  </si>
  <si>
    <t>Daniel Reis Pinto</t>
  </si>
  <si>
    <t>159684250ZX6</t>
  </si>
  <si>
    <t>49048</t>
  </si>
  <si>
    <t>Daniel Ferreira Nascimento</t>
  </si>
  <si>
    <t>GF936912</t>
  </si>
  <si>
    <t>48990</t>
  </si>
  <si>
    <t>Afonso Castro Alves</t>
  </si>
  <si>
    <t>300968094ZX5</t>
  </si>
  <si>
    <t>42268</t>
  </si>
  <si>
    <t>Carlos Miguel Matos Alves</t>
  </si>
  <si>
    <t>158075072ZV7</t>
  </si>
  <si>
    <t>48642</t>
  </si>
  <si>
    <t>Micael Alexandre Gomes Alves</t>
  </si>
  <si>
    <t>158516621ZW6</t>
  </si>
  <si>
    <t>48956</t>
  </si>
  <si>
    <t>Soraya Monteiro Veiga</t>
  </si>
  <si>
    <t>320523179ZX0</t>
  </si>
  <si>
    <t>48959</t>
  </si>
  <si>
    <t>Samuel Fabian Espiño Silva</t>
  </si>
  <si>
    <t>BD441430</t>
  </si>
  <si>
    <t>48955</t>
  </si>
  <si>
    <t>Rodrigo Pereira Ferreira</t>
  </si>
  <si>
    <t>300516762ZX4</t>
  </si>
  <si>
    <t>48951</t>
  </si>
  <si>
    <t>Maxime Gomes Pereira</t>
  </si>
  <si>
    <t>154187313ZX5</t>
  </si>
  <si>
    <t>48953</t>
  </si>
  <si>
    <t>Joana Sousa Guedes</t>
  </si>
  <si>
    <t>159186552ZX8</t>
  </si>
  <si>
    <t>49284</t>
  </si>
  <si>
    <t>Guilherme Rodrigues Pereira</t>
  </si>
  <si>
    <t>301857440ZW4</t>
  </si>
  <si>
    <t>48952</t>
  </si>
  <si>
    <t>Gabriel Machado Souto</t>
  </si>
  <si>
    <t>159685940zx1</t>
  </si>
  <si>
    <t>48502</t>
  </si>
  <si>
    <t>Fábio Rafael Pimenta Dias</t>
  </si>
  <si>
    <t>158349318ZX0</t>
  </si>
  <si>
    <t>41853</t>
  </si>
  <si>
    <t>Edith Pedreira de Brito Marques Moreira</t>
  </si>
  <si>
    <t>159153433ZX0</t>
  </si>
  <si>
    <t>48492</t>
  </si>
  <si>
    <t>Daniel Meira Gonçalves</t>
  </si>
  <si>
    <t>156379040ZX7</t>
  </si>
  <si>
    <t>49330</t>
  </si>
  <si>
    <t>Emely Kamila Ariza Garcia</t>
  </si>
  <si>
    <t>BD867496</t>
  </si>
  <si>
    <t>41523</t>
  </si>
  <si>
    <t>Vitor Hugo Pereira Gonçalves</t>
  </si>
  <si>
    <t>312666888ZX0</t>
  </si>
  <si>
    <t>49142</t>
  </si>
  <si>
    <t>Tiago Martins Arriscado</t>
  </si>
  <si>
    <t>155788337ZW6</t>
  </si>
  <si>
    <t>49144</t>
  </si>
  <si>
    <t>Rui Oliveira Queirós</t>
  </si>
  <si>
    <t>302044663ZX1</t>
  </si>
  <si>
    <t>49140</t>
  </si>
  <si>
    <t>Pedro Afonso Viana Cardona</t>
  </si>
  <si>
    <t>301871191ZX3</t>
  </si>
  <si>
    <t>49297</t>
  </si>
  <si>
    <t>Lucas Gonçalves Serrão</t>
  </si>
  <si>
    <t>5F66069V8</t>
  </si>
  <si>
    <t>46798</t>
  </si>
  <si>
    <t>José Tiago Pereira Faria</t>
  </si>
  <si>
    <t>159674190ZX6</t>
  </si>
  <si>
    <t>49147</t>
  </si>
  <si>
    <t>Igor Ricardo Rêgo Gonçalves</t>
  </si>
  <si>
    <t>305146106ZX1</t>
  </si>
  <si>
    <t>49145</t>
  </si>
  <si>
    <t>Hugo Duarte Marinho Sousa</t>
  </si>
  <si>
    <t>301993440ZX7</t>
  </si>
  <si>
    <t>49146</t>
  </si>
  <si>
    <t>Guilherme Silva Lima</t>
  </si>
  <si>
    <t>158339363ZY6</t>
  </si>
  <si>
    <t>49143</t>
  </si>
  <si>
    <t>Guilherme Azevedo Moreira</t>
  </si>
  <si>
    <t>330671030ZZ0</t>
  </si>
  <si>
    <t>49269</t>
  </si>
  <si>
    <t>Gabriel Mendes Rodrigues</t>
  </si>
  <si>
    <t>305115561ZX4</t>
  </si>
  <si>
    <t>48753</t>
  </si>
  <si>
    <t>Tiago Pereira Costa</t>
  </si>
  <si>
    <t>155408380ZX4</t>
  </si>
  <si>
    <t>48282</t>
  </si>
  <si>
    <t>Thor Bjorn Abreu de Oliveira Pinheiro</t>
  </si>
  <si>
    <t>09H62T241</t>
  </si>
  <si>
    <t>41802</t>
  </si>
  <si>
    <t>Rodrigo Parente Gonçalves</t>
  </si>
  <si>
    <t>157939758ZX5</t>
  </si>
  <si>
    <t>41938</t>
  </si>
  <si>
    <t>Renata Pereira de Melo</t>
  </si>
  <si>
    <t>158390156ZX2</t>
  </si>
  <si>
    <t>48596</t>
  </si>
  <si>
    <t>Inês Costa Sousa</t>
  </si>
  <si>
    <t>158142047ZX4</t>
  </si>
  <si>
    <t>47819</t>
  </si>
  <si>
    <t>Gonçalo Pires Correia</t>
  </si>
  <si>
    <t>310754666ZX7</t>
  </si>
  <si>
    <t>48595</t>
  </si>
  <si>
    <t>Filipa Silva Carvalho</t>
  </si>
  <si>
    <t>303952539ZX1</t>
  </si>
  <si>
    <t>45051</t>
  </si>
  <si>
    <t>Lígia Maria Cravo Martins</t>
  </si>
  <si>
    <t>158930770ZX7</t>
  </si>
  <si>
    <t>47695</t>
  </si>
  <si>
    <t>Leonardo Bastos Carvalhosa</t>
  </si>
  <si>
    <t>155425110ZW6</t>
  </si>
  <si>
    <t>42288</t>
  </si>
  <si>
    <t>Lara Catarina Lopes Martins</t>
  </si>
  <si>
    <t>313072612ZX0</t>
  </si>
  <si>
    <t>48599</t>
  </si>
  <si>
    <t>Felipe Gabriel Santos Pereira</t>
  </si>
  <si>
    <t>4F55441F2</t>
  </si>
  <si>
    <t>48742</t>
  </si>
  <si>
    <t>Faizana Michela Paxigina Martins</t>
  </si>
  <si>
    <t>8S84603G7</t>
  </si>
  <si>
    <t>47651</t>
  </si>
  <si>
    <t>Carolina Lima da Costa Dias</t>
  </si>
  <si>
    <t>309259983ZX8</t>
  </si>
  <si>
    <t>47644</t>
  </si>
  <si>
    <t>Beatriz Ferreira Martins</t>
  </si>
  <si>
    <t>159667666ZX4</t>
  </si>
  <si>
    <t>48574</t>
  </si>
  <si>
    <t>Tamara da Rocha da Costa</t>
  </si>
  <si>
    <t>302943200zx4</t>
  </si>
  <si>
    <t>41502</t>
  </si>
  <si>
    <t>Rosa Beatriz Moreno Teixeira</t>
  </si>
  <si>
    <t>312371705ZX2</t>
  </si>
  <si>
    <t>48582</t>
  </si>
  <si>
    <t>Maria Sá Cardante</t>
  </si>
  <si>
    <t>158544064ZX3</t>
  </si>
  <si>
    <t>48581</t>
  </si>
  <si>
    <t>Lucas André Guerra Perre</t>
  </si>
  <si>
    <t>157193586ZX1</t>
  </si>
  <si>
    <t>41561</t>
  </si>
  <si>
    <t>Laura Beatriz Dias Lima</t>
  </si>
  <si>
    <t>155074326ZX0</t>
  </si>
  <si>
    <t>48580</t>
  </si>
  <si>
    <t>Helena Rosa Delurintu</t>
  </si>
  <si>
    <t>323148123ZZ3</t>
  </si>
  <si>
    <t>48578</t>
  </si>
  <si>
    <t>Bruna Sousa Barreto</t>
  </si>
  <si>
    <t>313849153zy5</t>
  </si>
  <si>
    <t>48703</t>
  </si>
  <si>
    <t>Adriana Goncalves da Torre</t>
  </si>
  <si>
    <t>159589053ZX0</t>
  </si>
  <si>
    <t>48594</t>
  </si>
  <si>
    <t>Valeria Televca</t>
  </si>
  <si>
    <t>43K9P9328</t>
  </si>
  <si>
    <t>41486</t>
  </si>
  <si>
    <t>Tomás Gomes Machado</t>
  </si>
  <si>
    <t>305864793zx6</t>
  </si>
  <si>
    <t>42251</t>
  </si>
  <si>
    <t>Tiago dos Reis Miranda</t>
  </si>
  <si>
    <t>156839849ZX5</t>
  </si>
  <si>
    <t>48593</t>
  </si>
  <si>
    <t>Rita Neves da Silva</t>
  </si>
  <si>
    <t>158536304ZX3</t>
  </si>
  <si>
    <t>48848</t>
  </si>
  <si>
    <t>Mateus Domingues Videira</t>
  </si>
  <si>
    <t>158923782ZX1</t>
  </si>
  <si>
    <t>48591</t>
  </si>
  <si>
    <t>Lara Afonso Barros</t>
  </si>
  <si>
    <t>158206096ZX4</t>
  </si>
  <si>
    <t>48115</t>
  </si>
  <si>
    <t>Heidi Costa</t>
  </si>
  <si>
    <t>157866483ZX7</t>
  </si>
  <si>
    <t>48589</t>
  </si>
  <si>
    <t>Gabriel Carvalho Silva</t>
  </si>
  <si>
    <t>306001446ZX3</t>
  </si>
  <si>
    <t>46944</t>
  </si>
  <si>
    <t>Francisco Duarte Oliveira Araújo</t>
  </si>
  <si>
    <t>155369768ZX7</t>
  </si>
  <si>
    <t>48587</t>
  </si>
  <si>
    <t>Bruna de Sousa Pereira</t>
  </si>
  <si>
    <t>156461471ZX3</t>
  </si>
  <si>
    <t>48585</t>
  </si>
  <si>
    <t>Beatriz Rodrigues Alves</t>
  </si>
  <si>
    <t>158896203ZX1</t>
  </si>
  <si>
    <t>48586</t>
  </si>
  <si>
    <t>Bianca Melissa Abreu da Silva</t>
  </si>
  <si>
    <t>158611020ZX3</t>
  </si>
  <si>
    <t>48650</t>
  </si>
  <si>
    <t>Tomás Gavinho Araújo</t>
  </si>
  <si>
    <t>158099460ZX2</t>
  </si>
  <si>
    <t>48649</t>
  </si>
  <si>
    <t>Tiago Lacerda Ribeiro</t>
  </si>
  <si>
    <t>156383772ZX9</t>
  </si>
  <si>
    <t>48648</t>
  </si>
  <si>
    <t>Telmo Miranda Azevedo</t>
  </si>
  <si>
    <t>307367290ZX1</t>
  </si>
  <si>
    <t>42265</t>
  </si>
  <si>
    <t>Rodrigo Filipe Teixeira Fontes</t>
  </si>
  <si>
    <t>158527151ZX9</t>
  </si>
  <si>
    <t>48646</t>
  </si>
  <si>
    <t>Rodrigo Fernandes Neiva</t>
  </si>
  <si>
    <t>155057650ZX4</t>
  </si>
  <si>
    <t>48636</t>
  </si>
  <si>
    <t>Rodrigo Alexandre Ferreira da Silva</t>
  </si>
  <si>
    <t>306007070zy3</t>
  </si>
  <si>
    <t>48634</t>
  </si>
  <si>
    <t>Paulo Lima Faria</t>
  </si>
  <si>
    <t>155350480ZX0</t>
  </si>
  <si>
    <t>48633</t>
  </si>
  <si>
    <t>Miguel Leite de Miranda</t>
  </si>
  <si>
    <t>157181162ZX5</t>
  </si>
  <si>
    <t>48680</t>
  </si>
  <si>
    <t>Marino Sousa Martins</t>
  </si>
  <si>
    <t>156917149ZW7</t>
  </si>
  <si>
    <t>48631</t>
  </si>
  <si>
    <t>Luís Manuel Rodrigues Neiva</t>
  </si>
  <si>
    <t>309734231ZX7</t>
  </si>
  <si>
    <t>48629</t>
  </si>
  <si>
    <t>Lucas David Fernandes Neiva</t>
  </si>
  <si>
    <t>155026410ZX1</t>
  </si>
  <si>
    <t>48677</t>
  </si>
  <si>
    <t>João Filipe Lopes Viana</t>
  </si>
  <si>
    <t>156293501ZY9</t>
  </si>
  <si>
    <t>48624</t>
  </si>
  <si>
    <t>João Filipe Amaral Pereira</t>
  </si>
  <si>
    <t>158430646ZY2</t>
  </si>
  <si>
    <t>45048</t>
  </si>
  <si>
    <t>Gabriel Mesquita Barros</t>
  </si>
  <si>
    <t>158402219zx4</t>
  </si>
  <si>
    <t>42258</t>
  </si>
  <si>
    <t>Duarte Filipe Passos Oliveira</t>
  </si>
  <si>
    <t>155732706ZX7</t>
  </si>
  <si>
    <t>41538</t>
  </si>
  <si>
    <t>Dinis Alves Oliveira</t>
  </si>
  <si>
    <t>304643181ZX5</t>
  </si>
  <si>
    <t>48612</t>
  </si>
  <si>
    <t>Daniel dos Santos Carqueijó</t>
  </si>
  <si>
    <t>309567386ZY9</t>
  </si>
  <si>
    <t>48611</t>
  </si>
  <si>
    <t>Daniel da Silva Vieira</t>
  </si>
  <si>
    <t>306857146ZX4</t>
  </si>
  <si>
    <t>48692</t>
  </si>
  <si>
    <t>Bruno Manuel Norberto Alves</t>
  </si>
  <si>
    <t>156799561ZX4</t>
  </si>
  <si>
    <t>48610</t>
  </si>
  <si>
    <t>André Lopes Rodrigues</t>
  </si>
  <si>
    <t>156572788ZX6</t>
  </si>
  <si>
    <t>48627</t>
  </si>
  <si>
    <t>João Pedro Mota de Sá</t>
  </si>
  <si>
    <t>155983334ZX4</t>
  </si>
  <si>
    <t>41580</t>
  </si>
  <si>
    <t>Tiago da Silva Rodrigues</t>
  </si>
  <si>
    <t>302921087ZW3</t>
  </si>
  <si>
    <t>48671</t>
  </si>
  <si>
    <t>Simão Vilas Boas Gonçalves</t>
  </si>
  <si>
    <t>158517423ZX4</t>
  </si>
  <si>
    <t>48670</t>
  </si>
  <si>
    <t>Samiran Maciej Kandel</t>
  </si>
  <si>
    <t>E2404742</t>
  </si>
  <si>
    <t>48739</t>
  </si>
  <si>
    <t>Ruben Melo Olivença</t>
  </si>
  <si>
    <t>303945753zx8</t>
  </si>
  <si>
    <t>48669</t>
  </si>
  <si>
    <t>Rodrigo Miguel Castro Torre</t>
  </si>
  <si>
    <t>157700577ZX6</t>
  </si>
  <si>
    <t>48668</t>
  </si>
  <si>
    <t>Rodrigo da Silva Abreu</t>
  </si>
  <si>
    <t>307332101ZX2</t>
  </si>
  <si>
    <t>48667</t>
  </si>
  <si>
    <t>Ricardo Henrique Rodrigues Martins</t>
  </si>
  <si>
    <t>156085364ZX6</t>
  </si>
  <si>
    <t>48665</t>
  </si>
  <si>
    <t>Nuno Torres Pereira</t>
  </si>
  <si>
    <t>156601249ZX4</t>
  </si>
  <si>
    <t>48690</t>
  </si>
  <si>
    <t>Miguel Afonso Pereira</t>
  </si>
  <si>
    <t>157264564ZW4</t>
  </si>
  <si>
    <t>48664</t>
  </si>
  <si>
    <t>Lucas Gonçalves Castanho</t>
  </si>
  <si>
    <t>155577395ZX7</t>
  </si>
  <si>
    <t>48702</t>
  </si>
  <si>
    <t>Jonas Abraão Lourenço Maia Silva</t>
  </si>
  <si>
    <t>303975598ZX0</t>
  </si>
  <si>
    <t>48146</t>
  </si>
  <si>
    <t>Joaz Barbosa Andrade Filho</t>
  </si>
  <si>
    <t>34514QJ09</t>
  </si>
  <si>
    <t>48740</t>
  </si>
  <si>
    <t>Italo Gabriel Braz dos Santos</t>
  </si>
  <si>
    <t>3T35007S6</t>
  </si>
  <si>
    <t>48663</t>
  </si>
  <si>
    <t>Hilário Alexandre Esteves Correia</t>
  </si>
  <si>
    <t>158036115ZY6</t>
  </si>
  <si>
    <t>48092</t>
  </si>
  <si>
    <t>Herman Penenko</t>
  </si>
  <si>
    <t>22C15008991</t>
  </si>
  <si>
    <t>47759</t>
  </si>
  <si>
    <t>Filipe Belo Barbosa</t>
  </si>
  <si>
    <t>316014362ZY4</t>
  </si>
  <si>
    <t>48272</t>
  </si>
  <si>
    <t>Éliton Junior dos Santos de Paula</t>
  </si>
  <si>
    <t>586421S8G</t>
  </si>
  <si>
    <t>48660</t>
  </si>
  <si>
    <t>Daniel Tiago Jorge Machado Banks</t>
  </si>
  <si>
    <t>313305943ZY6</t>
  </si>
  <si>
    <t>45522</t>
  </si>
  <si>
    <t>Bruno Miguel Alves Rosário</t>
  </si>
  <si>
    <t>319731014ZY7</t>
  </si>
  <si>
    <t>48697</t>
  </si>
  <si>
    <t>Pedro Lucas Barbosa Amaral</t>
  </si>
  <si>
    <t>V79V99623</t>
  </si>
  <si>
    <t>48666</t>
  </si>
  <si>
    <t>Rafael Dias Moreira</t>
  </si>
  <si>
    <t>157583651ZW3</t>
  </si>
  <si>
    <t>48637</t>
  </si>
  <si>
    <t>Rodrigo Pires Rocha</t>
  </si>
  <si>
    <t>156432820ZX7</t>
  </si>
  <si>
    <t>41934</t>
  </si>
  <si>
    <t>Ricardo Afonso Cerqueira da Rocha</t>
  </si>
  <si>
    <t>157614913zy6</t>
  </si>
  <si>
    <t>47720</t>
  </si>
  <si>
    <t>Pedro Areias Rosa</t>
  </si>
  <si>
    <t>306546574ZX4</t>
  </si>
  <si>
    <t>48630</t>
  </si>
  <si>
    <t>Margarida Martins Amorim</t>
  </si>
  <si>
    <t>156472155ZY7</t>
  </si>
  <si>
    <t>48106</t>
  </si>
  <si>
    <t>Luana Cruz Costa</t>
  </si>
  <si>
    <t>154146366ZX3</t>
  </si>
  <si>
    <t>48626</t>
  </si>
  <si>
    <t>João Paulo Gonçalves Jaques</t>
  </si>
  <si>
    <t>156599570ZX7</t>
  </si>
  <si>
    <t>48622</t>
  </si>
  <si>
    <t>Gabriel Vieira Novo</t>
  </si>
  <si>
    <t>156304015ZY7</t>
  </si>
  <si>
    <t>48621</t>
  </si>
  <si>
    <t>Francisca Baptista Alves</t>
  </si>
  <si>
    <t>158551435ZY3</t>
  </si>
  <si>
    <t>47670</t>
  </si>
  <si>
    <t>Francheska Alexandra Queirós González</t>
  </si>
  <si>
    <t>307723526ZX7</t>
  </si>
  <si>
    <t>48817</t>
  </si>
  <si>
    <t>Eva Leonor Rocha Gonçalves</t>
  </si>
  <si>
    <t>309143616ZX4</t>
  </si>
  <si>
    <t>47810</t>
  </si>
  <si>
    <t>Diogo Fernandes Gomes</t>
  </si>
  <si>
    <t>308075048ZX4</t>
  </si>
  <si>
    <t>47661</t>
  </si>
  <si>
    <t>David Pereira Araújo Maciel</t>
  </si>
  <si>
    <t>159740738ZV6</t>
  </si>
  <si>
    <t>47648</t>
  </si>
  <si>
    <t>Bruno Fernandes Azevedo</t>
  </si>
  <si>
    <t>155158481ZX2</t>
  </si>
  <si>
    <t>48288</t>
  </si>
  <si>
    <t>Biatriz Rodrigues da Silva</t>
  </si>
  <si>
    <t>307795403ZX2</t>
  </si>
  <si>
    <t>48609</t>
  </si>
  <si>
    <t>Beatriz Ferreira Pedra</t>
  </si>
  <si>
    <t>156389142ZX9</t>
  </si>
  <si>
    <t>48608</t>
  </si>
  <si>
    <t>Beatriz Castro Ferreira</t>
  </si>
  <si>
    <t>155434250ZW9</t>
  </si>
  <si>
    <t>48607</t>
  </si>
  <si>
    <t>Angélica Sá Rodrigues Gonçalves de Oliveira</t>
  </si>
  <si>
    <t>156972069ZX7</t>
  </si>
  <si>
    <t>48606</t>
  </si>
  <si>
    <t>Ana Carolina Rego de Abreu</t>
  </si>
  <si>
    <t>155014641zx5</t>
  </si>
  <si>
    <t>48628</t>
  </si>
  <si>
    <t>Letícia Cardoso Lima</t>
  </si>
  <si>
    <t>308098412ZX5</t>
  </si>
  <si>
    <t>48163</t>
  </si>
  <si>
    <t>Tymur Vasylenko</t>
  </si>
  <si>
    <t>22/D19034933</t>
  </si>
  <si>
    <t>48657</t>
  </si>
  <si>
    <t>Mateus Peixoto Laranjeira</t>
  </si>
  <si>
    <t>155784625ZX6</t>
  </si>
  <si>
    <t>47769</t>
  </si>
  <si>
    <t>Leonardo Fernandes Gonçalves</t>
  </si>
  <si>
    <t>159308763ZX4</t>
  </si>
  <si>
    <t>48704</t>
  </si>
  <si>
    <t>Kaué Henrique dos Reis</t>
  </si>
  <si>
    <t>9599J1J13</t>
  </si>
  <si>
    <t>48656</t>
  </si>
  <si>
    <t>José Luís Sousa Lima</t>
  </si>
  <si>
    <t>158925874ZX4</t>
  </si>
  <si>
    <t>48764</t>
  </si>
  <si>
    <t>Jesus Emanuel Silva Corado</t>
  </si>
  <si>
    <t>AAH741099</t>
  </si>
  <si>
    <t>48655</t>
  </si>
  <si>
    <t>Izabela Kososki</t>
  </si>
  <si>
    <t>S9G696402</t>
  </si>
  <si>
    <t>48700</t>
  </si>
  <si>
    <t>Íris Parente Ferreira</t>
  </si>
  <si>
    <t>155706276zx3</t>
  </si>
  <si>
    <t>47815</t>
  </si>
  <si>
    <t>Fredeley da Costa Dias das Neves</t>
  </si>
  <si>
    <t>4861P6L10</t>
  </si>
  <si>
    <t>48654</t>
  </si>
  <si>
    <t>Édi Miguel da Silva Dias</t>
  </si>
  <si>
    <t>157345254ZX3</t>
  </si>
  <si>
    <t>48653</t>
  </si>
  <si>
    <t>Diogo Luís Fernandes Pinto</t>
  </si>
  <si>
    <t>156116065ZX2</t>
  </si>
  <si>
    <t>47662</t>
  </si>
  <si>
    <t>Diogo Carvalho Costa</t>
  </si>
  <si>
    <t>309490626zy0</t>
  </si>
  <si>
    <t>47808</t>
  </si>
  <si>
    <t>Daniel Enzo Mesquita Cadilha</t>
  </si>
  <si>
    <t>304449830ZX3</t>
  </si>
  <si>
    <t>47625</t>
  </si>
  <si>
    <t>Daniel Emanuel Carvalho de Souza</t>
  </si>
  <si>
    <t>P422L1722</t>
  </si>
  <si>
    <t>48652</t>
  </si>
  <si>
    <t>Ana Lúcia Castro Moura</t>
  </si>
  <si>
    <t>312360479ZX7</t>
  </si>
  <si>
    <t>48651</t>
  </si>
  <si>
    <t>Ana Clara Ferraz da Silva</t>
  </si>
  <si>
    <t>GF261524</t>
  </si>
  <si>
    <t>47800</t>
  </si>
  <si>
    <t>Afonso Pinheiro Gonçalves</t>
  </si>
  <si>
    <t>301380171ZX9</t>
  </si>
  <si>
    <t>41525</t>
  </si>
  <si>
    <t>Afonso Miguel da Silva Lages Passos</t>
  </si>
  <si>
    <t>309095620ZY2</t>
  </si>
  <si>
    <t>48717</t>
  </si>
  <si>
    <t>Vinicius Cappato dos Santos</t>
  </si>
  <si>
    <t>YE515844</t>
  </si>
  <si>
    <t>48686</t>
  </si>
  <si>
    <t>Tomás Lima dos Anjos</t>
  </si>
  <si>
    <t>155210165ZX7</t>
  </si>
  <si>
    <t>44771</t>
  </si>
  <si>
    <t>Simão Ferreira Rodrigues</t>
  </si>
  <si>
    <t>309169852ZY2</t>
  </si>
  <si>
    <t>48685</t>
  </si>
  <si>
    <t>Rúben Araújo Ferreira</t>
  </si>
  <si>
    <t>155674153ZX2</t>
  </si>
  <si>
    <t>48683</t>
  </si>
  <si>
    <t>Rodrigo Gomes de Carvalho</t>
  </si>
  <si>
    <t>156672065zw0</t>
  </si>
  <si>
    <t>48682</t>
  </si>
  <si>
    <t>Rodrigo Coelho Moreira</t>
  </si>
  <si>
    <t>158318749ZX3</t>
  </si>
  <si>
    <t>48645</t>
  </si>
  <si>
    <t>Pedro Silva Santos</t>
  </si>
  <si>
    <t>156114356ZX7</t>
  </si>
  <si>
    <t>48681</t>
  </si>
  <si>
    <t>Pedro Costa Ribeiro</t>
  </si>
  <si>
    <t>155775049ZW2</t>
  </si>
  <si>
    <t>41903</t>
  </si>
  <si>
    <t>Miguel Arcanjo Araujo de Albuquerque</t>
  </si>
  <si>
    <t>14J6929Q4</t>
  </si>
  <si>
    <t>48679</t>
  </si>
  <si>
    <t>Luís Rafael Rodrigues Arezes</t>
  </si>
  <si>
    <t>155681516ZW3</t>
  </si>
  <si>
    <t>48678</t>
  </si>
  <si>
    <t>Leandro Neiva Salgueiro</t>
  </si>
  <si>
    <t>156168782ZX9</t>
  </si>
  <si>
    <t>48620</t>
  </si>
  <si>
    <t>Gustavo Dantas Silva</t>
  </si>
  <si>
    <t>155397737ZW0</t>
  </si>
  <si>
    <t>48616</t>
  </si>
  <si>
    <t>Guilherme Forte Maciel</t>
  </si>
  <si>
    <t>153783249ZX1</t>
  </si>
  <si>
    <t>48676</t>
  </si>
  <si>
    <t>Gabriel Rodrigues Costa Carvalho</t>
  </si>
  <si>
    <t>155488961ZX4</t>
  </si>
  <si>
    <t>48675</t>
  </si>
  <si>
    <t>Francisco Ribeiro Martins</t>
  </si>
  <si>
    <t>158036085ZX3</t>
  </si>
  <si>
    <t>48496</t>
  </si>
  <si>
    <t>Eduardo Rego Pinto</t>
  </si>
  <si>
    <t>156300796ZW0</t>
  </si>
  <si>
    <t>48673</t>
  </si>
  <si>
    <t>Diogo Neiva da Silva</t>
  </si>
  <si>
    <t>156462222zx9</t>
  </si>
  <si>
    <t>48674</t>
  </si>
  <si>
    <t>Cristiano Dias Borges</t>
  </si>
  <si>
    <t>157379507ZX3</t>
  </si>
  <si>
    <t>48672</t>
  </si>
  <si>
    <t>Afonso Oliveira Barbosa</t>
  </si>
  <si>
    <t>158861230ZX5</t>
  </si>
  <si>
    <t>48506</t>
  </si>
  <si>
    <t>Hugo Rafael Sousa Fonte</t>
  </si>
  <si>
    <t>158163281ZX3</t>
  </si>
  <si>
    <t>48715</t>
  </si>
  <si>
    <t>Jakilson Neto Espírito Santo</t>
  </si>
  <si>
    <t>152739VV5</t>
  </si>
  <si>
    <t>48647</t>
  </si>
  <si>
    <t>Tomas Miranda da Cunha</t>
  </si>
  <si>
    <t>157677850ZX6</t>
  </si>
  <si>
    <t>48189</t>
  </si>
  <si>
    <t>Steven Adrian Perez Alarcon</t>
  </si>
  <si>
    <t>Q038163Q7</t>
  </si>
  <si>
    <t>47739</t>
  </si>
  <si>
    <t>Simão Basto Peres</t>
  </si>
  <si>
    <t>308055616ZX2</t>
  </si>
  <si>
    <t>48684</t>
  </si>
  <si>
    <t>Rodrigo Neiva Salgueiro</t>
  </si>
  <si>
    <t>156168936ZX1</t>
  </si>
  <si>
    <t>48687</t>
  </si>
  <si>
    <t>Rodrigo Barbosa Sampaio</t>
  </si>
  <si>
    <t>156507420zx6</t>
  </si>
  <si>
    <t>48644</t>
  </si>
  <si>
    <t>Olavo da Cunha Alves</t>
  </si>
  <si>
    <t>156338009zx2</t>
  </si>
  <si>
    <t>48643</t>
  </si>
  <si>
    <t>Miguel Lima Rocha</t>
  </si>
  <si>
    <t>157372987ZY2</t>
  </si>
  <si>
    <t>48641</t>
  </si>
  <si>
    <t>Martim Quesado Arriscado</t>
  </si>
  <si>
    <t>158600193ZX1</t>
  </si>
  <si>
    <t>48319</t>
  </si>
  <si>
    <t>Levi Soares Abreu</t>
  </si>
  <si>
    <t>GD738014</t>
  </si>
  <si>
    <t>48639</t>
  </si>
  <si>
    <t>José Gabriel Silva Sousa</t>
  </si>
  <si>
    <t>155785982ZW2</t>
  </si>
  <si>
    <t>48638</t>
  </si>
  <si>
    <t>Jorge Luis da Silva Pita</t>
  </si>
  <si>
    <t>155386646ZX4</t>
  </si>
  <si>
    <t>42234</t>
  </si>
  <si>
    <t>Joaquim Batista Pereira Vale</t>
  </si>
  <si>
    <t>156504065ZX2</t>
  </si>
  <si>
    <t>48635</t>
  </si>
  <si>
    <t>Hugo Telheiro Miranda</t>
  </si>
  <si>
    <t>159351987ZX5</t>
  </si>
  <si>
    <t>48632</t>
  </si>
  <si>
    <t>Gonçalo Miguel Ponte Rolo</t>
  </si>
  <si>
    <t>310945925ZX7</t>
  </si>
  <si>
    <t>47678</t>
  </si>
  <si>
    <t>Gonçalo Costa Sampaio</t>
  </si>
  <si>
    <t>155218662ZX5</t>
  </si>
  <si>
    <t>41503</t>
  </si>
  <si>
    <t>Arisberto Sousa Silva</t>
  </si>
  <si>
    <t>305937910zx9</t>
  </si>
  <si>
    <t>48617</t>
  </si>
  <si>
    <t>Alexandre Miguel Gonçalves Varajão</t>
  </si>
  <si>
    <t>158553314ZW2</t>
  </si>
  <si>
    <t>48474</t>
  </si>
  <si>
    <t>André Martins Miranda</t>
  </si>
  <si>
    <t>158291573ZX8</t>
  </si>
  <si>
    <t>48623</t>
  </si>
  <si>
    <t>Guilherme Sampaio Morêncio</t>
  </si>
  <si>
    <t>158384091ZX9</t>
  </si>
  <si>
    <t>42279</t>
  </si>
  <si>
    <t>Diogo de Lima Rodrigues</t>
  </si>
  <si>
    <t>155775162ZX1</t>
  </si>
  <si>
    <t>49325</t>
  </si>
  <si>
    <t>Daniel Alonso Faustino</t>
  </si>
  <si>
    <t>304372595ZY1</t>
  </si>
  <si>
    <t>48949</t>
  </si>
  <si>
    <t>Leticia Pires Cadilhe</t>
  </si>
  <si>
    <t>310378010ZX4</t>
  </si>
  <si>
    <t>49714</t>
  </si>
  <si>
    <t>Édi Barbosa Rei</t>
  </si>
  <si>
    <t>303733268ZX3</t>
  </si>
  <si>
    <t>47593</t>
  </si>
  <si>
    <t>Maria Fernanda de Sena Lelis Pimenta</t>
  </si>
  <si>
    <t>23268G5H1</t>
  </si>
  <si>
    <t>43214</t>
  </si>
  <si>
    <t>Bruno Miguel Sousa Pereira</t>
  </si>
  <si>
    <t>300606575ZX1</t>
  </si>
  <si>
    <t>49712</t>
  </si>
  <si>
    <t>Dinis de Sousa Crespo</t>
  </si>
  <si>
    <t>304368156ZX0</t>
  </si>
  <si>
    <t>49713</t>
  </si>
  <si>
    <t>Lucas Rodrigues Meira</t>
  </si>
  <si>
    <t>301955492ZW6</t>
  </si>
  <si>
    <t>48966</t>
  </si>
  <si>
    <t>Bruna Vieira Matos</t>
  </si>
  <si>
    <t>159909180ZX4</t>
  </si>
  <si>
    <t>49715</t>
  </si>
  <si>
    <t>Eva Noro Cadilha</t>
  </si>
  <si>
    <t>305617745ZX6</t>
  </si>
  <si>
    <t>49716</t>
  </si>
  <si>
    <t>Tiago Paula Rolo</t>
  </si>
  <si>
    <t>303853565ZX6</t>
  </si>
  <si>
    <t>49314</t>
  </si>
  <si>
    <t>Ian dos Santos Martins</t>
  </si>
  <si>
    <t>159503108ZW7</t>
  </si>
  <si>
    <t>49409</t>
  </si>
  <si>
    <t>Antonella Ignacia Riveros Gonzalez</t>
  </si>
  <si>
    <t>4F1F25111</t>
  </si>
  <si>
    <t>49717</t>
  </si>
  <si>
    <t>Tomás Barbosa Correia</t>
  </si>
  <si>
    <t>303147750Zx0</t>
  </si>
  <si>
    <t>41844</t>
  </si>
  <si>
    <t>João Paulo Barreto Rodrigues Lopes</t>
  </si>
  <si>
    <t>312328192ZX7</t>
  </si>
  <si>
    <t>49150</t>
  </si>
  <si>
    <t>Pedro da Costa Lima</t>
  </si>
  <si>
    <t>159221021ZW3</t>
  </si>
  <si>
    <t>49718</t>
  </si>
  <si>
    <t>Miguel Carlos da Rocha Fernandes</t>
  </si>
  <si>
    <t>301772053ZX5</t>
  </si>
  <si>
    <t>41890</t>
  </si>
  <si>
    <t>Tomás Alves Fernandes</t>
  </si>
  <si>
    <t>301005338ZX9</t>
  </si>
  <si>
    <t>49719</t>
  </si>
  <si>
    <t>Helloizy Vitória Rodrigues Pinto</t>
  </si>
  <si>
    <t>GJ948724</t>
  </si>
  <si>
    <t>49720</t>
  </si>
  <si>
    <t>Duarte Borlido Meixedo</t>
  </si>
  <si>
    <t>302224777ZX1</t>
  </si>
  <si>
    <t>42614</t>
  </si>
  <si>
    <t>Marco de Cadilha e Gonçalves</t>
  </si>
  <si>
    <t>303350091ZX1</t>
  </si>
  <si>
    <t>49721</t>
  </si>
  <si>
    <t>Gonçalo Fernandes Gonçalves</t>
  </si>
  <si>
    <t>302808680ZX1</t>
  </si>
  <si>
    <t>49722</t>
  </si>
  <si>
    <t>Mafalda Alves Bernardino</t>
  </si>
  <si>
    <t>302030417ZX8</t>
  </si>
  <si>
    <t>49295</t>
  </si>
  <si>
    <t>Arthur Santos Rodrigues</t>
  </si>
  <si>
    <t>5P5P22016</t>
  </si>
  <si>
    <t>49723</t>
  </si>
  <si>
    <t>Martim Gonçalves Meira</t>
  </si>
  <si>
    <t>303047194ZX2</t>
  </si>
  <si>
    <t>49724</t>
  </si>
  <si>
    <t>Gustavo Antunes Valente</t>
  </si>
  <si>
    <t>305225634ZX6</t>
  </si>
  <si>
    <t>49725</t>
  </si>
  <si>
    <t>Adriano Gomes Ataide</t>
  </si>
  <si>
    <t>3T7S58378</t>
  </si>
  <si>
    <t>44784</t>
  </si>
  <si>
    <t>Matilde da Costa Jorge</t>
  </si>
  <si>
    <t>305656791ZX2</t>
  </si>
  <si>
    <t>49727</t>
  </si>
  <si>
    <t>Nuno Paredes Machado</t>
  </si>
  <si>
    <t>302938559zw2</t>
  </si>
  <si>
    <t>49729</t>
  </si>
  <si>
    <t>Pedro Afonso Barbosa Maciel Pereira</t>
  </si>
  <si>
    <t>302322825ZX9</t>
  </si>
  <si>
    <t>43229</t>
  </si>
  <si>
    <t>Diogo Azevedo Correia</t>
  </si>
  <si>
    <t>305179799ZX3</t>
  </si>
  <si>
    <t>46661</t>
  </si>
  <si>
    <t>Vasco Francisco Arieira Monteiro</t>
  </si>
  <si>
    <t>303643129ZX6</t>
  </si>
  <si>
    <t>42615</t>
  </si>
  <si>
    <t>Martim Vieira Belo</t>
  </si>
  <si>
    <t>304713201ZW8</t>
  </si>
  <si>
    <t>48738</t>
  </si>
  <si>
    <t>Ines Soares Brás Martins</t>
  </si>
  <si>
    <t>303045604ZX2</t>
  </si>
  <si>
    <t>49731</t>
  </si>
  <si>
    <t>Inês Sofia Queiroz Terroso</t>
  </si>
  <si>
    <t>303022230ZX3</t>
  </si>
  <si>
    <t>49733</t>
  </si>
  <si>
    <t>Olívia Carvalhais Ribeiro</t>
  </si>
  <si>
    <t>304834416ZX4</t>
  </si>
  <si>
    <t>48929</t>
  </si>
  <si>
    <t>Mia Braga de Miranda</t>
  </si>
  <si>
    <t>300932219ZX1</t>
  </si>
  <si>
    <t>49736</t>
  </si>
  <si>
    <t>Bianca Pereira Viana</t>
  </si>
  <si>
    <t>302820990ZX8</t>
  </si>
  <si>
    <t>49737</t>
  </si>
  <si>
    <t>Jorge Micael Correia Saleiro</t>
  </si>
  <si>
    <t>301977429ZX0</t>
  </si>
  <si>
    <t>49738</t>
  </si>
  <si>
    <t>Marcelo Esteves Martins Borlido</t>
  </si>
  <si>
    <t>305112929ZX6</t>
  </si>
  <si>
    <t>41883</t>
  </si>
  <si>
    <t>Débora Araújo Martins</t>
  </si>
  <si>
    <t>305108727ZY8</t>
  </si>
  <si>
    <t>46453</t>
  </si>
  <si>
    <t>Vinicius Abensur Freitas</t>
  </si>
  <si>
    <t>11L736K08</t>
  </si>
  <si>
    <t>49740</t>
  </si>
  <si>
    <t>Daniel Alexander Rondon Figueiras</t>
  </si>
  <si>
    <t>327156660ZZ4</t>
  </si>
  <si>
    <t>41900</t>
  </si>
  <si>
    <t>Tiago Samuel Salé Couteiro</t>
  </si>
  <si>
    <t>302538380ZX5</t>
  </si>
  <si>
    <t>49741</t>
  </si>
  <si>
    <t>Tiago Dinis Duarte Pereira</t>
  </si>
  <si>
    <t>300770154ZX5</t>
  </si>
  <si>
    <t>49742</t>
  </si>
  <si>
    <t>Leandro Filipe Baptista Matos</t>
  </si>
  <si>
    <t>305090941ZX7</t>
  </si>
  <si>
    <t>49743</t>
  </si>
  <si>
    <t>Carolina Baptista Sá</t>
  </si>
  <si>
    <t>301877866ZW6</t>
  </si>
  <si>
    <t>49744</t>
  </si>
  <si>
    <t>Adrian Alejandro Hoyos Vieytes</t>
  </si>
  <si>
    <t>62K9958L8</t>
  </si>
  <si>
    <t>48529</t>
  </si>
  <si>
    <t>Mariana Rodrigues Carneiro</t>
  </si>
  <si>
    <t>158008359ZX6</t>
  </si>
  <si>
    <t>49745</t>
  </si>
  <si>
    <t>Rodrigo de Barros Gonçalves</t>
  </si>
  <si>
    <t>305190601ZX6</t>
  </si>
  <si>
    <t>43830</t>
  </si>
  <si>
    <t>Martim da Guia Vieira</t>
  </si>
  <si>
    <t>303717246ZX9</t>
  </si>
  <si>
    <t>49746</t>
  </si>
  <si>
    <t>Rodrigo Miguel Miranda Maciel</t>
  </si>
  <si>
    <t>302227148ZX2</t>
  </si>
  <si>
    <t>41494</t>
  </si>
  <si>
    <t>Gonçalo Araújo Azevedo</t>
  </si>
  <si>
    <t>155449176ZW9</t>
  </si>
  <si>
    <t>49748</t>
  </si>
  <si>
    <t>Yara Vidal Sá</t>
  </si>
  <si>
    <t>304827584ZX8</t>
  </si>
  <si>
    <t>49749</t>
  </si>
  <si>
    <t>Débora Vieira da Silva</t>
  </si>
  <si>
    <t>305335049ZY2</t>
  </si>
  <si>
    <t>48453</t>
  </si>
  <si>
    <t>Talyta Bernardo Silva</t>
  </si>
  <si>
    <t>BRGF519127</t>
  </si>
  <si>
    <t>48917</t>
  </si>
  <si>
    <t>Vicente Gabriel da Silva Neto</t>
  </si>
  <si>
    <t>BRGF677546</t>
  </si>
  <si>
    <t>43816</t>
  </si>
  <si>
    <t>Gonçalo Pedrosa Amorim</t>
  </si>
  <si>
    <t>303189550ZX3</t>
  </si>
  <si>
    <t>46897</t>
  </si>
  <si>
    <t>Iara Festa Roque</t>
  </si>
  <si>
    <t>303124202ZX9</t>
  </si>
  <si>
    <t>43800</t>
  </si>
  <si>
    <t>Rodrigo Nunes Barros</t>
  </si>
  <si>
    <t>302924655ZY0</t>
  </si>
  <si>
    <t>49751</t>
  </si>
  <si>
    <t>Dinis Fagundes Ferreira</t>
  </si>
  <si>
    <t>302792309ZW7</t>
  </si>
  <si>
    <t>49753</t>
  </si>
  <si>
    <t>Fábio José Marques Gomes</t>
  </si>
  <si>
    <t>302487450ZX7</t>
  </si>
  <si>
    <t>49754</t>
  </si>
  <si>
    <t>Simão Pereira da Rocha</t>
  </si>
  <si>
    <t>305354647ZY9</t>
  </si>
  <si>
    <t>49755</t>
  </si>
  <si>
    <t>Duarte Sá Queiroz</t>
  </si>
  <si>
    <t>304510416ZW7</t>
  </si>
  <si>
    <t>49756</t>
  </si>
  <si>
    <t>Lucas Azevedo Miranda</t>
  </si>
  <si>
    <t>305478214ZW3</t>
  </si>
  <si>
    <t>49758</t>
  </si>
  <si>
    <t>Beatriz da Costa Silva</t>
  </si>
  <si>
    <t>302566724ZW1</t>
  </si>
  <si>
    <t>49759</t>
  </si>
  <si>
    <t>André Carvalho Neiva</t>
  </si>
  <si>
    <t>303816732ZW0</t>
  </si>
  <si>
    <t>44783</t>
  </si>
  <si>
    <t>Isaque Emanuel Vilas Boas Martins</t>
  </si>
  <si>
    <t>158960009ZW5</t>
  </si>
  <si>
    <t>49761</t>
  </si>
  <si>
    <t>Diogo Xavier Rodrigues de Castro</t>
  </si>
  <si>
    <t>303248637ZX7</t>
  </si>
  <si>
    <t>49762</t>
  </si>
  <si>
    <t>Carolina Lima Pinto</t>
  </si>
  <si>
    <t>304723606ZW6</t>
  </si>
  <si>
    <t>48088</t>
  </si>
  <si>
    <t>Livia Ferreira Marinho</t>
  </si>
  <si>
    <t>GD629754</t>
  </si>
  <si>
    <t>49763</t>
  </si>
  <si>
    <t>Rodrigo Ferreira Martins</t>
  </si>
  <si>
    <t>302267905ZX6</t>
  </si>
  <si>
    <t>49764</t>
  </si>
  <si>
    <t>Vitoria Hemanuely Ribeiro de Paiva</t>
  </si>
  <si>
    <t>7P789K238</t>
  </si>
  <si>
    <t>49765</t>
  </si>
  <si>
    <t>Dinis Barreiros Teixeira</t>
  </si>
  <si>
    <t>302821562ZW6</t>
  </si>
  <si>
    <t>49767</t>
  </si>
  <si>
    <t>Jénifer Maísa Silva Maia</t>
  </si>
  <si>
    <t>300884796ZX6</t>
  </si>
  <si>
    <t>49768</t>
  </si>
  <si>
    <t>Leonor Isabel Rodrigues Martins</t>
  </si>
  <si>
    <t>304859605ZX2</t>
  </si>
  <si>
    <t>49769</t>
  </si>
  <si>
    <t>Bryan Rafael Vieira Gonçalves</t>
  </si>
  <si>
    <t>302857109ZX1</t>
  </si>
  <si>
    <t>49770</t>
  </si>
  <si>
    <t>Catarina de Sá Costa</t>
  </si>
  <si>
    <t>159395917ZX0</t>
  </si>
  <si>
    <t>49771</t>
  </si>
  <si>
    <t>Thomas Benjamin Torres</t>
  </si>
  <si>
    <t>AAH096988</t>
  </si>
  <si>
    <t>49772</t>
  </si>
  <si>
    <t>Tiago Gomes Sousa</t>
  </si>
  <si>
    <t>304488739ZX8</t>
  </si>
  <si>
    <t>49773</t>
  </si>
  <si>
    <t>Simão Borlido Ribeiro</t>
  </si>
  <si>
    <t>303187921ZW0</t>
  </si>
  <si>
    <t>41870</t>
  </si>
  <si>
    <t>Edgar Alexandre Lopes Leitão</t>
  </si>
  <si>
    <t>309253500ZX6</t>
  </si>
  <si>
    <t>49046</t>
  </si>
  <si>
    <t>Gabriela Ramos Sinaré</t>
  </si>
  <si>
    <t>301790647zx2</t>
  </si>
  <si>
    <t>49774</t>
  </si>
  <si>
    <t>Mariana Gonçalves Pereira</t>
  </si>
  <si>
    <t>304264091ZX4</t>
  </si>
  <si>
    <t>49775</t>
  </si>
  <si>
    <t>Luana Sofia Manteigas Saraiva</t>
  </si>
  <si>
    <t>306785455ZX6</t>
  </si>
  <si>
    <t>49776</t>
  </si>
  <si>
    <t>Luis Alejandro Ramirez Arevalo</t>
  </si>
  <si>
    <t>P8P606841</t>
  </si>
  <si>
    <t>46946</t>
  </si>
  <si>
    <t>Yasmin Tainá Gonçalves de Grande</t>
  </si>
  <si>
    <t>FU710638</t>
  </si>
  <si>
    <t>49777</t>
  </si>
  <si>
    <t>José Miguel Pereira Oliveira</t>
  </si>
  <si>
    <t>305229265ZY3</t>
  </si>
  <si>
    <t>49778</t>
  </si>
  <si>
    <t>Maria Madalena da Silva Sá Xavier</t>
  </si>
  <si>
    <t>159935164ZX6</t>
  </si>
  <si>
    <t>49779</t>
  </si>
  <si>
    <t>Círia Cruz Couto</t>
  </si>
  <si>
    <t>305301322ZX5</t>
  </si>
  <si>
    <t>43818</t>
  </si>
  <si>
    <t>Martim Marques Pereira Soares</t>
  </si>
  <si>
    <t>303670509ZX5</t>
  </si>
  <si>
    <t>49781</t>
  </si>
  <si>
    <t>Paulison de Sousa Cardoso do Rosário</t>
  </si>
  <si>
    <t>PC099263</t>
  </si>
  <si>
    <t>49782</t>
  </si>
  <si>
    <t>Luciana Martins Pereira</t>
  </si>
  <si>
    <t>304013544ZX6</t>
  </si>
  <si>
    <t>49783</t>
  </si>
  <si>
    <t>Leonardo Quesado Pereira Martins</t>
  </si>
  <si>
    <t>304571628ZX1</t>
  </si>
  <si>
    <t>43841</t>
  </si>
  <si>
    <t>Mafalda Silva Pedrosa</t>
  </si>
  <si>
    <t>302288600ZV2</t>
  </si>
  <si>
    <t>49784</t>
  </si>
  <si>
    <t>Ana Filipa de Sá de Jesus</t>
  </si>
  <si>
    <t>300597967zw3</t>
  </si>
  <si>
    <t>49785</t>
  </si>
  <si>
    <t>Roman Bimbash</t>
  </si>
  <si>
    <t>24E29004152</t>
  </si>
  <si>
    <t>49786</t>
  </si>
  <si>
    <t>Maria da Silva Menezes</t>
  </si>
  <si>
    <t>303831766ZW9</t>
  </si>
  <si>
    <t>49787</t>
  </si>
  <si>
    <t>Gabriel Alexandre Rodrigues dos Santos</t>
  </si>
  <si>
    <t>303126469ZX2</t>
  </si>
  <si>
    <t>49789</t>
  </si>
  <si>
    <t>Afonso Dinis Vieira Alves</t>
  </si>
  <si>
    <t>300592868zx6</t>
  </si>
  <si>
    <t>49790</t>
  </si>
  <si>
    <t>Mafalda dos Santos Cerqueira</t>
  </si>
  <si>
    <t>305417177ZX4</t>
  </si>
  <si>
    <t>49791</t>
  </si>
  <si>
    <t>Pedro Henrique Martins da Silva</t>
  </si>
  <si>
    <t>S63T37558</t>
  </si>
  <si>
    <t>49792</t>
  </si>
  <si>
    <t>Ester Xavier de Lima</t>
  </si>
  <si>
    <t>GG749614</t>
  </si>
  <si>
    <t>49793</t>
  </si>
  <si>
    <t>Beatriz Pereira Amorim</t>
  </si>
  <si>
    <t>302607838ZY6</t>
  </si>
  <si>
    <t>49794</t>
  </si>
  <si>
    <t>Victor Manoel da Silva Alves</t>
  </si>
  <si>
    <t>GG884377</t>
  </si>
  <si>
    <t>49795</t>
  </si>
  <si>
    <t>Gonçalo Manuel Rodrigues Vieira</t>
  </si>
  <si>
    <t>305363069ZX7</t>
  </si>
  <si>
    <t>49796</t>
  </si>
  <si>
    <t>Millena Xavier de Brito</t>
  </si>
  <si>
    <t>GF223600</t>
  </si>
  <si>
    <t>49797</t>
  </si>
  <si>
    <t>Soraia Barbosa Dias</t>
  </si>
  <si>
    <t>304958190ZX5</t>
  </si>
  <si>
    <t>49799</t>
  </si>
  <si>
    <t>Gonçalo Segismundo da Cunha</t>
  </si>
  <si>
    <t>156059320ZY8</t>
  </si>
  <si>
    <t>48125</t>
  </si>
  <si>
    <t>Maura Bom Jesus Amaral</t>
  </si>
  <si>
    <t>STPC037591</t>
  </si>
  <si>
    <t>49800</t>
  </si>
  <si>
    <t>Leonor Barbosa de Sá</t>
  </si>
  <si>
    <t>304721867ZX4</t>
  </si>
  <si>
    <t>49801</t>
  </si>
  <si>
    <t>Denzel dos Prazeres Gola Adão</t>
  </si>
  <si>
    <t>323231594</t>
  </si>
  <si>
    <t>49802</t>
  </si>
  <si>
    <t>Rodrigo Loureiro Calçada</t>
  </si>
  <si>
    <t>303577894ZX5</t>
  </si>
  <si>
    <t>49819</t>
  </si>
  <si>
    <t>Diana Gonçalves Cunha</t>
  </si>
  <si>
    <t>305575759zw9</t>
  </si>
  <si>
    <t>43791</t>
  </si>
  <si>
    <t>Pedro Ramos Guia</t>
  </si>
  <si>
    <t>303724005ZX0</t>
  </si>
  <si>
    <t>44875</t>
  </si>
  <si>
    <t>Martim Rodrigues de Sá</t>
  </si>
  <si>
    <t>303522771ZX1</t>
  </si>
  <si>
    <t>43827</t>
  </si>
  <si>
    <t>Hugo Imperadeiro Costa</t>
  </si>
  <si>
    <t>304710164ZX9</t>
  </si>
  <si>
    <t>46660</t>
  </si>
  <si>
    <t>Vítor Hugo Guia Ferreira</t>
  </si>
  <si>
    <t>304978469ZX9</t>
  </si>
  <si>
    <t>49752</t>
  </si>
  <si>
    <t>Cristiano Rocha Rosa</t>
  </si>
  <si>
    <t>334522960ZZ1</t>
  </si>
  <si>
    <t>49364</t>
  </si>
  <si>
    <t>Francisca Maria Afonso Matos</t>
  </si>
  <si>
    <t>300887493ZY5</t>
  </si>
  <si>
    <t>48945</t>
  </si>
  <si>
    <t>Tiago Fernandes Costa Malheiro</t>
  </si>
  <si>
    <t>159157030ZX0</t>
  </si>
  <si>
    <t>49757</t>
  </si>
  <si>
    <t>Bruna Martins Lima</t>
  </si>
  <si>
    <t>303444487ZX9</t>
  </si>
  <si>
    <t>49818</t>
  </si>
  <si>
    <t>Geovanna Vitória Alves de Sant'anna</t>
  </si>
  <si>
    <t>GI359811</t>
  </si>
  <si>
    <t>46881</t>
  </si>
  <si>
    <t>Francisco António Fernandez Ortiz</t>
  </si>
  <si>
    <t>AAF518366</t>
  </si>
  <si>
    <t>49803</t>
  </si>
  <si>
    <t>Rúben José Dantas Coelho</t>
  </si>
  <si>
    <t>302437290ZW0</t>
  </si>
  <si>
    <t>49804</t>
  </si>
  <si>
    <t>Filipe Couto Moreira</t>
  </si>
  <si>
    <t>303728701ZW2</t>
  </si>
  <si>
    <t>49805</t>
  </si>
  <si>
    <t>Lourenço Queirós Ibarra</t>
  </si>
  <si>
    <t>304270830ZX7</t>
  </si>
  <si>
    <t>49806</t>
  </si>
  <si>
    <t>Francisca Gomes Marques</t>
  </si>
  <si>
    <t>304828807ZX2</t>
  </si>
  <si>
    <t>49807</t>
  </si>
  <si>
    <t>Sara Júnior Pereira</t>
  </si>
  <si>
    <t>305658824ZX9</t>
  </si>
  <si>
    <t>49808</t>
  </si>
  <si>
    <t>Guilherme Abreu Sá</t>
  </si>
  <si>
    <t>302346996ZX0</t>
  </si>
  <si>
    <t>49810</t>
  </si>
  <si>
    <t>João Filipe Marques de Sousa</t>
  </si>
  <si>
    <t>158115120ZX2</t>
  </si>
  <si>
    <t>48121</t>
  </si>
  <si>
    <t>Timéo Jocelyn Germain</t>
  </si>
  <si>
    <t>306170035ZX9</t>
  </si>
  <si>
    <t>49811</t>
  </si>
  <si>
    <t>Igor Collaço Silva</t>
  </si>
  <si>
    <t>GK901957</t>
  </si>
  <si>
    <t>49812</t>
  </si>
  <si>
    <t>Cecilia Lima Fernandes</t>
  </si>
  <si>
    <t>157265129ZW5</t>
  </si>
  <si>
    <t>49813</t>
  </si>
  <si>
    <t>Vitor Eduardo Oliveira de Carvalho</t>
  </si>
  <si>
    <t>305466585ZX8</t>
  </si>
  <si>
    <t>49814</t>
  </si>
  <si>
    <t>Fellipe Silva de Souza</t>
  </si>
  <si>
    <t>GL253873</t>
  </si>
  <si>
    <t>49815</t>
  </si>
  <si>
    <t>Henrique Alonso Faustino</t>
  </si>
  <si>
    <t>304385050ZX4</t>
  </si>
  <si>
    <t>49278</t>
  </si>
  <si>
    <t>Cristiano Gabriel Fernandes da Costa</t>
  </si>
  <si>
    <t>159027675ZX0</t>
  </si>
  <si>
    <t>49820</t>
  </si>
  <si>
    <t>Leticia Rodrigues Fernandes</t>
  </si>
  <si>
    <t>303033630ZX1</t>
  </si>
  <si>
    <t>49821</t>
  </si>
  <si>
    <t>Mariana da Costa Barreto</t>
  </si>
  <si>
    <t>300009011ZX0</t>
  </si>
  <si>
    <t>49822</t>
  </si>
  <si>
    <t>Iara Filipa Teixeira Rocha</t>
  </si>
  <si>
    <t>305523392ZY8</t>
  </si>
  <si>
    <t>49823</t>
  </si>
  <si>
    <t>Gabriel Amorim da Costa</t>
  </si>
  <si>
    <t>304635715ZX0</t>
  </si>
  <si>
    <t>49833</t>
  </si>
  <si>
    <t>Bianca da Silva Malhão</t>
  </si>
  <si>
    <t>302308008ZW2</t>
  </si>
  <si>
    <t>49834</t>
  </si>
  <si>
    <t>Lara Carvalho Ferreira</t>
  </si>
  <si>
    <t>156628414ZX3</t>
  </si>
  <si>
    <t>43147</t>
  </si>
  <si>
    <t>Tomás Filipe de Sousa Peres</t>
  </si>
  <si>
    <t>301964416ZX2</t>
  </si>
  <si>
    <t>49836</t>
  </si>
  <si>
    <t>Hugo Manuel Alves Carvalho</t>
  </si>
  <si>
    <t>304140368ZX6</t>
  </si>
  <si>
    <t>49839</t>
  </si>
  <si>
    <t>Tiago Araújo Novo Preza</t>
  </si>
  <si>
    <t>159396891ZX6</t>
  </si>
  <si>
    <t>49840</t>
  </si>
  <si>
    <t>Marllon Luiz Marques Martins</t>
  </si>
  <si>
    <t>6074J8J94</t>
  </si>
  <si>
    <t>48086</t>
  </si>
  <si>
    <t>Juliana Dar C Vicente de Araújo</t>
  </si>
  <si>
    <t>H7216559S</t>
  </si>
  <si>
    <t>49844</t>
  </si>
  <si>
    <t>Rafael Emídio Silva Monteiro</t>
  </si>
  <si>
    <t>305483978ZV8</t>
  </si>
  <si>
    <t>48909</t>
  </si>
  <si>
    <t>Naomí Candela Giusti Olivera</t>
  </si>
  <si>
    <t>AAI282077</t>
  </si>
  <si>
    <t>49846</t>
  </si>
  <si>
    <t>Leandro Edgar Lima Alves</t>
  </si>
  <si>
    <t>301919259ZX2</t>
  </si>
  <si>
    <t>49850</t>
  </si>
  <si>
    <t>Rodrigo Barros de Sousa</t>
  </si>
  <si>
    <t>302915320ZX4</t>
  </si>
  <si>
    <t>49851</t>
  </si>
  <si>
    <t>Hugo Valle da Silva Xavier</t>
  </si>
  <si>
    <t>J7Q593511</t>
  </si>
  <si>
    <t>49852</t>
  </si>
  <si>
    <t>Camilo Ramos Gonçalves</t>
  </si>
  <si>
    <t>304317748ZX6</t>
  </si>
  <si>
    <t>49427</t>
  </si>
  <si>
    <t>Gonçalo Barreto da Ribeira</t>
  </si>
  <si>
    <t>304928119ZW3</t>
  </si>
  <si>
    <t>49798</t>
  </si>
  <si>
    <t>Afonso Alves Corucho</t>
  </si>
  <si>
    <t>302529144ZX6</t>
  </si>
  <si>
    <t>49711</t>
  </si>
  <si>
    <t>Alexandre Cruz de Castro Meira</t>
  </si>
  <si>
    <t>300771339ZX1</t>
  </si>
  <si>
    <t>49726</t>
  </si>
  <si>
    <t>Carlos Henrique Fernandes Vieira</t>
  </si>
  <si>
    <t>7352f88f4</t>
  </si>
  <si>
    <t>48262</t>
  </si>
  <si>
    <t>Emerson de Cássio da Silva Ribeiro Filho</t>
  </si>
  <si>
    <t>FX635584</t>
  </si>
  <si>
    <t>43832</t>
  </si>
  <si>
    <t>Rodrigo Carvalho Torres</t>
  </si>
  <si>
    <t>304904449ZX0</t>
  </si>
  <si>
    <t>49766</t>
  </si>
  <si>
    <t>Rúben Filipe Torres Ribeiro</t>
  </si>
  <si>
    <t>305338250ZX5</t>
  </si>
  <si>
    <t>47976</t>
  </si>
  <si>
    <t>Aricelmo da Costa Neves</t>
  </si>
  <si>
    <t>7738F99F6</t>
  </si>
  <si>
    <t>49760</t>
  </si>
  <si>
    <t>Carlos Manuel Dourado Moreira Viana</t>
  </si>
  <si>
    <t>301809976ZX4</t>
  </si>
  <si>
    <t>49728</t>
  </si>
  <si>
    <t>Leonardo da Silva Ribeiro</t>
  </si>
  <si>
    <t>GI991816</t>
  </si>
  <si>
    <t>48265</t>
  </si>
  <si>
    <t>Lorenzo Locate de Jesus</t>
  </si>
  <si>
    <t>YF024224</t>
  </si>
  <si>
    <t>49750</t>
  </si>
  <si>
    <t>Daniel Silva Mota</t>
  </si>
  <si>
    <t>304146056ZX1</t>
  </si>
  <si>
    <t>49848</t>
  </si>
  <si>
    <t>Dinis Soares Fernandes</t>
  </si>
  <si>
    <t>302379207ZY0</t>
  </si>
  <si>
    <t>49809</t>
  </si>
  <si>
    <t>Eduardo Veiga Meira</t>
  </si>
  <si>
    <t>304444383ZX8</t>
  </si>
  <si>
    <t>49732</t>
  </si>
  <si>
    <t>Rodrigo Meira Sampaio</t>
  </si>
  <si>
    <t>303779896ZX6</t>
  </si>
  <si>
    <t>49734</t>
  </si>
  <si>
    <t>Rodrigo Mota de Sousa</t>
  </si>
  <si>
    <t>302882111ZZ2</t>
  </si>
  <si>
    <t>49730</t>
  </si>
  <si>
    <t>Santiago Oliveira Gonçalves</t>
  </si>
  <si>
    <t>304922587ZX5</t>
  </si>
  <si>
    <t>49739</t>
  </si>
  <si>
    <t>Simão de Sousa Brito</t>
  </si>
  <si>
    <t>303412305ZY9</t>
  </si>
  <si>
    <t>49117</t>
  </si>
  <si>
    <t>Abdoulie Jabang</t>
  </si>
  <si>
    <t>5936419</t>
  </si>
  <si>
    <t>49076</t>
  </si>
  <si>
    <t>Rodrigo Miguel Amorim Teixeira</t>
  </si>
  <si>
    <t>159627290zw4</t>
  </si>
  <si>
    <t>49863</t>
  </si>
  <si>
    <t>Luciana Torres de Oliveira Rodrigues</t>
  </si>
  <si>
    <t>157272516ZY0</t>
  </si>
  <si>
    <t>49865</t>
  </si>
  <si>
    <t>Camila Ribeiro Pereira</t>
  </si>
  <si>
    <t>305181807ZX0</t>
  </si>
  <si>
    <t>49866</t>
  </si>
  <si>
    <t>Francisco José Gomes Batista</t>
  </si>
  <si>
    <t>303570652ZX4</t>
  </si>
  <si>
    <t>49872</t>
  </si>
  <si>
    <t>Filipe Duarte Mesquita</t>
  </si>
  <si>
    <t>304145653ZW8</t>
  </si>
  <si>
    <t>49368</t>
  </si>
  <si>
    <t>Denise Negrita Silva</t>
  </si>
  <si>
    <t>156824710ZW8</t>
  </si>
  <si>
    <t>46933</t>
  </si>
  <si>
    <t>Valdemar Júnio de Sousa Marques da Silva</t>
  </si>
  <si>
    <t>301345104ZX4</t>
  </si>
  <si>
    <t>49849</t>
  </si>
  <si>
    <t>Kevin Faria Aires</t>
  </si>
  <si>
    <t>305060805ZY8</t>
  </si>
  <si>
    <t>49747</t>
  </si>
  <si>
    <t>Martim Sousa da Costa</t>
  </si>
  <si>
    <t>305628135ZX7</t>
  </si>
  <si>
    <t>49874</t>
  </si>
  <si>
    <t>Afonso Maciel Fernandes</t>
  </si>
  <si>
    <t>300811047ZW4</t>
  </si>
  <si>
    <t>49875</t>
  </si>
  <si>
    <t>Diogo António Barbosa Pinto</t>
  </si>
  <si>
    <t>304370258zw2</t>
  </si>
  <si>
    <t>49878</t>
  </si>
  <si>
    <t>Rúben Duarte Sousa Ferreira</t>
  </si>
  <si>
    <t>305005251zx5</t>
  </si>
  <si>
    <t>49879</t>
  </si>
  <si>
    <t>Wayene Claudio Pimentel Muxito</t>
  </si>
  <si>
    <t>3456739</t>
  </si>
  <si>
    <t>49860</t>
  </si>
  <si>
    <t>Moisés Xavier de Lima</t>
  </si>
  <si>
    <t>GG749590</t>
  </si>
  <si>
    <t>41838</t>
  </si>
  <si>
    <t>Eduardo Miguel da Silva Alves</t>
  </si>
  <si>
    <t>302242643ZX3</t>
  </si>
  <si>
    <t>49881</t>
  </si>
  <si>
    <t>André Lopes Simões</t>
  </si>
  <si>
    <t>303608870ZX8</t>
  </si>
  <si>
    <t>49893</t>
  </si>
  <si>
    <t>Catarina Felgueiras da Cunha</t>
  </si>
  <si>
    <t>301376948ZX6</t>
  </si>
  <si>
    <t>49891</t>
  </si>
  <si>
    <t>Carlos Mateus da Graça Monteiro</t>
  </si>
  <si>
    <t>PA251870</t>
  </si>
  <si>
    <t>49901</t>
  </si>
  <si>
    <t>Maria Luiza Silva de Queiroz</t>
  </si>
  <si>
    <t>GG685257</t>
  </si>
  <si>
    <t>49845</t>
  </si>
  <si>
    <t>João Pedro Sousa Oliveira</t>
  </si>
  <si>
    <t>303894202zx7</t>
  </si>
  <si>
    <t>49735</t>
  </si>
  <si>
    <t>Tomás Sá Gomes</t>
  </si>
  <si>
    <t>159005868zw9</t>
  </si>
  <si>
    <t>49908</t>
  </si>
  <si>
    <t>Itanílsia Dias do Espírito Santo</t>
  </si>
  <si>
    <t>PC101746</t>
  </si>
  <si>
    <t>49912</t>
  </si>
  <si>
    <t>Afonso Alfaro Santos Pereira</t>
  </si>
  <si>
    <t>312271530ZX5</t>
  </si>
  <si>
    <t>47825</t>
  </si>
  <si>
    <t>Igor Rocha Silva</t>
  </si>
  <si>
    <t>306993759ZX9</t>
  </si>
  <si>
    <t>48745</t>
  </si>
  <si>
    <t>Gustavo Durães Ribeiro</t>
  </si>
  <si>
    <t>155364219zx6</t>
  </si>
  <si>
    <t>49451</t>
  </si>
  <si>
    <t>Maria Clara Carvalho Lira</t>
  </si>
  <si>
    <t>FS858150</t>
  </si>
  <si>
    <t>43218</t>
  </si>
  <si>
    <t>Gabriela Gonçalves Vieira Alves</t>
  </si>
  <si>
    <t>159175216ZX3</t>
  </si>
  <si>
    <t>49915</t>
  </si>
  <si>
    <t>Elias Monteiro Sá Gonçalves</t>
  </si>
  <si>
    <t>158982134ZX3</t>
  </si>
  <si>
    <t>49917</t>
  </si>
  <si>
    <t>Adonai Rodrigues Monteiro</t>
  </si>
  <si>
    <t>302213317ZX9</t>
  </si>
  <si>
    <t>49918</t>
  </si>
  <si>
    <t>Ana Sofia Rodrigues de Sousa</t>
  </si>
  <si>
    <t>304844179ZX6</t>
  </si>
  <si>
    <t>49920</t>
  </si>
  <si>
    <t>Alexa Morella Mendoza Li</t>
  </si>
  <si>
    <t>H87678806</t>
  </si>
  <si>
    <t>49925</t>
  </si>
  <si>
    <t>Leandro Sousa Couteiro</t>
  </si>
  <si>
    <t>300922221ZX9</t>
  </si>
  <si>
    <t>49927</t>
  </si>
  <si>
    <t>Gabriel Gonçalves Lima Sequeira</t>
  </si>
  <si>
    <t>300804555ZX3</t>
  </si>
  <si>
    <t>49952</t>
  </si>
  <si>
    <t>Vitor Rafanhin Cardoso Pereira</t>
  </si>
  <si>
    <t>1LK813861</t>
  </si>
  <si>
    <t>49955</t>
  </si>
  <si>
    <t>Rodrigo Laranjeira Soares</t>
  </si>
  <si>
    <t>159936276ZX7</t>
  </si>
  <si>
    <t>49974</t>
  </si>
  <si>
    <t>Vinicios Wenderroschi de Jesus Oliveira</t>
  </si>
  <si>
    <t>GJ594542</t>
  </si>
  <si>
    <t>49926</t>
  </si>
  <si>
    <t>Rodrigo Fernandes Pedroso</t>
  </si>
  <si>
    <t>300796358ZX2</t>
  </si>
  <si>
    <t>49984</t>
  </si>
  <si>
    <t>Natan Mariano do Nascimento</t>
  </si>
  <si>
    <t>V68775V85</t>
  </si>
  <si>
    <t>49986</t>
  </si>
  <si>
    <t>Ari dos Santos Pereiro</t>
  </si>
  <si>
    <t>156525623ZY1</t>
  </si>
  <si>
    <t>49623</t>
  </si>
  <si>
    <t>Sofia Correia Fernandes</t>
  </si>
  <si>
    <t>304356794ZW4</t>
  </si>
  <si>
    <t>49998</t>
  </si>
  <si>
    <t>Rúben Teixeira Cunha</t>
  </si>
  <si>
    <t>304914860ZW8</t>
  </si>
  <si>
    <t>48273</t>
  </si>
  <si>
    <t>Paulo Vinicius dos Santos de Paula</t>
  </si>
  <si>
    <t>3T31081S7</t>
  </si>
  <si>
    <t>46495</t>
  </si>
  <si>
    <t>Simão Costa Peres</t>
  </si>
  <si>
    <t>313647798ZY1</t>
  </si>
  <si>
    <t>41814</t>
  </si>
  <si>
    <t>Daniel Rodrigues Francês da Silva</t>
  </si>
  <si>
    <t>301745129ZY5</t>
  </si>
  <si>
    <t>49329</t>
  </si>
  <si>
    <t>Saidi Mariana Miranda Bianco</t>
  </si>
  <si>
    <t>N2995845</t>
  </si>
  <si>
    <t>49398</t>
  </si>
  <si>
    <t>Kelcy Wayne Borges Monteiro</t>
  </si>
  <si>
    <t>PA444441</t>
  </si>
  <si>
    <t>44574</t>
  </si>
  <si>
    <t>Afonso Barreiros Batista</t>
  </si>
  <si>
    <t>314143629ZX7</t>
  </si>
  <si>
    <t>45553</t>
  </si>
  <si>
    <t>Afonso Miguel Pinto Cunha</t>
  </si>
  <si>
    <t>313767122ZY8</t>
  </si>
  <si>
    <t>48260</t>
  </si>
  <si>
    <t>Arthur Honorato Fonseca Souza Lima</t>
  </si>
  <si>
    <t>GE631915</t>
  </si>
  <si>
    <t>48894</t>
  </si>
  <si>
    <t>Bernardo Polido Pereira</t>
  </si>
  <si>
    <t>325587876ZY1</t>
  </si>
  <si>
    <t>46640</t>
  </si>
  <si>
    <t>Bruno Ferreira Sampaio</t>
  </si>
  <si>
    <t>313193495ZY2</t>
  </si>
  <si>
    <t>44561</t>
  </si>
  <si>
    <t>Dario Júnior Freitas Melo</t>
  </si>
  <si>
    <t>314367373zy9</t>
  </si>
  <si>
    <t>44576</t>
  </si>
  <si>
    <t>Gabriela Barreiros Batista</t>
  </si>
  <si>
    <t>314143645ZX3</t>
  </si>
  <si>
    <t>46645</t>
  </si>
  <si>
    <t>Gaspar de Castro Coutinho Lourenço da Cunha</t>
  </si>
  <si>
    <t>313895325ZX4</t>
  </si>
  <si>
    <t>44563</t>
  </si>
  <si>
    <t>Inês Brito Cunha</t>
  </si>
  <si>
    <t>313781478ZY6</t>
  </si>
  <si>
    <t>46005</t>
  </si>
  <si>
    <t>Iris Passos Parada Ferreira</t>
  </si>
  <si>
    <t>325329605ZZ5</t>
  </si>
  <si>
    <t>47026</t>
  </si>
  <si>
    <t>Lauany Vitoria de Andrade Lima</t>
  </si>
  <si>
    <t>6S81T3164</t>
  </si>
  <si>
    <t>44565</t>
  </si>
  <si>
    <t>Laura Magalhães Rocha</t>
  </si>
  <si>
    <t>314877681ZY8</t>
  </si>
  <si>
    <t>44566</t>
  </si>
  <si>
    <t>Leonor Viana Lomba</t>
  </si>
  <si>
    <t>314912495ZY0</t>
  </si>
  <si>
    <t>44579</t>
  </si>
  <si>
    <t>Maria João Pereira Milheiro</t>
  </si>
  <si>
    <t>313642079ZX3</t>
  </si>
  <si>
    <t>44569</t>
  </si>
  <si>
    <t>Marta Helena da Cruz Ferreira</t>
  </si>
  <si>
    <t>314222260ZX5</t>
  </si>
  <si>
    <t>45994</t>
  </si>
  <si>
    <t>Martim Alves Condeço</t>
  </si>
  <si>
    <t>314298355ZX2</t>
  </si>
  <si>
    <t>49254</t>
  </si>
  <si>
    <t>Mia Martins da Cunha</t>
  </si>
  <si>
    <t>313736138ZY2</t>
  </si>
  <si>
    <t>44572</t>
  </si>
  <si>
    <t>Sofia Marques Machado</t>
  </si>
  <si>
    <t>315199601ZX6</t>
  </si>
  <si>
    <t>48866</t>
  </si>
  <si>
    <t>Nicholas Pereira Lemos</t>
  </si>
  <si>
    <t>GI172514</t>
  </si>
  <si>
    <t>49251</t>
  </si>
  <si>
    <t>Alejandro Reyes Salazar</t>
  </si>
  <si>
    <t>AX385286</t>
  </si>
  <si>
    <t>48063</t>
  </si>
  <si>
    <t>Alexandre Jourdan Alves</t>
  </si>
  <si>
    <t>313576696ZX4</t>
  </si>
  <si>
    <t>44581</t>
  </si>
  <si>
    <t>Ana Francisca de Sousa Moreira</t>
  </si>
  <si>
    <t>313653313ZX2</t>
  </si>
  <si>
    <t>47417</t>
  </si>
  <si>
    <t>Ana Isabel Rodrigues Limeiro</t>
  </si>
  <si>
    <t>314043276ZX8</t>
  </si>
  <si>
    <t>44307</t>
  </si>
  <si>
    <t>Ariana Filipa da Silva Nunes</t>
  </si>
  <si>
    <t>313380090ZX6</t>
  </si>
  <si>
    <t>48221</t>
  </si>
  <si>
    <t>Camili Fanfa Delpino</t>
  </si>
  <si>
    <t>GD682671</t>
  </si>
  <si>
    <t>46641</t>
  </si>
  <si>
    <t>Daniel Alexandre Jordão Tavares Parente</t>
  </si>
  <si>
    <t>314937102ZZ1</t>
  </si>
  <si>
    <t>45073</t>
  </si>
  <si>
    <t>Eva Joana Quesado e Azevedo</t>
  </si>
  <si>
    <t>315322322ZY7</t>
  </si>
  <si>
    <t>49252</t>
  </si>
  <si>
    <t>Gonçalo Nogueira Álvares Quintela</t>
  </si>
  <si>
    <t>314511040ZY9</t>
  </si>
  <si>
    <t>46510</t>
  </si>
  <si>
    <t>Gustavo Costa Neto</t>
  </si>
  <si>
    <t>313818339ZX9</t>
  </si>
  <si>
    <t>48161</t>
  </si>
  <si>
    <t>Khanna Tovt</t>
  </si>
  <si>
    <t>6308Q080R</t>
  </si>
  <si>
    <t>44841</t>
  </si>
  <si>
    <t>Martim Castro Viana</t>
  </si>
  <si>
    <t>313265976ZY4</t>
  </si>
  <si>
    <t>49253</t>
  </si>
  <si>
    <t>Matilde do Espírito Santo Araújo</t>
  </si>
  <si>
    <t>315397551ZY1</t>
  </si>
  <si>
    <t>48064</t>
  </si>
  <si>
    <t>Renata Jourdan Alves</t>
  </si>
  <si>
    <t>313576823ZX4</t>
  </si>
  <si>
    <t>44580</t>
  </si>
  <si>
    <t>Rodrigo de Sousa Parreira</t>
  </si>
  <si>
    <t>314078576ZY7</t>
  </si>
  <si>
    <t>45037</t>
  </si>
  <si>
    <t>Rodrigo Martins Rodrigues</t>
  </si>
  <si>
    <t>314069453ZY0</t>
  </si>
  <si>
    <t>46653</t>
  </si>
  <si>
    <t>Sara Amorim Bouaziz</t>
  </si>
  <si>
    <t>313605726ZY2</t>
  </si>
  <si>
    <t>48103</t>
  </si>
  <si>
    <t>Stephanier Cavalcanti Lins de Oliveira</t>
  </si>
  <si>
    <t>GD935052</t>
  </si>
  <si>
    <t>49255</t>
  </si>
  <si>
    <t>Valery Espino Silva</t>
  </si>
  <si>
    <t>BD441419</t>
  </si>
  <si>
    <t>48901</t>
  </si>
  <si>
    <t>Mateus Alves da Silva</t>
  </si>
  <si>
    <t>830592V7F</t>
  </si>
  <si>
    <t>49303</t>
  </si>
  <si>
    <t>Bisma Rani</t>
  </si>
  <si>
    <t>28J10836J</t>
  </si>
  <si>
    <t>49321</t>
  </si>
  <si>
    <t>Alma Xiomara Ortiz Salamant</t>
  </si>
  <si>
    <t>AAJ090236</t>
  </si>
  <si>
    <t>43971</t>
  </si>
  <si>
    <t>Guilherme Alves Fernandes</t>
  </si>
  <si>
    <t>311093485ZX0</t>
  </si>
  <si>
    <t>43236</t>
  </si>
  <si>
    <t>Iara Jácome Gigante</t>
  </si>
  <si>
    <t>309845416ZY8</t>
  </si>
  <si>
    <t>45144</t>
  </si>
  <si>
    <t>Inês Azevedo Chaves</t>
  </si>
  <si>
    <t>309924316ZY4</t>
  </si>
  <si>
    <t>49266</t>
  </si>
  <si>
    <t>Inês de Passos Carvalho</t>
  </si>
  <si>
    <t>309078342ZX6</t>
  </si>
  <si>
    <t>48077</t>
  </si>
  <si>
    <t>João César Braz Vieira</t>
  </si>
  <si>
    <t>GB821446</t>
  </si>
  <si>
    <t>45145</t>
  </si>
  <si>
    <t>José Miguel Machado Torres</t>
  </si>
  <si>
    <t>308860985ZY4</t>
  </si>
  <si>
    <t>45104</t>
  </si>
  <si>
    <t>Laura Jorge Videira Dias</t>
  </si>
  <si>
    <t>310691990ZX7</t>
  </si>
  <si>
    <t>43076</t>
  </si>
  <si>
    <t>Leo Lima Barreiros</t>
  </si>
  <si>
    <t>309218470ZW8</t>
  </si>
  <si>
    <t>45153</t>
  </si>
  <si>
    <t>Leonor Cruz Moreira</t>
  </si>
  <si>
    <t>308688147ZX3</t>
  </si>
  <si>
    <t>43077</t>
  </si>
  <si>
    <t>Luna Maria Duarte Neto</t>
  </si>
  <si>
    <t>309974011ZZ8</t>
  </si>
  <si>
    <t>43079</t>
  </si>
  <si>
    <t>Maria Barbosa Teixeira</t>
  </si>
  <si>
    <t>310871719ZX2</t>
  </si>
  <si>
    <t>43081</t>
  </si>
  <si>
    <t>Maria João do Vale Rego</t>
  </si>
  <si>
    <t>310855969ZY1</t>
  </si>
  <si>
    <t>46461</t>
  </si>
  <si>
    <t>Michaella Vieira de Oliveira</t>
  </si>
  <si>
    <t>OP2260L28</t>
  </si>
  <si>
    <t>43084</t>
  </si>
  <si>
    <t>Maria Miguel Malheiro Pereira</t>
  </si>
  <si>
    <t>310022568ZX1</t>
  </si>
  <si>
    <t>45146</t>
  </si>
  <si>
    <t>Martina Soares Liquito</t>
  </si>
  <si>
    <t>309404193ZY6</t>
  </si>
  <si>
    <t>45154</t>
  </si>
  <si>
    <t>Matilde Pinto Vieira</t>
  </si>
  <si>
    <t>309608759ZY8</t>
  </si>
  <si>
    <t>45575</t>
  </si>
  <si>
    <t>Natanael Silva Maia</t>
  </si>
  <si>
    <t>305142020ZY6</t>
  </si>
  <si>
    <t>43244</t>
  </si>
  <si>
    <t>Miguel Alves Fernandes</t>
  </si>
  <si>
    <t>309890578ZX1</t>
  </si>
  <si>
    <t>45139</t>
  </si>
  <si>
    <t>Nélson André do Santo Silva</t>
  </si>
  <si>
    <t>310399912ZX6</t>
  </si>
  <si>
    <t>46915</t>
  </si>
  <si>
    <t>Ruben Dias Franco</t>
  </si>
  <si>
    <t>308049462ZX0</t>
  </si>
  <si>
    <t>45972</t>
  </si>
  <si>
    <t>Anaïs Sousa Dias</t>
  </si>
  <si>
    <t>308692667ZX4</t>
  </si>
  <si>
    <t>46276</t>
  </si>
  <si>
    <t>Ariana Alves Araújo da Cunha</t>
  </si>
  <si>
    <t>311484131ZX7</t>
  </si>
  <si>
    <t>48309</t>
  </si>
  <si>
    <t>Arthur Araújo Camelo de Albuquerque</t>
  </si>
  <si>
    <t>GF691272</t>
  </si>
  <si>
    <t>47602</t>
  </si>
  <si>
    <t>Bruno Roberto Dantas Lima</t>
  </si>
  <si>
    <t>GD094429</t>
  </si>
  <si>
    <t>48291</t>
  </si>
  <si>
    <t>Emanuely Duarte Machado</t>
  </si>
  <si>
    <t>GF320773</t>
  </si>
  <si>
    <t>45096</t>
  </si>
  <si>
    <t>Francisco Rodrigues Pinto</t>
  </si>
  <si>
    <t>310887682ZY2</t>
  </si>
  <si>
    <t>45973</t>
  </si>
  <si>
    <t>Jan Amaral Martins</t>
  </si>
  <si>
    <t>310665361ZX3</t>
  </si>
  <si>
    <t>44597</t>
  </si>
  <si>
    <t>João Araújo Cambão</t>
  </si>
  <si>
    <t>308257669ZX7</t>
  </si>
  <si>
    <t>45150</t>
  </si>
  <si>
    <t>João Pedro Figueiras Marques</t>
  </si>
  <si>
    <t>310368723ZX4</t>
  </si>
  <si>
    <t>48235</t>
  </si>
  <si>
    <t>Levi da Silva e Silva</t>
  </si>
  <si>
    <t>GD642121</t>
  </si>
  <si>
    <t>46924</t>
  </si>
  <si>
    <t>Luca Mark Petrea</t>
  </si>
  <si>
    <t>9T35G1505</t>
  </si>
  <si>
    <t>48303</t>
  </si>
  <si>
    <t>Noah Arantes Leitão</t>
  </si>
  <si>
    <t>70H8154S3</t>
  </si>
  <si>
    <t>48246</t>
  </si>
  <si>
    <t>Noah Lucca Martins de Oliveira</t>
  </si>
  <si>
    <t>GE591431</t>
  </si>
  <si>
    <t>47506</t>
  </si>
  <si>
    <t>Renan Spinola Freitas</t>
  </si>
  <si>
    <t>3P51931L8</t>
  </si>
  <si>
    <t>48741</t>
  </si>
  <si>
    <t>Rossana Victória Paxigina Martins</t>
  </si>
  <si>
    <t>47T36101G</t>
  </si>
  <si>
    <t>45156</t>
  </si>
  <si>
    <t>Sara Gabriela Sousa Pereira</t>
  </si>
  <si>
    <t>309049733ZX2</t>
  </si>
  <si>
    <t>45158</t>
  </si>
  <si>
    <t>Tiago Galvão Gomes</t>
  </si>
  <si>
    <t>310056209ZX1</t>
  </si>
  <si>
    <t>47395</t>
  </si>
  <si>
    <t>Munike Vitória de Oliveira Gomes</t>
  </si>
  <si>
    <t>K03025P05</t>
  </si>
  <si>
    <t>45159</t>
  </si>
  <si>
    <t>Beatriz de Barros Teixeira</t>
  </si>
  <si>
    <t>309061385ZY2</t>
  </si>
  <si>
    <t>43067</t>
  </si>
  <si>
    <t>Carolina Isabel Tristao Borlido Baptista</t>
  </si>
  <si>
    <t>310320089ZY5</t>
  </si>
  <si>
    <t>44560</t>
  </si>
  <si>
    <t>Daniel Álvarez Amorim</t>
  </si>
  <si>
    <t>308418298ZX1</t>
  </si>
  <si>
    <t>42784</t>
  </si>
  <si>
    <t>Dilan Afonso Pereira</t>
  </si>
  <si>
    <t>308870891ZX4</t>
  </si>
  <si>
    <t>43071</t>
  </si>
  <si>
    <t>Diogo Gonçalves da Silva</t>
  </si>
  <si>
    <t>309154863ZY6</t>
  </si>
  <si>
    <t>44840</t>
  </si>
  <si>
    <t>Eduarda Castro Viana</t>
  </si>
  <si>
    <t>309266327ZY7</t>
  </si>
  <si>
    <t>43073</t>
  </si>
  <si>
    <t>Francisco Nuno Esperança Pereira Novo</t>
  </si>
  <si>
    <t>309535484ZY1</t>
  </si>
  <si>
    <t>45098</t>
  </si>
  <si>
    <t>Gonçalo Antunes da Torre Veiga</t>
  </si>
  <si>
    <t>308481100ZX1</t>
  </si>
  <si>
    <t>43620</t>
  </si>
  <si>
    <t>José Varajão Martins</t>
  </si>
  <si>
    <t>310358639ZW6</t>
  </si>
  <si>
    <t>43238</t>
  </si>
  <si>
    <t>Leandro Cruz Garcia</t>
  </si>
  <si>
    <t>310887186ZX6</t>
  </si>
  <si>
    <t>42688</t>
  </si>
  <si>
    <t>Margarida Seixas da Palma</t>
  </si>
  <si>
    <t>308555708ZX2</t>
  </si>
  <si>
    <t>45113</t>
  </si>
  <si>
    <t>Mariana Oliveira Pires</t>
  </si>
  <si>
    <t>309360943ZY6</t>
  </si>
  <si>
    <t>44288</t>
  </si>
  <si>
    <t>Matias de Morais Lages</t>
  </si>
  <si>
    <t>308945310ZW8</t>
  </si>
  <si>
    <t>46892</t>
  </si>
  <si>
    <t>Thor Gonçalves de Souza</t>
  </si>
  <si>
    <t>325556482ZZ3</t>
  </si>
  <si>
    <t>44573</t>
  </si>
  <si>
    <t>Tiago Afonso Costa Moreira</t>
  </si>
  <si>
    <t>311204830ZX3</t>
  </si>
  <si>
    <t>45127</t>
  </si>
  <si>
    <t>Vasco Queirós da Eira</t>
  </si>
  <si>
    <t>310820464ZX7</t>
  </si>
  <si>
    <t>47416</t>
  </si>
  <si>
    <t>Vitória Delmar de Andrade Fernandes</t>
  </si>
  <si>
    <t>310979498ZY2</t>
  </si>
  <si>
    <t>49268</t>
  </si>
  <si>
    <t>Yanne Melo da Silva</t>
  </si>
  <si>
    <t>YF194400</t>
  </si>
  <si>
    <t>49286</t>
  </si>
  <si>
    <t>Arthur de Macêdo Tavares</t>
  </si>
  <si>
    <t>GF738562</t>
  </si>
  <si>
    <t>47623</t>
  </si>
  <si>
    <t>Augusto Campos Goddi</t>
  </si>
  <si>
    <t>GB779615</t>
  </si>
  <si>
    <t>48128</t>
  </si>
  <si>
    <t>Beatriz Ninfa Nogueira Álvares Quintela</t>
  </si>
  <si>
    <t>311192661ZX6</t>
  </si>
  <si>
    <t>43065</t>
  </si>
  <si>
    <t>Beatriz Silva Lima</t>
  </si>
  <si>
    <t>311050743ZX3</t>
  </si>
  <si>
    <t>43096</t>
  </si>
  <si>
    <t>Carolina Filipa Pereiro de Carvalho</t>
  </si>
  <si>
    <t>310069912ZY3</t>
  </si>
  <si>
    <t>48074</t>
  </si>
  <si>
    <t>Dante Nahum Vega Reyes</t>
  </si>
  <si>
    <t>4675V3V55</t>
  </si>
  <si>
    <t>43098</t>
  </si>
  <si>
    <t>David Tiago da Cunha Soares</t>
  </si>
  <si>
    <t>309274460ZX8</t>
  </si>
  <si>
    <t>45529</t>
  </si>
  <si>
    <t>Duarte Gonçalves Veiga</t>
  </si>
  <si>
    <t>310887399ZX5</t>
  </si>
  <si>
    <t>43099</t>
  </si>
  <si>
    <t>Francisco de Castro Meira Silva Rego</t>
  </si>
  <si>
    <t>310715121ZX1</t>
  </si>
  <si>
    <t>43234</t>
  </si>
  <si>
    <t>Gonçalo Lopes Barros</t>
  </si>
  <si>
    <t>309764769ZX9</t>
  </si>
  <si>
    <t>43235</t>
  </si>
  <si>
    <t>Gustavo Presa Fialho</t>
  </si>
  <si>
    <t>310710030ZX9</t>
  </si>
  <si>
    <t>43418</t>
  </si>
  <si>
    <t>João Filipe Fagurel Freitas Mendes</t>
  </si>
  <si>
    <t>309415101ZY6</t>
  </si>
  <si>
    <t>48577</t>
  </si>
  <si>
    <t>Mariana Mariano do Nascimento</t>
  </si>
  <si>
    <t>F57558F79</t>
  </si>
  <si>
    <t>43085</t>
  </si>
  <si>
    <t>Matias Vieira Viana da Rocha</t>
  </si>
  <si>
    <t>309817129ZY1</t>
  </si>
  <si>
    <t>45518</t>
  </si>
  <si>
    <t>Orlando José da Silva Castro do Vale</t>
  </si>
  <si>
    <t>311363822ZX7</t>
  </si>
  <si>
    <t>49267</t>
  </si>
  <si>
    <t>Paika Lévinton Bazerque</t>
  </si>
  <si>
    <t>PAT288969</t>
  </si>
  <si>
    <t>43248</t>
  </si>
  <si>
    <t>Rúben Guilherme Felgueiras Carvalho</t>
  </si>
  <si>
    <t>310369169ZX9</t>
  </si>
  <si>
    <t>45157</t>
  </si>
  <si>
    <t>Sofia Rodrigues Loureiro</t>
  </si>
  <si>
    <t>309505852ZX7</t>
  </si>
  <si>
    <t>43185</t>
  </si>
  <si>
    <t>Vicente Martins da Venda Lira Coelho</t>
  </si>
  <si>
    <t>311308317ZY4</t>
  </si>
  <si>
    <t>49265</t>
  </si>
  <si>
    <t>Anna Clara Basílio Ferreira</t>
  </si>
  <si>
    <t>GE281477</t>
  </si>
  <si>
    <t>45088</t>
  </si>
  <si>
    <t>Benjamim Alberto Viana Pereira Passos</t>
  </si>
  <si>
    <t>309927331ZY0</t>
  </si>
  <si>
    <t>45129</t>
  </si>
  <si>
    <t>Bernardo David Rodrigues de Sousa</t>
  </si>
  <si>
    <t>311320554ZX8</t>
  </si>
  <si>
    <t>45130</t>
  </si>
  <si>
    <t>Diana Isabel Arantes Parente</t>
  </si>
  <si>
    <t>309229618ZX7</t>
  </si>
  <si>
    <t>43231</t>
  </si>
  <si>
    <t>Duarte Moreira Rocha</t>
  </si>
  <si>
    <t>309677688ZX7</t>
  </si>
  <si>
    <t>48075</t>
  </si>
  <si>
    <t>Filipe Alves Rosário</t>
  </si>
  <si>
    <t>309429480ZX0</t>
  </si>
  <si>
    <t>43233</t>
  </si>
  <si>
    <t>Gabriela Filipa Simões Pinheiro</t>
  </si>
  <si>
    <t>309218799ZX8</t>
  </si>
  <si>
    <t>48076</t>
  </si>
  <si>
    <t>Gustavo Henrique Vicente de Araújo</t>
  </si>
  <si>
    <t>5000T9T86</t>
  </si>
  <si>
    <t>48274</t>
  </si>
  <si>
    <t>Lavínia Pereira Vargas da Silva</t>
  </si>
  <si>
    <t>GC889840</t>
  </si>
  <si>
    <t>43100</t>
  </si>
  <si>
    <t>Leonor Fornelos Sousa</t>
  </si>
  <si>
    <t>311116566ZX0</t>
  </si>
  <si>
    <t>43240</t>
  </si>
  <si>
    <t>Leonor Moreira Barbosa</t>
  </si>
  <si>
    <t>309282993ZX8</t>
  </si>
  <si>
    <t>43245</t>
  </si>
  <si>
    <t>Miguel Freitas Sá Fernandes</t>
  </si>
  <si>
    <t>309137365ZX6</t>
  </si>
  <si>
    <t>45148</t>
  </si>
  <si>
    <t>Pedro Dinis Dias Cambinas</t>
  </si>
  <si>
    <t>309281946ZX7</t>
  </si>
  <si>
    <t>45140</t>
  </si>
  <si>
    <t>Ricardo Jorge Dinis Enes</t>
  </si>
  <si>
    <t>308562372ZY6</t>
  </si>
  <si>
    <t>43246</t>
  </si>
  <si>
    <t>Rodrigo Correia Carvalhosa</t>
  </si>
  <si>
    <t>309429978ZX3</t>
  </si>
  <si>
    <t>45755</t>
  </si>
  <si>
    <t>Nádia Sofia da Silva Almeida</t>
  </si>
  <si>
    <t>309230063ZX3</t>
  </si>
  <si>
    <t>45980</t>
  </si>
  <si>
    <t>Kaylaine de Freitas Bardasson</t>
  </si>
  <si>
    <t>G796H4246</t>
  </si>
  <si>
    <t>44610</t>
  </si>
  <si>
    <t>Letícia Pinheiro São João</t>
  </si>
  <si>
    <t>305882783zx5</t>
  </si>
  <si>
    <t>48287</t>
  </si>
  <si>
    <t>Luka Hernandes Diniz</t>
  </si>
  <si>
    <t>652V4F045</t>
  </si>
  <si>
    <t>47473</t>
  </si>
  <si>
    <t>Mafalda Freitas Cambão Silva Vasconcelos</t>
  </si>
  <si>
    <t>308490762zy5</t>
  </si>
  <si>
    <t>47522</t>
  </si>
  <si>
    <t>Marcos Vinicius dos Santos Lemos</t>
  </si>
  <si>
    <t>1K0194P97</t>
  </si>
  <si>
    <t>46039</t>
  </si>
  <si>
    <t>Maria Eleonor Vieira e Vila</t>
  </si>
  <si>
    <t>308076079ZX8</t>
  </si>
  <si>
    <t>44600</t>
  </si>
  <si>
    <t>Maria João Moreira Costa</t>
  </si>
  <si>
    <t>307598810ZX7</t>
  </si>
  <si>
    <t>43837</t>
  </si>
  <si>
    <t>Valdemar Santos da Silva</t>
  </si>
  <si>
    <t>302936475ZX1</t>
  </si>
  <si>
    <t>49264</t>
  </si>
  <si>
    <t>Rita Sofia Pontes Miranda</t>
  </si>
  <si>
    <t>306283271ZX4</t>
  </si>
  <si>
    <t>49306</t>
  </si>
  <si>
    <t>Beatriz Barbosa Enes Capeio</t>
  </si>
  <si>
    <t>306608383ZX5</t>
  </si>
  <si>
    <t>49412</t>
  </si>
  <si>
    <t>Vanderson da Silva Santos</t>
  </si>
  <si>
    <t>GK048873</t>
  </si>
  <si>
    <t>46448</t>
  </si>
  <si>
    <t>Ana Clara de Souza Bourdon Pereira</t>
  </si>
  <si>
    <t>322177278zy3</t>
  </si>
  <si>
    <t>44613</t>
  </si>
  <si>
    <t>Cristiano Barreira Lima</t>
  </si>
  <si>
    <t>308153120ZX6</t>
  </si>
  <si>
    <t>42676</t>
  </si>
  <si>
    <t>Diogo da Costa Morais</t>
  </si>
  <si>
    <t>307431193ZX9</t>
  </si>
  <si>
    <t>42646</t>
  </si>
  <si>
    <t>Gonçalo Jorge Gomes Marinho</t>
  </si>
  <si>
    <t>308173139zx2</t>
  </si>
  <si>
    <t>46889</t>
  </si>
  <si>
    <t>Inês Maia Rego e Silva</t>
  </si>
  <si>
    <t>306201127ZW9</t>
  </si>
  <si>
    <t>42680</t>
  </si>
  <si>
    <t>Joana Filipa Pereira Oliveira</t>
  </si>
  <si>
    <t>307357619ZX3</t>
  </si>
  <si>
    <t>42681</t>
  </si>
  <si>
    <t>João Ramos Alves</t>
  </si>
  <si>
    <t>306135060ZX1</t>
  </si>
  <si>
    <t>42683</t>
  </si>
  <si>
    <t>Lara da Costa Sampaio</t>
  </si>
  <si>
    <t>307935965ZX1</t>
  </si>
  <si>
    <t>42685</t>
  </si>
  <si>
    <t>Leonor Teixeira da Silva</t>
  </si>
  <si>
    <t>308014944ZX8</t>
  </si>
  <si>
    <t>42687</t>
  </si>
  <si>
    <t>Mafalda Rodrigues Vilarinho</t>
  </si>
  <si>
    <t>308181050ZW3</t>
  </si>
  <si>
    <t>42686</t>
  </si>
  <si>
    <t>Luís Tomás Mendes Gonçalves</t>
  </si>
  <si>
    <t>307743080ZX1</t>
  </si>
  <si>
    <t>47009</t>
  </si>
  <si>
    <t>Rodrigo Guilherme Nogueira Teixeira</t>
  </si>
  <si>
    <t>306477335ZX3</t>
  </si>
  <si>
    <t>44614</t>
  </si>
  <si>
    <t>Rodrigo Miguel Vieira Esteves</t>
  </si>
  <si>
    <t>307741532zy1</t>
  </si>
  <si>
    <t>44615</t>
  </si>
  <si>
    <t>Santiago Dias Gonçalves</t>
  </si>
  <si>
    <t>306277654ZY7</t>
  </si>
  <si>
    <t>42690</t>
  </si>
  <si>
    <t>Vitória Amorim Parente</t>
  </si>
  <si>
    <t>305834363ZY3</t>
  </si>
  <si>
    <t>49327</t>
  </si>
  <si>
    <t>Dário da Costa Afonso Neto</t>
  </si>
  <si>
    <t>PC075304</t>
  </si>
  <si>
    <t>44616</t>
  </si>
  <si>
    <t>Alexandre Dydyuk</t>
  </si>
  <si>
    <t>317792032ZY9</t>
  </si>
  <si>
    <t>42641</t>
  </si>
  <si>
    <t>Diana Viana Oliveira</t>
  </si>
  <si>
    <t>308140567zw6</t>
  </si>
  <si>
    <t>42643</t>
  </si>
  <si>
    <t>Duarte Santiago Quitério Afonso</t>
  </si>
  <si>
    <t>305888374ZY5</t>
  </si>
  <si>
    <t>44618</t>
  </si>
  <si>
    <t>Eva Brito Cunha</t>
  </si>
  <si>
    <t>305690299ZX4</t>
  </si>
  <si>
    <t>44619</t>
  </si>
  <si>
    <t>Francisco Traila Gonçalves</t>
  </si>
  <si>
    <t>308878876ZY5</t>
  </si>
  <si>
    <t>46428</t>
  </si>
  <si>
    <t>Giovana Honda Maeda</t>
  </si>
  <si>
    <t>474637Q0R</t>
  </si>
  <si>
    <t>44624</t>
  </si>
  <si>
    <t>Juliana Maria da Costa Graça</t>
  </si>
  <si>
    <t>307832910ZY9</t>
  </si>
  <si>
    <t>42653</t>
  </si>
  <si>
    <t>Leonor Afonso Barradas</t>
  </si>
  <si>
    <t>308927761zx2</t>
  </si>
  <si>
    <t>42655</t>
  </si>
  <si>
    <t>Leonor Monteiro da Silva Ferreira de Castro</t>
  </si>
  <si>
    <t>306282933ZY8</t>
  </si>
  <si>
    <t>44625</t>
  </si>
  <si>
    <t>Luna Ferreira de Oliveira</t>
  </si>
  <si>
    <t>30578524 9ZX5</t>
  </si>
  <si>
    <t>42657</t>
  </si>
  <si>
    <t>Matilde Fernandes Arezes</t>
  </si>
  <si>
    <t>307097978ZX8</t>
  </si>
  <si>
    <t>44631</t>
  </si>
  <si>
    <t>Rodrigo Neves e Sousa</t>
  </si>
  <si>
    <t>306434342ZX1</t>
  </si>
  <si>
    <t>44633</t>
  </si>
  <si>
    <t>Santiago Rodrigues Gomes</t>
  </si>
  <si>
    <t>308508807ZX0</t>
  </si>
  <si>
    <t>42659</t>
  </si>
  <si>
    <t>Tiago Fernandes Ferreira da Silva</t>
  </si>
  <si>
    <t>306024888ZX9</t>
  </si>
  <si>
    <t>42660</t>
  </si>
  <si>
    <t>Tomás Freitas Costa</t>
  </si>
  <si>
    <t>305822365ZX4</t>
  </si>
  <si>
    <t>42661</t>
  </si>
  <si>
    <t>Tomás Zarcos Costa</t>
  </si>
  <si>
    <t>307428443ZX3</t>
  </si>
  <si>
    <t>42665</t>
  </si>
  <si>
    <t>Alexandre Dinis Fernandes</t>
  </si>
  <si>
    <t>308118090ZX5</t>
  </si>
  <si>
    <t>47483</t>
  </si>
  <si>
    <t>Ana Julia Lima da Silva</t>
  </si>
  <si>
    <t>1Q3947J95</t>
  </si>
  <si>
    <t>42674</t>
  </si>
  <si>
    <t>Ana Paula Fornelos do Carmo</t>
  </si>
  <si>
    <t>305751816ZW3</t>
  </si>
  <si>
    <t>42666</t>
  </si>
  <si>
    <t>Ana Souto Silva</t>
  </si>
  <si>
    <t>308339304ZY1</t>
  </si>
  <si>
    <t>44594</t>
  </si>
  <si>
    <t>Gustavo Nunes Santos</t>
  </si>
  <si>
    <t>308417925ZY8</t>
  </si>
  <si>
    <t>46878</t>
  </si>
  <si>
    <t>Lara Jorge de Sousa e Silva</t>
  </si>
  <si>
    <t>308488539ZX3</t>
  </si>
  <si>
    <t>45975</t>
  </si>
  <si>
    <t>Liz Passos Parada Ferreira</t>
  </si>
  <si>
    <t>325329591ZZ7</t>
  </si>
  <si>
    <t>43103</t>
  </si>
  <si>
    <t>Marta Pereira Lopes</t>
  </si>
  <si>
    <t>308168542zy2</t>
  </si>
  <si>
    <t>44775</t>
  </si>
  <si>
    <t>Rafael Nunes Barros</t>
  </si>
  <si>
    <t>307866734ZZ0</t>
  </si>
  <si>
    <t>48091</t>
  </si>
  <si>
    <t>Santiago Miguel Fernandes Moreira</t>
  </si>
  <si>
    <t>331835959ZZ1</t>
  </si>
  <si>
    <t>42778</t>
  </si>
  <si>
    <t>Mariana Luís da Costa Leite Cabral</t>
  </si>
  <si>
    <t>307623904ZW9</t>
  </si>
  <si>
    <t>42663</t>
  </si>
  <si>
    <t>Afonso Barros Baganha</t>
  </si>
  <si>
    <t>308151712ZX2</t>
  </si>
  <si>
    <t>42677</t>
  </si>
  <si>
    <t>Duarte Miranda Barbosa</t>
  </si>
  <si>
    <t>308916123ZY6</t>
  </si>
  <si>
    <t>48749</t>
  </si>
  <si>
    <t>Fabio Marco François Édouard Lefrançois</t>
  </si>
  <si>
    <t>315569689ZY1</t>
  </si>
  <si>
    <t>41815</t>
  </si>
  <si>
    <t>Isaías Miguel Pinto Silva</t>
  </si>
  <si>
    <t>301864330ZW8</t>
  </si>
  <si>
    <t>48904</t>
  </si>
  <si>
    <t>Samuel Lima Monteiro Gadelha</t>
  </si>
  <si>
    <t>GH19857</t>
  </si>
  <si>
    <t>41972</t>
  </si>
  <si>
    <t>Mateus Correia Esteves</t>
  </si>
  <si>
    <t>305534335zx6</t>
  </si>
  <si>
    <t>42638</t>
  </si>
  <si>
    <t>Ana Leonor Lopes Casimiro</t>
  </si>
  <si>
    <t>307731561ZX4</t>
  </si>
  <si>
    <t>47630</t>
  </si>
  <si>
    <t>Anhelina Sorokina</t>
  </si>
  <si>
    <t>D23035995</t>
  </si>
  <si>
    <t>46877</t>
  </si>
  <si>
    <t>Daniela Azul Fernandes Ortiz</t>
  </si>
  <si>
    <t>AAF518374</t>
  </si>
  <si>
    <t>42652</t>
  </si>
  <si>
    <t>Laura Rachão de Araújo</t>
  </si>
  <si>
    <t>305981994ZX8</t>
  </si>
  <si>
    <t>41805</t>
  </si>
  <si>
    <t>Lucas José Alves Loureiro</t>
  </si>
  <si>
    <t>159143870zy4</t>
  </si>
  <si>
    <t>43083</t>
  </si>
  <si>
    <t>Maria Miguel Baganha de Lima</t>
  </si>
  <si>
    <t>305690531ZX0</t>
  </si>
  <si>
    <t>43091</t>
  </si>
  <si>
    <t>Tomás Ferreira dos Santos Gonçalves</t>
  </si>
  <si>
    <t>308473213ZX2</t>
  </si>
  <si>
    <t>48835</t>
  </si>
  <si>
    <t>Inês Meneses Coimbra</t>
  </si>
  <si>
    <t>308405293zx7</t>
  </si>
  <si>
    <t>44605</t>
  </si>
  <si>
    <t>Bruna Rocha Gandres</t>
  </si>
  <si>
    <t>305782240ZX7</t>
  </si>
  <si>
    <t>48908</t>
  </si>
  <si>
    <t>Milagros Ortiz</t>
  </si>
  <si>
    <t>AAI281987</t>
  </si>
  <si>
    <t>49262</t>
  </si>
  <si>
    <t>Melisha Karki</t>
  </si>
  <si>
    <t>838108T3H</t>
  </si>
  <si>
    <t>46927</t>
  </si>
  <si>
    <t>Anny Gabrielly Almeida Lopes</t>
  </si>
  <si>
    <t>363Q3R590</t>
  </si>
  <si>
    <t>49328</t>
  </si>
  <si>
    <t>Joshua Elias Sanchez</t>
  </si>
  <si>
    <t>655739615</t>
  </si>
  <si>
    <t>49334</t>
  </si>
  <si>
    <t>Vayoleth Valentina Romero Pimienta</t>
  </si>
  <si>
    <t>BC963749</t>
  </si>
  <si>
    <t>43211</t>
  </si>
  <si>
    <t>Alexandre Dias de Sousa</t>
  </si>
  <si>
    <t>301627550ZX7</t>
  </si>
  <si>
    <t>48491</t>
  </si>
  <si>
    <t>Daniel Gonçalves Maciel</t>
  </si>
  <si>
    <t>158559533ZW1</t>
  </si>
  <si>
    <t>49422</t>
  </si>
  <si>
    <t>Diana Mariah Gonçalves</t>
  </si>
  <si>
    <t>327991909ZZ4</t>
  </si>
  <si>
    <t>48958</t>
  </si>
  <si>
    <t>Dinis Rafael Vassalo da Silva</t>
  </si>
  <si>
    <t>159113989ZX0</t>
  </si>
  <si>
    <t>48853</t>
  </si>
  <si>
    <t>Eric Faria Aires</t>
  </si>
  <si>
    <t>305060570ZY8</t>
  </si>
  <si>
    <t>43217</t>
  </si>
  <si>
    <t>Francisco de Sousa Sampaio</t>
  </si>
  <si>
    <t>301673608ZX6</t>
  </si>
  <si>
    <t>48968</t>
  </si>
  <si>
    <t>Inês Pereira Sá</t>
  </si>
  <si>
    <t>301968500ZW1</t>
  </si>
  <si>
    <t>41854</t>
  </si>
  <si>
    <t>João Monteiro da Silva Ferreira de Castro</t>
  </si>
  <si>
    <t>300564465ZX5</t>
  </si>
  <si>
    <t>48973</t>
  </si>
  <si>
    <t>João Rodrigo Amorim Serra</t>
  </si>
  <si>
    <t>300757182ZX3</t>
  </si>
  <si>
    <t>48971</t>
  </si>
  <si>
    <t>Rodrigo de Sá Martins</t>
  </si>
  <si>
    <t>159322537ZX4</t>
  </si>
  <si>
    <t>43162</t>
  </si>
  <si>
    <t>Rodrigo Ribeiro Rocha</t>
  </si>
  <si>
    <t>159601010ZX4</t>
  </si>
  <si>
    <t>49315</t>
  </si>
  <si>
    <t>Tiago Pinheiro Miranda</t>
  </si>
  <si>
    <t>301923795ZX9</t>
  </si>
  <si>
    <t>45840</t>
  </si>
  <si>
    <t>Tomás Lourenço Rodrigues</t>
  </si>
  <si>
    <t>301772614ZW6</t>
  </si>
  <si>
    <t>49063</t>
  </si>
  <si>
    <t>Afonso Teixeira Nogueira</t>
  </si>
  <si>
    <t>159600910ZX6</t>
  </si>
  <si>
    <t>49077</t>
  </si>
  <si>
    <t>Bárbara Fernandes Ribeiro</t>
  </si>
  <si>
    <t>159950759ZX3</t>
  </si>
  <si>
    <t>49064</t>
  </si>
  <si>
    <t>Bruno Miguel da Cunha Silva</t>
  </si>
  <si>
    <t>324098359ZY3</t>
  </si>
  <si>
    <t>49059</t>
  </si>
  <si>
    <t>Catarina José Matos de Sá</t>
  </si>
  <si>
    <t>301469890ZY6</t>
  </si>
  <si>
    <t>49025</t>
  </si>
  <si>
    <t>Emma Sofia Ferreira Martinez</t>
  </si>
  <si>
    <t>159064724ZW2</t>
  </si>
  <si>
    <t>49049</t>
  </si>
  <si>
    <t>Gabriel Martins Araújo</t>
  </si>
  <si>
    <t>159894883ZX0</t>
  </si>
  <si>
    <t>48978</t>
  </si>
  <si>
    <t>Isa Costa Pereira</t>
  </si>
  <si>
    <t>79S7G2176</t>
  </si>
  <si>
    <t>49067</t>
  </si>
  <si>
    <t>Isaac Morais da Rocha</t>
  </si>
  <si>
    <t>159387884ZX2</t>
  </si>
  <si>
    <t>49047</t>
  </si>
  <si>
    <t>João Pedro Neiva e Silva</t>
  </si>
  <si>
    <t>300291345ZW1</t>
  </si>
  <si>
    <t>49080</t>
  </si>
  <si>
    <t>José Luís Lopes Fernandes</t>
  </si>
  <si>
    <t>306319535ZX0</t>
  </si>
  <si>
    <t>41864</t>
  </si>
  <si>
    <t>Maria Dinis Fernandes Oliveira</t>
  </si>
  <si>
    <t>301032084ZX6</t>
  </si>
  <si>
    <t>49056</t>
  </si>
  <si>
    <t>Mariana Gomes de Sá Reis</t>
  </si>
  <si>
    <t>159078180ZX9</t>
  </si>
  <si>
    <t>49062</t>
  </si>
  <si>
    <t>Matilde Costa Marques</t>
  </si>
  <si>
    <t>301662835ZX8</t>
  </si>
  <si>
    <t>49072</t>
  </si>
  <si>
    <t>Rafael Meireis dos Santos</t>
  </si>
  <si>
    <t>301763542ZX8</t>
  </si>
  <si>
    <t>49075</t>
  </si>
  <si>
    <t>Rodrigo Manuel Mesquita Rego</t>
  </si>
  <si>
    <t>159202604ZW9</t>
  </si>
  <si>
    <t>49081</t>
  </si>
  <si>
    <t>Tomás Araújo Velhuco</t>
  </si>
  <si>
    <t>302051082ZX4</t>
  </si>
  <si>
    <t>48118</t>
  </si>
  <si>
    <t>Yann Pires Baptista</t>
  </si>
  <si>
    <t>159715652ZW8</t>
  </si>
  <si>
    <t>49287</t>
  </si>
  <si>
    <t>Joel Gonçalves Rocha</t>
  </si>
  <si>
    <t>301673160ZX8</t>
  </si>
  <si>
    <t>49455</t>
  </si>
  <si>
    <t>Sara Gigante Rufo</t>
  </si>
  <si>
    <t>300939957ZW1</t>
  </si>
  <si>
    <t>49300</t>
  </si>
  <si>
    <t>Hélder Ricardo Gomes Carvalho</t>
  </si>
  <si>
    <t>301892644ZW8</t>
  </si>
  <si>
    <t>49020</t>
  </si>
  <si>
    <t>André de Castro Rufo</t>
  </si>
  <si>
    <t>300865600ZW5</t>
  </si>
  <si>
    <t>48101</t>
  </si>
  <si>
    <t>Arthur da Silva Garcia</t>
  </si>
  <si>
    <t>Q37677J59</t>
  </si>
  <si>
    <t>49320</t>
  </si>
  <si>
    <t>Beatriz Rainho Martins</t>
  </si>
  <si>
    <t>159994152ZX9</t>
  </si>
  <si>
    <t>41859</t>
  </si>
  <si>
    <t>Camila Vieira Viana da Rocha</t>
  </si>
  <si>
    <t>300429282ZX9</t>
  </si>
  <si>
    <t>41863</t>
  </si>
  <si>
    <t>Eva Alves Costa</t>
  </si>
  <si>
    <t>302269703ZX3</t>
  </si>
  <si>
    <t>48751</t>
  </si>
  <si>
    <t>Fernanda Boufleuer Vasata</t>
  </si>
  <si>
    <t>737Q9231J</t>
  </si>
  <si>
    <t>43152</t>
  </si>
  <si>
    <t>Francisca João Costa Freitas</t>
  </si>
  <si>
    <t>301304963ZY0</t>
  </si>
  <si>
    <t>49021</t>
  </si>
  <si>
    <t>Francisco Miguel Pedras Amorim</t>
  </si>
  <si>
    <t>159409187ZX4</t>
  </si>
  <si>
    <t>41940</t>
  </si>
  <si>
    <t>Francisco Vieira Teixeira</t>
  </si>
  <si>
    <t>158633393ZW0</t>
  </si>
  <si>
    <t>41949</t>
  </si>
  <si>
    <t>Gil Gomes Dias</t>
  </si>
  <si>
    <t>300870698ZX0</t>
  </si>
  <si>
    <t>41842</t>
  </si>
  <si>
    <t>Gustavo da Veiga Ferro Meireles</t>
  </si>
  <si>
    <t>301407878ZX8</t>
  </si>
  <si>
    <t>49024</t>
  </si>
  <si>
    <t>Helena Escariz Viana</t>
  </si>
  <si>
    <t>301043035ZY3</t>
  </si>
  <si>
    <t>48603</t>
  </si>
  <si>
    <t>Maria Barros Losa Faria</t>
  </si>
  <si>
    <t>301546967ZW3</t>
  </si>
  <si>
    <t>43140</t>
  </si>
  <si>
    <t>Maria Rui Carvalho Carneiro</t>
  </si>
  <si>
    <t>159815126ZW2</t>
  </si>
  <si>
    <t>41891</t>
  </si>
  <si>
    <t>Mariana da Cruz Costa</t>
  </si>
  <si>
    <t>301328919ZW8</t>
  </si>
  <si>
    <t>44776</t>
  </si>
  <si>
    <t>Martim Rajão de Sousa</t>
  </si>
  <si>
    <t>300494815ZX6</t>
  </si>
  <si>
    <t>49018</t>
  </si>
  <si>
    <t>Matilde Araújo do Vale</t>
  </si>
  <si>
    <t>159408660ZX1</t>
  </si>
  <si>
    <t>49027</t>
  </si>
  <si>
    <t>Matilde Dias do Vale</t>
  </si>
  <si>
    <t>301349371ZY3</t>
  </si>
  <si>
    <t>49014</t>
  </si>
  <si>
    <t>Rafael Luís Dias da Silva</t>
  </si>
  <si>
    <t>300560958ZV7</t>
  </si>
  <si>
    <t>49026</t>
  </si>
  <si>
    <t>Tiago Moreira Vaz</t>
  </si>
  <si>
    <t>300809034ZW6</t>
  </si>
  <si>
    <t>48960</t>
  </si>
  <si>
    <t>Alex Pires dos Santos Meira</t>
  </si>
  <si>
    <t>301961654ZX1</t>
  </si>
  <si>
    <t>48994</t>
  </si>
  <si>
    <t>Bernardo da Silva dos Santos</t>
  </si>
  <si>
    <t>304749648ZW8</t>
  </si>
  <si>
    <t>41831</t>
  </si>
  <si>
    <t>Daniel dos Santos Penela</t>
  </si>
  <si>
    <t>158102681ZW0</t>
  </si>
  <si>
    <t>48996</t>
  </si>
  <si>
    <t>Eduarda Filipa Faria Cruz</t>
  </si>
  <si>
    <t>301720860ZX6</t>
  </si>
  <si>
    <t>49299</t>
  </si>
  <si>
    <t>Hugo Loureiro de Faria</t>
  </si>
  <si>
    <t>159222605ZX0</t>
  </si>
  <si>
    <t>48991</t>
  </si>
  <si>
    <t>Júlia Carolina Faria de Sousa</t>
  </si>
  <si>
    <t>159366852ZX4</t>
  </si>
  <si>
    <t>48975</t>
  </si>
  <si>
    <t>Julia Roberta Maia Maia</t>
  </si>
  <si>
    <t>YF052305</t>
  </si>
  <si>
    <t>48995</t>
  </si>
  <si>
    <t>Leonor Branco Silva</t>
  </si>
  <si>
    <t>159440513ZX2</t>
  </si>
  <si>
    <t>48982</t>
  </si>
  <si>
    <t>Diogo Barbosa Araújo</t>
  </si>
  <si>
    <t>300487541ZY5</t>
  </si>
  <si>
    <t>49002</t>
  </si>
  <si>
    <t>Mariana Catarino Dias</t>
  </si>
  <si>
    <t>300939337ZW6</t>
  </si>
  <si>
    <t>48997</t>
  </si>
  <si>
    <t>Martim Barbosa Mesquita</t>
  </si>
  <si>
    <t>302260579ZX6</t>
  </si>
  <si>
    <t>49005</t>
  </si>
  <si>
    <t>Matilde Coutada Barbosa</t>
  </si>
  <si>
    <t>159633370ZX4</t>
  </si>
  <si>
    <t>48535</t>
  </si>
  <si>
    <t>Matilde Mesquita Novo</t>
  </si>
  <si>
    <t>159799490ZW2</t>
  </si>
  <si>
    <t>43923</t>
  </si>
  <si>
    <t>Rafael Cruzeiro Freijanes</t>
  </si>
  <si>
    <t>158115988ZX2</t>
  </si>
  <si>
    <t>49003</t>
  </si>
  <si>
    <t>Rodrigo Queirós Carvalho</t>
  </si>
  <si>
    <t>159265851ZX8</t>
  </si>
  <si>
    <t>48984</t>
  </si>
  <si>
    <t>Ana Rita Rodrigues Barros</t>
  </si>
  <si>
    <t>301017913ZX5</t>
  </si>
  <si>
    <t>48983</t>
  </si>
  <si>
    <t>Andre Cunha Neiva</t>
  </si>
  <si>
    <t>159803250ZW4</t>
  </si>
  <si>
    <t>49317</t>
  </si>
  <si>
    <t>André Lima Rocha da Silva Bandeira</t>
  </si>
  <si>
    <t>301411158ZW1</t>
  </si>
  <si>
    <t>41812</t>
  </si>
  <si>
    <t>Carolina Rodrigues Gomes</t>
  </si>
  <si>
    <t>300038763ZX1</t>
  </si>
  <si>
    <t>41858</t>
  </si>
  <si>
    <t>Dalila Mónica Amorim Lima Gaspar dos Santos</t>
  </si>
  <si>
    <t>300611420ZX3</t>
  </si>
  <si>
    <t>48979</t>
  </si>
  <si>
    <t>Daniel Fernandes Arezes</t>
  </si>
  <si>
    <t>159322464ZW3</t>
  </si>
  <si>
    <t>48495</t>
  </si>
  <si>
    <t>Edgar Miranda Cunha</t>
  </si>
  <si>
    <t>156907496ZX2</t>
  </si>
  <si>
    <t>49396</t>
  </si>
  <si>
    <t>Enzo Fernandes da Rocha</t>
  </si>
  <si>
    <t>156907003ZX6</t>
  </si>
  <si>
    <t>48965</t>
  </si>
  <si>
    <t>Filipa Salgado Neves</t>
  </si>
  <si>
    <t>300741154ZW3</t>
  </si>
  <si>
    <t>48980</t>
  </si>
  <si>
    <t>Lara Silva Vieira</t>
  </si>
  <si>
    <t>302003967ZX5</t>
  </si>
  <si>
    <t>48977</t>
  </si>
  <si>
    <t>Leonardo Santos Dias</t>
  </si>
  <si>
    <t>159941091ZX3</t>
  </si>
  <si>
    <t>48974</t>
  </si>
  <si>
    <t>Luana Pereira Amaral</t>
  </si>
  <si>
    <t>159351197ZX1</t>
  </si>
  <si>
    <t>48972</t>
  </si>
  <si>
    <t>Maria Clara Duro da Rocha</t>
  </si>
  <si>
    <t>159675065ZW1</t>
  </si>
  <si>
    <t>48970</t>
  </si>
  <si>
    <t>Maria Macedo Gomes</t>
  </si>
  <si>
    <t>159614929ZX0</t>
  </si>
  <si>
    <t>49004</t>
  </si>
  <si>
    <t>Mariana Rocha Gonçalves</t>
  </si>
  <si>
    <t>300934459ZX1</t>
  </si>
  <si>
    <t>41855</t>
  </si>
  <si>
    <t>Marta da Silva Martins</t>
  </si>
  <si>
    <t>300327617ZW1</t>
  </si>
  <si>
    <t>41800</t>
  </si>
  <si>
    <t>Matilde Alexandra Silva Cerqueira</t>
  </si>
  <si>
    <t>157628418ZX2</t>
  </si>
  <si>
    <t>49387</t>
  </si>
  <si>
    <t>Tomás Lário Franco</t>
  </si>
  <si>
    <t>159028426ZW9</t>
  </si>
  <si>
    <t>48967</t>
  </si>
  <si>
    <t>Inês Fernandes Morgado</t>
  </si>
  <si>
    <t>301928010ZX8</t>
  </si>
  <si>
    <t>48482</t>
  </si>
  <si>
    <t>Beatriz Balester Mesquita Pereira</t>
  </si>
  <si>
    <t>158337824ZX1</t>
  </si>
  <si>
    <t>48993</t>
  </si>
  <si>
    <t>Dânia Afonso Pereira</t>
  </si>
  <si>
    <t>159297206ZX7</t>
  </si>
  <si>
    <t>48924</t>
  </si>
  <si>
    <t>Débora Soraia Pedra Reis</t>
  </si>
  <si>
    <t>300900392ZW6</t>
  </si>
  <si>
    <t>48920</t>
  </si>
  <si>
    <t>Gonçalo Azevedo Miranda</t>
  </si>
  <si>
    <t>157494454ZX8</t>
  </si>
  <si>
    <t>48963</t>
  </si>
  <si>
    <t>Henrique Costa Birra</t>
  </si>
  <si>
    <t>158864476ZX1</t>
  </si>
  <si>
    <t>41823</t>
  </si>
  <si>
    <t>Inês Beatriz Rodrigues da Silva</t>
  </si>
  <si>
    <t>301114153ZX0</t>
  </si>
  <si>
    <t>48925</t>
  </si>
  <si>
    <t>Joana Carvalho da Costa</t>
  </si>
  <si>
    <t>301937591ZY4</t>
  </si>
  <si>
    <t>48927</t>
  </si>
  <si>
    <t>Mariana Daniela de Castro Faria</t>
  </si>
  <si>
    <t>301488223ZX9</t>
  </si>
  <si>
    <t>41824</t>
  </si>
  <si>
    <t>Mariana de Sousa Rodrigues</t>
  </si>
  <si>
    <t>312579837ZX3</t>
  </si>
  <si>
    <t>46045</t>
  </si>
  <si>
    <t>Marta Carrapito Teibão</t>
  </si>
  <si>
    <t>159582660ZY7</t>
  </si>
  <si>
    <t>48520</t>
  </si>
  <si>
    <t>Matilde Neiva Santos</t>
  </si>
  <si>
    <t>155689380ZX4</t>
  </si>
  <si>
    <t>43226</t>
  </si>
  <si>
    <t>Tomás Fernandes Cadilha</t>
  </si>
  <si>
    <t>301435090ZX6</t>
  </si>
  <si>
    <t>48922</t>
  </si>
  <si>
    <t>Ana Sofia de Sá Costa</t>
  </si>
  <si>
    <t>159395925ZX3</t>
  </si>
  <si>
    <t>48771</t>
  </si>
  <si>
    <t>Beatriz de Barros Esteves</t>
  </si>
  <si>
    <t>158233476ZX5</t>
  </si>
  <si>
    <t>48571</t>
  </si>
  <si>
    <t>Madalena Gonçalves Arieiro</t>
  </si>
  <si>
    <t>157404137ZX8</t>
  </si>
  <si>
    <t>48592</t>
  </si>
  <si>
    <t>Maria Victorino Pereira</t>
  </si>
  <si>
    <t>158334604ZX0</t>
  </si>
  <si>
    <t>48930</t>
  </si>
  <si>
    <t>Adriana Leite Castro</t>
  </si>
  <si>
    <t>158550382ZW2</t>
  </si>
  <si>
    <t>49304</t>
  </si>
  <si>
    <t>Alina Buiukli</t>
  </si>
  <si>
    <t>24H13006485</t>
  </si>
  <si>
    <t>41884</t>
  </si>
  <si>
    <t>Ariana Moreira da Silva</t>
  </si>
  <si>
    <t>159107741ZX3</t>
  </si>
  <si>
    <t>48931</t>
  </si>
  <si>
    <t>Beatriz Matos Martins</t>
  </si>
  <si>
    <t>159171920ZX4</t>
  </si>
  <si>
    <t>48705</t>
  </si>
  <si>
    <t>Camila Valinho Gonçalves</t>
  </si>
  <si>
    <t>301320446ZX8</t>
  </si>
  <si>
    <t>48935</t>
  </si>
  <si>
    <t>Carolina Holbrich Koprowski</t>
  </si>
  <si>
    <t>R534Q9007</t>
  </si>
  <si>
    <t>49028</t>
  </si>
  <si>
    <t>Diogo Salgueiro Faustino</t>
  </si>
  <si>
    <t>302298223ZW9</t>
  </si>
  <si>
    <t>43151</t>
  </si>
  <si>
    <t>Érica Besard Cunha</t>
  </si>
  <si>
    <t>159899974ZW4</t>
  </si>
  <si>
    <t>49294</t>
  </si>
  <si>
    <t>Gabriel Martinez da Silva Ferreira</t>
  </si>
  <si>
    <t>4542Q110R</t>
  </si>
  <si>
    <t>48932</t>
  </si>
  <si>
    <t>Gabriel Vital Correia</t>
  </si>
  <si>
    <t>158598580ZX3</t>
  </si>
  <si>
    <t>48933</t>
  </si>
  <si>
    <t>Gonçalo Manuel Castro Marques</t>
  </si>
  <si>
    <t>159256100ZX1</t>
  </si>
  <si>
    <t>48936</t>
  </si>
  <si>
    <t>Lara Sampaio Brás</t>
  </si>
  <si>
    <t>159369088ZW4</t>
  </si>
  <si>
    <t>41846</t>
  </si>
  <si>
    <t>Luciana Carvalho de Sousa</t>
  </si>
  <si>
    <t>300466528ZX9</t>
  </si>
  <si>
    <t>42610</t>
  </si>
  <si>
    <t>Mafalda Fornelos de Sousa</t>
  </si>
  <si>
    <t>300582935ZW7</t>
  </si>
  <si>
    <t>41860</t>
  </si>
  <si>
    <t>Matilde Antas de Brito Cadilha</t>
  </si>
  <si>
    <t>302084894ZX3</t>
  </si>
  <si>
    <t>49293</t>
  </si>
  <si>
    <t>Núria Freitas Morais</t>
  </si>
  <si>
    <t>159851254ZX5</t>
  </si>
  <si>
    <t>49441</t>
  </si>
  <si>
    <t>Raquel Oliveira de Magalhães</t>
  </si>
  <si>
    <t>322028949ZY0</t>
  </si>
  <si>
    <t>48598</t>
  </si>
  <si>
    <t>Rodrigo Pereira Rolo</t>
  </si>
  <si>
    <t>155646214ZX7</t>
  </si>
  <si>
    <t>49074</t>
  </si>
  <si>
    <t>Adriana Parente Meneses</t>
  </si>
  <si>
    <t>159821754ZX1</t>
  </si>
  <si>
    <t>43148</t>
  </si>
  <si>
    <t>Alexandre Filipe Isidro Silva</t>
  </si>
  <si>
    <t>159059291ZX7</t>
  </si>
  <si>
    <t>45670</t>
  </si>
  <si>
    <t>Andreia Filipa Gomes Ferreira</t>
  </si>
  <si>
    <t>301558809ZX0</t>
  </si>
  <si>
    <t>48947</t>
  </si>
  <si>
    <t>Andreia Franco Landeira</t>
  </si>
  <si>
    <t>300997310ZX0</t>
  </si>
  <si>
    <t>42667</t>
  </si>
  <si>
    <t>Beatriz de Sousa Parreira</t>
  </si>
  <si>
    <t>303700432ZW6</t>
  </si>
  <si>
    <t>49335</t>
  </si>
  <si>
    <t>Carolina dos Santos Gonçalves</t>
  </si>
  <si>
    <t>301439940ZX8</t>
  </si>
  <si>
    <t>44115</t>
  </si>
  <si>
    <t>Diana Lima Pereira</t>
  </si>
  <si>
    <t>304386081ZW0</t>
  </si>
  <si>
    <t>41897</t>
  </si>
  <si>
    <t>Filipa Freitas Sá Fernandes</t>
  </si>
  <si>
    <t>302247440ZW1</t>
  </si>
  <si>
    <t>48946</t>
  </si>
  <si>
    <t>Francisca Martins Paiva e Costa</t>
  </si>
  <si>
    <t>156908638ZX8</t>
  </si>
  <si>
    <t>43135</t>
  </si>
  <si>
    <t>Íris Monteiro de Morais</t>
  </si>
  <si>
    <t>301588805ZW4</t>
  </si>
  <si>
    <t>41851</t>
  </si>
  <si>
    <t>Leonor Araújo Franco</t>
  </si>
  <si>
    <t>301820473ZX7</t>
  </si>
  <si>
    <t>48950</t>
  </si>
  <si>
    <t>Luis Miguel Morais Vieira</t>
  </si>
  <si>
    <t>300902000ZX1</t>
  </si>
  <si>
    <t>41896</t>
  </si>
  <si>
    <t>Maria Beatriz Dinis Maia</t>
  </si>
  <si>
    <t>306513757ZX4</t>
  </si>
  <si>
    <t>43168</t>
  </si>
  <si>
    <t>Marisa dos Santos Cachada de Sousa</t>
  </si>
  <si>
    <t>300440103ZY0</t>
  </si>
  <si>
    <t>49092</t>
  </si>
  <si>
    <t>Adriana Silva Marante</t>
  </si>
  <si>
    <t>158336933ZX1</t>
  </si>
  <si>
    <t>49087</t>
  </si>
  <si>
    <t>Afonso Ferreira de Vaz Monteiro</t>
  </si>
  <si>
    <t>301618313ZX1</t>
  </si>
  <si>
    <t>49090</t>
  </si>
  <si>
    <t>Diana Afonso Santos da Silva</t>
  </si>
  <si>
    <t>158241363ZY3</t>
  </si>
  <si>
    <t>49434</t>
  </si>
  <si>
    <t>Evelyn da Silva de Mello</t>
  </si>
  <si>
    <t>GJ477921</t>
  </si>
  <si>
    <t>47599</t>
  </si>
  <si>
    <t>Hadassah Rebeca dos Santos Ramos</t>
  </si>
  <si>
    <t>9R2R68200</t>
  </si>
  <si>
    <t>41850</t>
  </si>
  <si>
    <t>Henrique Eira Rodrigues</t>
  </si>
  <si>
    <t>301327076ZX6</t>
  </si>
  <si>
    <t>48897</t>
  </si>
  <si>
    <t>Jazmin Ariadna Lourdes Salamant Soto</t>
  </si>
  <si>
    <t>AAJ092082</t>
  </si>
  <si>
    <t>49093</t>
  </si>
  <si>
    <t>Lídia Fernanda Silva Barros</t>
  </si>
  <si>
    <t>159645522ZY4</t>
  </si>
  <si>
    <t>49094</t>
  </si>
  <si>
    <t>Mafalda Ribeiro Lages de Almeida</t>
  </si>
  <si>
    <t>159442494ZW5</t>
  </si>
  <si>
    <t>47010</t>
  </si>
  <si>
    <t>Ryan Martins Soncini</t>
  </si>
  <si>
    <t>225L58K36</t>
  </si>
  <si>
    <t>41813</t>
  </si>
  <si>
    <t>Mariana Sciullo Mendes Palma</t>
  </si>
  <si>
    <t>300277792ZY8</t>
  </si>
  <si>
    <t>49467</t>
  </si>
  <si>
    <t>Leandro Vieira Barbosa e Silva</t>
  </si>
  <si>
    <t>326905243ZZ5</t>
  </si>
  <si>
    <t>49471</t>
  </si>
  <si>
    <t>Lourenço Lima Peixoto</t>
  </si>
  <si>
    <t>159166446ZW9</t>
  </si>
  <si>
    <t>49472</t>
  </si>
  <si>
    <t>Luiz Miguel Lousada Prado</t>
  </si>
  <si>
    <t>GF612145</t>
  </si>
  <si>
    <t>48923</t>
  </si>
  <si>
    <t>Bruna Daniela Novais Ramos</t>
  </si>
  <si>
    <t>156517469ZW3</t>
  </si>
  <si>
    <t>43221</t>
  </si>
  <si>
    <t>Jéssica Viegas Fernandes</t>
  </si>
  <si>
    <t>159079527ZW2</t>
  </si>
  <si>
    <t>49082</t>
  </si>
  <si>
    <t>Regina Arezes da Costa</t>
  </si>
  <si>
    <t>300043503ZW6</t>
  </si>
  <si>
    <t>41869</t>
  </si>
  <si>
    <t>Daniela Pinto Gomes</t>
  </si>
  <si>
    <t>302331123ZY6</t>
  </si>
  <si>
    <t>48318</t>
  </si>
  <si>
    <t>Nicolas Soares Abreu</t>
  </si>
  <si>
    <t>S3102020G</t>
  </si>
  <si>
    <t>49445</t>
  </si>
  <si>
    <t>Bráulio Filipe Lima de Sousa dos Ramos</t>
  </si>
  <si>
    <t>PC049874</t>
  </si>
  <si>
    <t>45807</t>
  </si>
  <si>
    <t>Rafael Alves Fernandes</t>
  </si>
  <si>
    <t>311027555ZX1</t>
  </si>
  <si>
    <t>45800</t>
  </si>
  <si>
    <t>Eva Passos Alheira</t>
  </si>
  <si>
    <t>312903545ZX9</t>
  </si>
  <si>
    <t>46460</t>
  </si>
  <si>
    <t>Calleb Vieira de Oliveira</t>
  </si>
  <si>
    <t>060k1790L</t>
  </si>
  <si>
    <t>43961</t>
  </si>
  <si>
    <t>Gonçalo Carvalho Torres</t>
  </si>
  <si>
    <t>311577806ZX2</t>
  </si>
  <si>
    <t>43944</t>
  </si>
  <si>
    <t>Martim Ferreira Ramos</t>
  </si>
  <si>
    <t>313229619ZW9</t>
  </si>
  <si>
    <t>43945</t>
  </si>
  <si>
    <t>Martim Pires Vieira</t>
  </si>
  <si>
    <t>313082413ZX1</t>
  </si>
  <si>
    <t>48236</t>
  </si>
  <si>
    <t>Leonel Emanuel Cordeiro Sêco</t>
  </si>
  <si>
    <t>336804172ZZ7</t>
  </si>
  <si>
    <t>49402</t>
  </si>
  <si>
    <t>Miguel José Silva Nascimento</t>
  </si>
  <si>
    <t>GG671408</t>
  </si>
  <si>
    <t>45806</t>
  </si>
  <si>
    <t>Letícia Fernandes Gonçalves</t>
  </si>
  <si>
    <t>312975082ZX6</t>
  </si>
  <si>
    <t>43930</t>
  </si>
  <si>
    <t>João Barros Ribeiro</t>
  </si>
  <si>
    <t>311957633ZX0</t>
  </si>
  <si>
    <t>44562</t>
  </si>
  <si>
    <t>DéboraDébora Patrícia Lopes Rei</t>
  </si>
  <si>
    <t>313506299ZX2</t>
  </si>
  <si>
    <t>45793</t>
  </si>
  <si>
    <t>Renato de Passos Dinis</t>
  </si>
  <si>
    <t>313544581ZX7</t>
  </si>
  <si>
    <t>44363</t>
  </si>
  <si>
    <t>Leonor Gonçalves Lomba</t>
  </si>
  <si>
    <t>312960409zx8</t>
  </si>
  <si>
    <t>44815</t>
  </si>
  <si>
    <t>Carlos Alberto Sampaio Barbosa</t>
  </si>
  <si>
    <t>312083777ZX0</t>
  </si>
  <si>
    <t>43958</t>
  </si>
  <si>
    <t>Matilde Sampaio de Barros</t>
  </si>
  <si>
    <t>313356556ZX6</t>
  </si>
  <si>
    <t>43947</t>
  </si>
  <si>
    <t>Rafael Barbosa de Sá</t>
  </si>
  <si>
    <t>312531478ZY1</t>
  </si>
  <si>
    <t>45818</t>
  </si>
  <si>
    <t>Marisol Lima Viana</t>
  </si>
  <si>
    <t>311908306ZY1</t>
  </si>
  <si>
    <t>45804</t>
  </si>
  <si>
    <t>Sara Filipa Domingues de Sousa</t>
  </si>
  <si>
    <t>313695369ZW6</t>
  </si>
  <si>
    <t>47613</t>
  </si>
  <si>
    <t>Weslley Teófilo dos Santos</t>
  </si>
  <si>
    <t>251831</t>
  </si>
  <si>
    <t>49442</t>
  </si>
  <si>
    <t>Eduarda Barbosa Gonçalves</t>
  </si>
  <si>
    <t>GE839474</t>
  </si>
  <si>
    <t>45041</t>
  </si>
  <si>
    <t>Frederico Gil de Vieira Esteves</t>
  </si>
  <si>
    <t>312692030ZX7</t>
  </si>
  <si>
    <t>43070</t>
  </si>
  <si>
    <t>Diana Ferreira Neiva</t>
  </si>
  <si>
    <t>311185207ZX7</t>
  </si>
  <si>
    <t>45805</t>
  </si>
  <si>
    <t>Tomás Cruz Moreira</t>
  </si>
  <si>
    <t>312859759ZX0</t>
  </si>
  <si>
    <t>47019</t>
  </si>
  <si>
    <t>Bernardo de Amorim Silva Porto</t>
  </si>
  <si>
    <t>42S9S5574</t>
  </si>
  <si>
    <t>44301</t>
  </si>
  <si>
    <t>Lucas dos Santos Silva</t>
  </si>
  <si>
    <t>311114938ZY1</t>
  </si>
  <si>
    <t>43932</t>
  </si>
  <si>
    <t>Mauro Cadilha da Rocha</t>
  </si>
  <si>
    <t>311251293ZY4</t>
  </si>
  <si>
    <t>45784</t>
  </si>
  <si>
    <t>Tiago Carvalho Pereira</t>
  </si>
  <si>
    <t>312011750ZY2</t>
  </si>
  <si>
    <t>46888</t>
  </si>
  <si>
    <t>Sofia Maia Rego e Silva</t>
  </si>
  <si>
    <t>312524897zx3</t>
  </si>
  <si>
    <t>45778</t>
  </si>
  <si>
    <t>Celine Silveira de Sá</t>
  </si>
  <si>
    <t>311371477zx0</t>
  </si>
  <si>
    <t>46904</t>
  </si>
  <si>
    <t>Yadiel de Jesus de La Cruz Sierra</t>
  </si>
  <si>
    <t>229254888</t>
  </si>
  <si>
    <t>49256</t>
  </si>
  <si>
    <t>Alice Omena da Silva Alves</t>
  </si>
  <si>
    <t>Gb035321</t>
  </si>
  <si>
    <t>48729</t>
  </si>
  <si>
    <t>Lili Francisca Antonia Bezier</t>
  </si>
  <si>
    <t>22IE33523</t>
  </si>
  <si>
    <t>43956</t>
  </si>
  <si>
    <t>Maria Leonor Vaz Rebelo</t>
  </si>
  <si>
    <t>312788959ZX2</t>
  </si>
  <si>
    <t>47421</t>
  </si>
  <si>
    <t>Vinicius dos Santos Lima</t>
  </si>
  <si>
    <t>624Q615R5</t>
  </si>
  <si>
    <t>43967</t>
  </si>
  <si>
    <t>Matilde Vieira da Costa</t>
  </si>
  <si>
    <t>313406596ZX2</t>
  </si>
  <si>
    <t>43940</t>
  </si>
  <si>
    <t>Fábio Mota Cambão</t>
  </si>
  <si>
    <t>312680139ZY8</t>
  </si>
  <si>
    <t>48833</t>
  </si>
  <si>
    <t>Juliann da Silva Gomes</t>
  </si>
  <si>
    <t>333754417ZZ3</t>
  </si>
  <si>
    <t>49425</t>
  </si>
  <si>
    <t>Raphaelle Silva Morais</t>
  </si>
  <si>
    <t>GJ738492</t>
  </si>
  <si>
    <t>43942</t>
  </si>
  <si>
    <t>Mara Coutinho Amorim Rodrigues</t>
  </si>
  <si>
    <t>312344724ZX7</t>
  </si>
  <si>
    <t>45801</t>
  </si>
  <si>
    <t>Rodrigo de Sousa Martins</t>
  </si>
  <si>
    <t>313107785ZX3</t>
  </si>
  <si>
    <t>45163</t>
  </si>
  <si>
    <t>Anaís Fernandes Cunha Lima Marques</t>
  </si>
  <si>
    <t>312238371ZY4</t>
  </si>
  <si>
    <t>45786</t>
  </si>
  <si>
    <t>Francisco de Brito Pinheiro</t>
  </si>
  <si>
    <t>313048851ZX5</t>
  </si>
  <si>
    <t>48728</t>
  </si>
  <si>
    <t>Alíria Etelvina Ilídio Nhunga</t>
  </si>
  <si>
    <t>N2854527</t>
  </si>
  <si>
    <t>45821</t>
  </si>
  <si>
    <t>Tomás Lima Rodrigues</t>
  </si>
  <si>
    <t>311083862ZX2</t>
  </si>
  <si>
    <t>48695</t>
  </si>
  <si>
    <t>Ìris Anouk de Carvalho Mendes</t>
  </si>
  <si>
    <t>312745370ZY2</t>
  </si>
  <si>
    <t>46891</t>
  </si>
  <si>
    <t>Ana Maria Quiadituala Enes do Vale</t>
  </si>
  <si>
    <t>324731329ZZ7</t>
  </si>
  <si>
    <t>49257</t>
  </si>
  <si>
    <t>Mariana Silva Lopes</t>
  </si>
  <si>
    <t>312644400ZX1</t>
  </si>
  <si>
    <t>49258</t>
  </si>
  <si>
    <t>Rodas Karki</t>
  </si>
  <si>
    <t>6001GT721</t>
  </si>
  <si>
    <t>47394</t>
  </si>
  <si>
    <t>Laura Kathellen Ferreira Gomes</t>
  </si>
  <si>
    <t>02774VV91</t>
  </si>
  <si>
    <t>46466</t>
  </si>
  <si>
    <t>Rodrigo Filipe Gomes Maurício</t>
  </si>
  <si>
    <t>312903596ZY0</t>
  </si>
  <si>
    <t>44921</t>
  </si>
  <si>
    <t>João Maia de Barros Pereira</t>
  </si>
  <si>
    <t>312274920ZX5</t>
  </si>
  <si>
    <t>47027</t>
  </si>
  <si>
    <t>Emanuelly Vitoria Gonçalves Leandro</t>
  </si>
  <si>
    <t>8837R6R65</t>
  </si>
  <si>
    <t>46273</t>
  </si>
  <si>
    <t>Gabriel Amorim Barreiras</t>
  </si>
  <si>
    <t>311527876ZX6</t>
  </si>
  <si>
    <t>47481</t>
  </si>
  <si>
    <t>Eloy Zhao Ying</t>
  </si>
  <si>
    <t>4P7539L03</t>
  </si>
  <si>
    <t>45814</t>
  </si>
  <si>
    <t>Ivan de Jesus Correia Matos</t>
  </si>
  <si>
    <t>312187963ZX1</t>
  </si>
  <si>
    <t>45802</t>
  </si>
  <si>
    <t>Afonso Sousa Peres</t>
  </si>
  <si>
    <t>312378297ZX3</t>
  </si>
  <si>
    <t>45792</t>
  </si>
  <si>
    <t>Afonso da Mota Couto Fontes</t>
  </si>
  <si>
    <t>312965656ZX9</t>
  </si>
  <si>
    <t>45822</t>
  </si>
  <si>
    <t>Andi Jin</t>
  </si>
  <si>
    <t>45RR28529</t>
  </si>
  <si>
    <t>47612</t>
  </si>
  <si>
    <t>Daniel Jonas Souza Alves Júnior</t>
  </si>
  <si>
    <t>T0S727353</t>
  </si>
  <si>
    <t>45811</t>
  </si>
  <si>
    <t>Karina Andreea Andronache</t>
  </si>
  <si>
    <t>8540T93T5</t>
  </si>
  <si>
    <t>45803</t>
  </si>
  <si>
    <t>Rodrigo Dias de Sousa</t>
  </si>
  <si>
    <t>312449984ZX1</t>
  </si>
  <si>
    <t>48457</t>
  </si>
  <si>
    <t>Sílvia Alves Rosário</t>
  </si>
  <si>
    <t>313584559ZX4</t>
  </si>
  <si>
    <t>43939</t>
  </si>
  <si>
    <t>Ana Moreira Amorim</t>
  </si>
  <si>
    <t>312630042ZX7</t>
  </si>
  <si>
    <t>43950</t>
  </si>
  <si>
    <t>Ariana da Cunha Domingos</t>
  </si>
  <si>
    <t>313518858ZX1</t>
  </si>
  <si>
    <t>45761</t>
  </si>
  <si>
    <t>Leo Ferreira Teixeira</t>
  </si>
  <si>
    <t>312976810ZX9</t>
  </si>
  <si>
    <t>43960</t>
  </si>
  <si>
    <t>Gabriel Filipe Rodrigues da Silva</t>
  </si>
  <si>
    <t>312260148ZX9</t>
  </si>
  <si>
    <t>48071</t>
  </si>
  <si>
    <t>Valente Pittella Teixeira</t>
  </si>
  <si>
    <t>312030533ZX1</t>
  </si>
  <si>
    <t>48456</t>
  </si>
  <si>
    <t>Numan Muhammad</t>
  </si>
  <si>
    <t>85JR46755</t>
  </si>
  <si>
    <t>48233</t>
  </si>
  <si>
    <t>Emilly Amorim Straubel</t>
  </si>
  <si>
    <t>98H3438G2</t>
  </si>
  <si>
    <t>48067</t>
  </si>
  <si>
    <t>João Augusto Rossi</t>
  </si>
  <si>
    <t>YF070286</t>
  </si>
  <si>
    <t>43953</t>
  </si>
  <si>
    <t>Ester Rachão de Araújo</t>
  </si>
  <si>
    <t>312946813ZY8</t>
  </si>
  <si>
    <t>45787</t>
  </si>
  <si>
    <t>Helena Rizzo Rodrigues</t>
  </si>
  <si>
    <t>316858749zy1</t>
  </si>
  <si>
    <t>49474</t>
  </si>
  <si>
    <t>Eloísa Vitória Ramos Evaristo</t>
  </si>
  <si>
    <t>GD302504</t>
  </si>
  <si>
    <t>45785</t>
  </si>
  <si>
    <t>Sofia Fernandes Vaz</t>
  </si>
  <si>
    <t>313207925ZX4</t>
  </si>
  <si>
    <t>49475</t>
  </si>
  <si>
    <t>Manuelly Ferreira Gonçalves</t>
  </si>
  <si>
    <t>GK164223</t>
  </si>
  <si>
    <t>44807</t>
  </si>
  <si>
    <t>Bernardo Romeu de Alpuim</t>
  </si>
  <si>
    <t>313466335ZX2</t>
  </si>
  <si>
    <t>46392</t>
  </si>
  <si>
    <t>Thalita Radaça de Jesus Menezes</t>
  </si>
  <si>
    <t>YF122096</t>
  </si>
  <si>
    <t>47597</t>
  </si>
  <si>
    <t>Kaio Sérgio de Jesus</t>
  </si>
  <si>
    <t>678T2146T</t>
  </si>
  <si>
    <t>48722</t>
  </si>
  <si>
    <t>Aabilash Shrestha</t>
  </si>
  <si>
    <t>8J69379J7</t>
  </si>
  <si>
    <t>49601</t>
  </si>
  <si>
    <t>Ewan Alexandre Medeiros Fernandes</t>
  </si>
  <si>
    <t>312420005ZX8</t>
  </si>
  <si>
    <t>48218</t>
  </si>
  <si>
    <t>Sofia Louise Barros da Silva</t>
  </si>
  <si>
    <t>92406G6G8</t>
  </si>
  <si>
    <t>46926</t>
  </si>
  <si>
    <t>Marina Ferro Hartl</t>
  </si>
  <si>
    <t>6P97921K7</t>
  </si>
  <si>
    <t>49602</t>
  </si>
  <si>
    <t>Rebeca de Souza Abreu</t>
  </si>
  <si>
    <t>GD978425</t>
  </si>
  <si>
    <t>49603</t>
  </si>
  <si>
    <t>Daniel Dias Sousa</t>
  </si>
  <si>
    <t>311358497ZX5</t>
  </si>
  <si>
    <t>43926</t>
  </si>
  <si>
    <t>Gabriel Reis da Silva</t>
  </si>
  <si>
    <t>312342381Zx8</t>
  </si>
  <si>
    <t>46275</t>
  </si>
  <si>
    <t>Yrinna Alves Araújo da Cunha</t>
  </si>
  <si>
    <t>316473030ZY1</t>
  </si>
  <si>
    <t>45142</t>
  </si>
  <si>
    <t>Arina Ilchyshyna</t>
  </si>
  <si>
    <t>333551540ZZ7</t>
  </si>
  <si>
    <t>45790</t>
  </si>
  <si>
    <t>Maria Rizzo Rodrigues</t>
  </si>
  <si>
    <t>316858676ZY6</t>
  </si>
  <si>
    <t>43951</t>
  </si>
  <si>
    <t>Diana Rocha Cruz</t>
  </si>
  <si>
    <t>312030703ZY8</t>
  </si>
  <si>
    <t>49604</t>
  </si>
  <si>
    <t>Jonathan Alexis Sanchez Escobar</t>
  </si>
  <si>
    <t>AZ640187</t>
  </si>
  <si>
    <t>49606</t>
  </si>
  <si>
    <t>Sofia Assumpção Moreira da Silva</t>
  </si>
  <si>
    <t>GH301142</t>
  </si>
  <si>
    <t>49607</t>
  </si>
  <si>
    <t>Arthur Williams Ribeiro Saraiva da Silva</t>
  </si>
  <si>
    <t>GG291428</t>
  </si>
  <si>
    <t>43966</t>
  </si>
  <si>
    <t>Matilde Sciullo Mendes Palma</t>
  </si>
  <si>
    <t>313348634ZY0</t>
  </si>
  <si>
    <t>49610</t>
  </si>
  <si>
    <t>Martim Machado Correia</t>
  </si>
  <si>
    <t>307240630zx1</t>
  </si>
  <si>
    <t>49611</t>
  </si>
  <si>
    <t>Rúben Salgado Pinheiro</t>
  </si>
  <si>
    <t>306509474ZX2</t>
  </si>
  <si>
    <t>49614</t>
  </si>
  <si>
    <t>Sarah Bezerra Garcias</t>
  </si>
  <si>
    <t>BRGJ018094</t>
  </si>
  <si>
    <t>46887</t>
  </si>
  <si>
    <t>Alexandre Rodrigues Maciel</t>
  </si>
  <si>
    <t>316299138ZY4</t>
  </si>
  <si>
    <t>48060</t>
  </si>
  <si>
    <t>Luisa Gabrielle Dantas da Silva</t>
  </si>
  <si>
    <t>GC820315</t>
  </si>
  <si>
    <t>45164</t>
  </si>
  <si>
    <t>Bruna Filipa Gonçalves Coimbra</t>
  </si>
  <si>
    <t>317220284ZY8</t>
  </si>
  <si>
    <t>45057</t>
  </si>
  <si>
    <t>Alípio José Fornelos Oliveira</t>
  </si>
  <si>
    <t>316762628ZY2</t>
  </si>
  <si>
    <t>45085</t>
  </si>
  <si>
    <t>Xavier Ramos Viegas</t>
  </si>
  <si>
    <t>316691909ZY2</t>
  </si>
  <si>
    <t>46011</t>
  </si>
  <si>
    <t>Isaac da Cruz Silva Monteiro</t>
  </si>
  <si>
    <t>316817473ZY8</t>
  </si>
  <si>
    <t>47370</t>
  </si>
  <si>
    <t>Sara Pinheiro São João</t>
  </si>
  <si>
    <t>316768510ZY6</t>
  </si>
  <si>
    <t>48893</t>
  </si>
  <si>
    <t>Pedro Polido Pereira</t>
  </si>
  <si>
    <t>325514607ZZ6</t>
  </si>
  <si>
    <t>46969</t>
  </si>
  <si>
    <t>Rebecca Maria Linhares Buriti</t>
  </si>
  <si>
    <t>4906T482T</t>
  </si>
  <si>
    <t>45072</t>
  </si>
  <si>
    <t>Diana Filipa Simões Pinheiro</t>
  </si>
  <si>
    <t>315916583ZY6</t>
  </si>
  <si>
    <t>48149</t>
  </si>
  <si>
    <t>Rosa Cangolo Ferreira</t>
  </si>
  <si>
    <t>325356394ZY4</t>
  </si>
  <si>
    <t>46824</t>
  </si>
  <si>
    <t>André Guia Ferreira</t>
  </si>
  <si>
    <t>315665939ZY3</t>
  </si>
  <si>
    <t>45998</t>
  </si>
  <si>
    <t>Lia Fontainhas Dantas da Silva Ferreira</t>
  </si>
  <si>
    <t>316176087ZY1</t>
  </si>
  <si>
    <t>45697</t>
  </si>
  <si>
    <t>Julian Silva Reis</t>
  </si>
  <si>
    <t>315871679ZX7</t>
  </si>
  <si>
    <t>45063</t>
  </si>
  <si>
    <t>Fausto Alves Martins</t>
  </si>
  <si>
    <t>316146463ZX3</t>
  </si>
  <si>
    <t>47359</t>
  </si>
  <si>
    <t>Benedita Ribeiro Rego</t>
  </si>
  <si>
    <t>315918268ZY2</t>
  </si>
  <si>
    <t>45065</t>
  </si>
  <si>
    <t>Iris Palma Azevedo</t>
  </si>
  <si>
    <t>316871729ZY6</t>
  </si>
  <si>
    <t>45056</t>
  </si>
  <si>
    <t>Alice Sao Pedro Santos</t>
  </si>
  <si>
    <t>317328689ZY9</t>
  </si>
  <si>
    <t>45084</t>
  </si>
  <si>
    <t>Santiago Simão da Silva Alves</t>
  </si>
  <si>
    <t>316379441ZY5</t>
  </si>
  <si>
    <t>47333</t>
  </si>
  <si>
    <t>Gabrielle Aragão Nobre</t>
  </si>
  <si>
    <t>5724Q16J2</t>
  </si>
  <si>
    <t>45081</t>
  </si>
  <si>
    <t>Mariana Cruz Coxixo</t>
  </si>
  <si>
    <t>316865583ZX7</t>
  </si>
  <si>
    <t>45062</t>
  </si>
  <si>
    <t>Diogo Maciel Góis da Silva</t>
  </si>
  <si>
    <t>315763370ZY2</t>
  </si>
  <si>
    <t>45080</t>
  </si>
  <si>
    <t>Maria Luisa Cavalheiro Casal</t>
  </si>
  <si>
    <t>316753092ZY2</t>
  </si>
  <si>
    <t>46034</t>
  </si>
  <si>
    <t>Kyara de Freitas Bardasson</t>
  </si>
  <si>
    <t>T1T702183</t>
  </si>
  <si>
    <t>45069</t>
  </si>
  <si>
    <t>Beatriz da Silva Gonçalves</t>
  </si>
  <si>
    <t>317008447ZY9</t>
  </si>
  <si>
    <t>45042</t>
  </si>
  <si>
    <t>Eva Sofia de Vieira Esteves</t>
  </si>
  <si>
    <t>316005029ZX2</t>
  </si>
  <si>
    <t>47380</t>
  </si>
  <si>
    <t>Martim Alexandre Fernandes Ribeiro</t>
  </si>
  <si>
    <t>316388467ZY9</t>
  </si>
  <si>
    <t>44585</t>
  </si>
  <si>
    <t>Leonor Costa Lobo</t>
  </si>
  <si>
    <t>315329998ZY7</t>
  </si>
  <si>
    <t>47373</t>
  </si>
  <si>
    <t>Afonso Simas de Passos Lima</t>
  </si>
  <si>
    <t>315680555ZY8</t>
  </si>
  <si>
    <t>47371</t>
  </si>
  <si>
    <t>Sara Rocha Gandres</t>
  </si>
  <si>
    <t>317308408ZY8</t>
  </si>
  <si>
    <t>45079</t>
  </si>
  <si>
    <t>Leonor Ferreira Soares</t>
  </si>
  <si>
    <t>316980552ZY0</t>
  </si>
  <si>
    <t>45165</t>
  </si>
  <si>
    <t>Gonçalo Ferreira Neiva</t>
  </si>
  <si>
    <t>317185926ZY7</t>
  </si>
  <si>
    <t>48912</t>
  </si>
  <si>
    <t>Elia Tchinossole Bernardo Fernando</t>
  </si>
  <si>
    <t>N2835109</t>
  </si>
  <si>
    <t>45059</t>
  </si>
  <si>
    <t>Carolina da Silva Esteves</t>
  </si>
  <si>
    <t>316356212ZY7</t>
  </si>
  <si>
    <t>47374</t>
  </si>
  <si>
    <t>Bruno da Rocha Chiado</t>
  </si>
  <si>
    <t>315368632zx6</t>
  </si>
  <si>
    <t>45070</t>
  </si>
  <si>
    <t>Bianca Lima Albina</t>
  </si>
  <si>
    <t>316879363ZY6</t>
  </si>
  <si>
    <t>48913</t>
  </si>
  <si>
    <t>Kayela Joaquina Bernardo</t>
  </si>
  <si>
    <t>N1347722</t>
  </si>
  <si>
    <t>45166</t>
  </si>
  <si>
    <t>Guilherme Verde Lima</t>
  </si>
  <si>
    <t>316643548ZY7</t>
  </si>
  <si>
    <t>46955</t>
  </si>
  <si>
    <t>Paolla Pietra Soares da Silva</t>
  </si>
  <si>
    <t>29932SH70</t>
  </si>
  <si>
    <t>47356</t>
  </si>
  <si>
    <t>Leonor Maria Vieira Esteves</t>
  </si>
  <si>
    <t>315820373ZY7</t>
  </si>
  <si>
    <t>45061</t>
  </si>
  <si>
    <t>Diana da Costa Jorge</t>
  </si>
  <si>
    <t>316240770ZY4</t>
  </si>
  <si>
    <t>47342</t>
  </si>
  <si>
    <t>Leandro de Jesus Correia Matos</t>
  </si>
  <si>
    <t>317172140ZY0</t>
  </si>
  <si>
    <t>45083</t>
  </si>
  <si>
    <t>Salomé Viana Gonçalves Matos Rocha</t>
  </si>
  <si>
    <t>316111651ZY2</t>
  </si>
  <si>
    <t>45068</t>
  </si>
  <si>
    <t>Rafael Carvalho do Souto</t>
  </si>
  <si>
    <t>317293656ZY9</t>
  </si>
  <si>
    <t>47015</t>
  </si>
  <si>
    <t>Yara Matilde Ribeiro Pereira</t>
  </si>
  <si>
    <t>316744050ZY2</t>
  </si>
  <si>
    <t>47357</t>
  </si>
  <si>
    <t>Mara Silva Brota</t>
  </si>
  <si>
    <t>315623420ZY5</t>
  </si>
  <si>
    <t>46947</t>
  </si>
  <si>
    <t>Marcos da Costa Beato</t>
  </si>
  <si>
    <t>316550620ZX7</t>
  </si>
  <si>
    <t>44584</t>
  </si>
  <si>
    <t>Dinis Filipe Cordeiro Novo</t>
  </si>
  <si>
    <t>315501103ZY4</t>
  </si>
  <si>
    <t>45067</t>
  </si>
  <si>
    <t>Martim Filipe Soutinho da Silva</t>
  </si>
  <si>
    <t>316163660ZY0</t>
  </si>
  <si>
    <t>45018</t>
  </si>
  <si>
    <t>Francisca Lopes Vale</t>
  </si>
  <si>
    <t>315591668ZY7</t>
  </si>
  <si>
    <t>45574</t>
  </si>
  <si>
    <t>Catarina Santos Nunes</t>
  </si>
  <si>
    <t>316085642ZY3</t>
  </si>
  <si>
    <t>47355</t>
  </si>
  <si>
    <t>João Eduardo Teixeira da Silva</t>
  </si>
  <si>
    <t>316572225ZY7</t>
  </si>
  <si>
    <t>49301</t>
  </si>
  <si>
    <t>Elías Lévinton Bazerque</t>
  </si>
  <si>
    <t>PAT288968</t>
  </si>
  <si>
    <t>47013</t>
  </si>
  <si>
    <t>Adnilza Teixeira do Espírito Santo</t>
  </si>
  <si>
    <t>68J5556R1</t>
  </si>
  <si>
    <t>49466</t>
  </si>
  <si>
    <t>João Parente Varela Nunes</t>
  </si>
  <si>
    <t>301804370ZX5</t>
  </si>
  <si>
    <t>49468</t>
  </si>
  <si>
    <t>Margarida Rodrigues Couceiro</t>
  </si>
  <si>
    <t>159222850ZX2</t>
  </si>
  <si>
    <t>48475</t>
  </si>
  <si>
    <t>Anita Freitas Barros</t>
  </si>
  <si>
    <t>156977737ZW6</t>
  </si>
  <si>
    <t>49469</t>
  </si>
  <si>
    <t>Telma Andrade Dias</t>
  </si>
  <si>
    <t>300584083ZW4</t>
  </si>
  <si>
    <t>48658</t>
  </si>
  <si>
    <t>Afonso Alpuim de Alpoim Caldas da Silva</t>
  </si>
  <si>
    <t>158925211ZW1</t>
  </si>
  <si>
    <t>41803</t>
  </si>
  <si>
    <t>Bernardo da Rosa Marques</t>
  </si>
  <si>
    <t>158104552ZW1</t>
  </si>
  <si>
    <t>48490</t>
  </si>
  <si>
    <t>Daniel Ferreira Carvalho</t>
  </si>
  <si>
    <t>157518477ZW3</t>
  </si>
  <si>
    <t>42270</t>
  </si>
  <si>
    <t>Guilherme Machado dos Santos Ximenes Cristino</t>
  </si>
  <si>
    <t>156974410ZX1</t>
  </si>
  <si>
    <t>48133</t>
  </si>
  <si>
    <t>Juan Carlos Patrício Cano Orna</t>
  </si>
  <si>
    <t>120437272</t>
  </si>
  <si>
    <t>42274</t>
  </si>
  <si>
    <t>Matilde da Rocha Rolo</t>
  </si>
  <si>
    <t>158514262ZW1</t>
  </si>
  <si>
    <t>48093</t>
  </si>
  <si>
    <t>Mauricio Matheus Macluf Regattieri</t>
  </si>
  <si>
    <t>E2219084</t>
  </si>
  <si>
    <t>48539</t>
  </si>
  <si>
    <t>Pedro Duarte Vieira Calçada de Almeida</t>
  </si>
  <si>
    <t>156506203ZX7</t>
  </si>
  <si>
    <t>41579</t>
  </si>
  <si>
    <t>Rui André Viana Lomba</t>
  </si>
  <si>
    <t>310200474ZW8</t>
  </si>
  <si>
    <t>48554</t>
  </si>
  <si>
    <t>Tiago Miranda Dias</t>
  </si>
  <si>
    <t>157541606ZW8</t>
  </si>
  <si>
    <t>48556</t>
  </si>
  <si>
    <t>Tomás Costa Melo</t>
  </si>
  <si>
    <t>156412489ZW7</t>
  </si>
  <si>
    <t>48567</t>
  </si>
  <si>
    <t>Francisco José Codeço Martins</t>
  </si>
  <si>
    <t>155795473ZX8</t>
  </si>
  <si>
    <t>48568</t>
  </si>
  <si>
    <t>Inês Fernandes Esteves</t>
  </si>
  <si>
    <t>155601580ZW6</t>
  </si>
  <si>
    <t>48469</t>
  </si>
  <si>
    <t>Afonso João Lima Carvalho</t>
  </si>
  <si>
    <t>156018446ZX3</t>
  </si>
  <si>
    <t>45525</t>
  </si>
  <si>
    <t>Élodie Nolwenn de Castro Rodrigues</t>
  </si>
  <si>
    <t>302399550ZW3</t>
  </si>
  <si>
    <t>48498</t>
  </si>
  <si>
    <t>Érica Pinto Pires Costa</t>
  </si>
  <si>
    <t>158632451ZW7</t>
  </si>
  <si>
    <t>45049</t>
  </si>
  <si>
    <t>Guilherme Fernandes Cunha Lima Marques</t>
  </si>
  <si>
    <t>158925955ZX1</t>
  </si>
  <si>
    <t>45528</t>
  </si>
  <si>
    <t>Irina Natacha Martins Campos</t>
  </si>
  <si>
    <t>156878100ZW7</t>
  </si>
  <si>
    <t>46968</t>
  </si>
  <si>
    <t>Isabelle Maria Linhares Buriti</t>
  </si>
  <si>
    <t>32R93591Q</t>
  </si>
  <si>
    <t>48511</t>
  </si>
  <si>
    <t>Lucas da Rocha Ferreira</t>
  </si>
  <si>
    <t>157419541ZW6</t>
  </si>
  <si>
    <t>42273</t>
  </si>
  <si>
    <t>Lucas Gomes Faria</t>
  </si>
  <si>
    <t>158929985ZW6</t>
  </si>
  <si>
    <t>48525</t>
  </si>
  <si>
    <t>Maria João Gomes Oliveira</t>
  </si>
  <si>
    <t>156486725ZX3</t>
  </si>
  <si>
    <t>48573</t>
  </si>
  <si>
    <t>Martim Fernandes da Silva</t>
  </si>
  <si>
    <t>155795910ZV3</t>
  </si>
  <si>
    <t>48537</t>
  </si>
  <si>
    <t>Miguel José de Passos Pires Costa</t>
  </si>
  <si>
    <t>158396758ZX9</t>
  </si>
  <si>
    <t>42291</t>
  </si>
  <si>
    <t>Rita Gomes de Moura e Sá</t>
  </si>
  <si>
    <t>156924951ZW7</t>
  </si>
  <si>
    <t>48545</t>
  </si>
  <si>
    <t>Rodrigo de Miranda da Ponte</t>
  </si>
  <si>
    <t>158540980ZX4</t>
  </si>
  <si>
    <t>49305</t>
  </si>
  <si>
    <t>Luís Moreno Pita</t>
  </si>
  <si>
    <t>156645912ZW7</t>
  </si>
  <si>
    <t>42235</t>
  </si>
  <si>
    <t>Luísa Fernanda Gomez Branco</t>
  </si>
  <si>
    <t>156841207ZV6</t>
  </si>
  <si>
    <t>42290</t>
  </si>
  <si>
    <t>Rita Cardona Lopes</t>
  </si>
  <si>
    <t>157239551ZW3</t>
  </si>
  <si>
    <t>42237</t>
  </si>
  <si>
    <t>Afonso Araújo da Silva Costa</t>
  </si>
  <si>
    <t>157943003ZW2</t>
  </si>
  <si>
    <t>41919</t>
  </si>
  <si>
    <t>Anamar da Silva Mesquita</t>
  </si>
  <si>
    <t>155681591ZX4</t>
  </si>
  <si>
    <t>42278</t>
  </si>
  <si>
    <t>Bruna de Sá Rei</t>
  </si>
  <si>
    <t>155688065ZX2</t>
  </si>
  <si>
    <t>48488</t>
  </si>
  <si>
    <t>Carolina Perdigão Azevedo</t>
  </si>
  <si>
    <t>158050053ZW4</t>
  </si>
  <si>
    <t>42281</t>
  </si>
  <si>
    <t>Eduardo Miguel Marta de Araújo</t>
  </si>
  <si>
    <t>158866681ZW6</t>
  </si>
  <si>
    <t>48499</t>
  </si>
  <si>
    <t>Francisca Rios Marques Salgueiro</t>
  </si>
  <si>
    <t>158262468ZW8</t>
  </si>
  <si>
    <t>45521</t>
  </si>
  <si>
    <t>Inês Viana Filipe</t>
  </si>
  <si>
    <t>158036140ZX6</t>
  </si>
  <si>
    <t>45050</t>
  </si>
  <si>
    <t>Lara Susana Ferreira Ribeiro</t>
  </si>
  <si>
    <t>156025434ZX0</t>
  </si>
  <si>
    <t>41847</t>
  </si>
  <si>
    <t>Maria Joao Duarte Neto</t>
  </si>
  <si>
    <t>156084724ZX2</t>
  </si>
  <si>
    <t>48094</t>
  </si>
  <si>
    <t>Maria Teresa Lopes Cardoso Franco de Amorim</t>
  </si>
  <si>
    <t>156334593ZV3</t>
  </si>
  <si>
    <t>41795</t>
  </si>
  <si>
    <t>Mariana Francisca Lopes Casimiro</t>
  </si>
  <si>
    <t>156892537ZW2</t>
  </si>
  <si>
    <t>43004</t>
  </si>
  <si>
    <t>Mariana Pereira Vieira</t>
  </si>
  <si>
    <t>316242225ZY7</t>
  </si>
  <si>
    <t>42247</t>
  </si>
  <si>
    <t>Matilde Lima de Barros</t>
  </si>
  <si>
    <t>156356970ZX2</t>
  </si>
  <si>
    <t>42289</t>
  </si>
  <si>
    <t>Pedro Miguel Freire Fernandes</t>
  </si>
  <si>
    <t>157260941ZW8</t>
  </si>
  <si>
    <t>46908</t>
  </si>
  <si>
    <t>Pietro Dorneles de Lira</t>
  </si>
  <si>
    <t>8K8L54231</t>
  </si>
  <si>
    <t>41856</t>
  </si>
  <si>
    <t>Sofia Rodrigues Freiria</t>
  </si>
  <si>
    <t>158923928ZX0</t>
  </si>
  <si>
    <t>41835</t>
  </si>
  <si>
    <t>Lara Lima Barreiros</t>
  </si>
  <si>
    <t>156230240ZX2</t>
  </si>
  <si>
    <t>42253</t>
  </si>
  <si>
    <t>Vítor Salvador Pereira do Vale</t>
  </si>
  <si>
    <t>158205120ZX3</t>
  </si>
  <si>
    <t>48476</t>
  </si>
  <si>
    <t>Antónia Ramos Morgado</t>
  </si>
  <si>
    <t>156878569ZX1</t>
  </si>
  <si>
    <t>48480</t>
  </si>
  <si>
    <t>Bruna Salgueiro Cavalheiro</t>
  </si>
  <si>
    <t>311399754ZW2</t>
  </si>
  <si>
    <t>41804</t>
  </si>
  <si>
    <t>Clara Pires Balchada</t>
  </si>
  <si>
    <t>158378164ZW4</t>
  </si>
  <si>
    <t>48505</t>
  </si>
  <si>
    <t>Hugo Fernandes Lima</t>
  </si>
  <si>
    <t>158336720ZW4</t>
  </si>
  <si>
    <t>48512</t>
  </si>
  <si>
    <t>Lara Carina Silva Amorim</t>
  </si>
  <si>
    <t>156114925ZY7</t>
  </si>
  <si>
    <t>48526</t>
  </si>
  <si>
    <t>Maria Marinho Coutinho</t>
  </si>
  <si>
    <t>158968964ZX1</t>
  </si>
  <si>
    <t>48527</t>
  </si>
  <si>
    <t>Mariana Barbosa Ribeiro</t>
  </si>
  <si>
    <t>158867661ZW7</t>
  </si>
  <si>
    <t>48532</t>
  </si>
  <si>
    <t>Marta de Carvalho Ribeiro</t>
  </si>
  <si>
    <t>156071428ZX5</t>
  </si>
  <si>
    <t>48477</t>
  </si>
  <si>
    <t>António José Enes Pereira Guerreiro dos Santos</t>
  </si>
  <si>
    <t>157901785ZW4</t>
  </si>
  <si>
    <t>48504</t>
  </si>
  <si>
    <t>Guilherme Ferreira dos Santos</t>
  </si>
  <si>
    <t>158439970ZX9</t>
  </si>
  <si>
    <t>48517</t>
  </si>
  <si>
    <t>Lucas dos Santos Martins</t>
  </si>
  <si>
    <t>155484320ZW9</t>
  </si>
  <si>
    <t>48538</t>
  </si>
  <si>
    <t>Miguel de Castro Costa</t>
  </si>
  <si>
    <t>158632311ZX1</t>
  </si>
  <si>
    <t>48557</t>
  </si>
  <si>
    <t>Tomás Cruz Matos Silva</t>
  </si>
  <si>
    <t>155969927ZX3</t>
  </si>
  <si>
    <t>48561</t>
  </si>
  <si>
    <t>Victoria Fernandes Brandão</t>
  </si>
  <si>
    <t>157327515ZW1</t>
  </si>
  <si>
    <t>48481</t>
  </si>
  <si>
    <t>Barbara Maria Fernandes Sá Sampaio de Castro</t>
  </si>
  <si>
    <t>158600657ZW7</t>
  </si>
  <si>
    <t>48514</t>
  </si>
  <si>
    <t>Laura Barros da Cruz</t>
  </si>
  <si>
    <t>158135059ZW0</t>
  </si>
  <si>
    <t>49247</t>
  </si>
  <si>
    <t>Maria Inês Sá Peixoto</t>
  </si>
  <si>
    <t>158036212ZW5</t>
  </si>
  <si>
    <t>48522</t>
  </si>
  <si>
    <t>Maria Eduarda Pinto Marinho</t>
  </si>
  <si>
    <t>158919165ZW7</t>
  </si>
  <si>
    <t>48540</t>
  </si>
  <si>
    <t>Raphaël Zoica Peixoto</t>
  </si>
  <si>
    <t>159566169ZW3</t>
  </si>
  <si>
    <t>48543</t>
  </si>
  <si>
    <t>Rodrigo Amorim Ribeiro</t>
  </si>
  <si>
    <t>155991671ZW1</t>
  </si>
  <si>
    <t>41442</t>
  </si>
  <si>
    <t>Ana Luísa Amorim Vale</t>
  </si>
  <si>
    <t>155074067ZX0</t>
  </si>
  <si>
    <t>48560</t>
  </si>
  <si>
    <t>Valéria Cardoso Brito</t>
  </si>
  <si>
    <t>156470020ZX7</t>
  </si>
  <si>
    <t>45047</t>
  </si>
  <si>
    <t>Daniel Ferreira Norton</t>
  </si>
  <si>
    <t>155764535ZW3</t>
  </si>
  <si>
    <t>41792</t>
  </si>
  <si>
    <t>Gonçalo Afonso Cadilha Meira</t>
  </si>
  <si>
    <t>156169819ZX8</t>
  </si>
  <si>
    <t>41793</t>
  </si>
  <si>
    <t>Guilherme Tiago da Silva Costa</t>
  </si>
  <si>
    <t>156315742ZY3</t>
  </si>
  <si>
    <t>49392</t>
  </si>
  <si>
    <t>João Luís de Jorge Abreu</t>
  </si>
  <si>
    <t>157615510ZX1</t>
  </si>
  <si>
    <t>48509</t>
  </si>
  <si>
    <t>João Nuno Brochado Cruz de Lima</t>
  </si>
  <si>
    <t>156524627ZX5</t>
  </si>
  <si>
    <t>42272</t>
  </si>
  <si>
    <t>Juliana Ferreira Soares</t>
  </si>
  <si>
    <t>157676218ZX7</t>
  </si>
  <si>
    <t>48536</t>
  </si>
  <si>
    <t>Michel Gerasimov Opryshko</t>
  </si>
  <si>
    <t>301567921ZW4</t>
  </si>
  <si>
    <t>41480</t>
  </si>
  <si>
    <t>Miguel Carvalhosa Lário</t>
  </si>
  <si>
    <t>311879136ZX9</t>
  </si>
  <si>
    <t>45052</t>
  </si>
  <si>
    <t>Rafael Ferreira Norton</t>
  </si>
  <si>
    <t>155764560ZW1</t>
  </si>
  <si>
    <t>49417</t>
  </si>
  <si>
    <t>Tomás Melim Pires</t>
  </si>
  <si>
    <t>156961431ZX2</t>
  </si>
  <si>
    <t>49326</t>
  </si>
  <si>
    <t>Duarte Pereira da Fonte</t>
  </si>
  <si>
    <t>155110608ZW9</t>
  </si>
  <si>
    <t>42284</t>
  </si>
  <si>
    <t>Inês Dias da Costa</t>
  </si>
  <si>
    <t>156191202ZX9</t>
  </si>
  <si>
    <t>47683</t>
  </si>
  <si>
    <t>Inês Gonçalves Fernandes</t>
  </si>
  <si>
    <t>302882502ZX6</t>
  </si>
  <si>
    <t>48513</t>
  </si>
  <si>
    <t>Lara Cruzeiro Barros</t>
  </si>
  <si>
    <t>156367017ZX9</t>
  </si>
  <si>
    <t>47709</t>
  </si>
  <si>
    <t>Mariana Filipa Lemos de Sá</t>
  </si>
  <si>
    <t>311843506ZX6</t>
  </si>
  <si>
    <t>48530</t>
  </si>
  <si>
    <t>Mariana da Silva Reis</t>
  </si>
  <si>
    <t>155394517ZX7</t>
  </si>
  <si>
    <t>41968</t>
  </si>
  <si>
    <t>Marta Souto Silva</t>
  </si>
  <si>
    <t>158587294ZX4</t>
  </si>
  <si>
    <t>48242</t>
  </si>
  <si>
    <t>Telma Vieira e Rodrigues</t>
  </si>
  <si>
    <t>310914124ZX4</t>
  </si>
  <si>
    <t>48485</t>
  </si>
  <si>
    <t>Bruna Forte Martins</t>
  </si>
  <si>
    <t>158249550ZW1</t>
  </si>
  <si>
    <t>47650</t>
  </si>
  <si>
    <t>Carolina Dantas Lopes</t>
  </si>
  <si>
    <t>155159852ZX3</t>
  </si>
  <si>
    <t>48494</t>
  </si>
  <si>
    <t>Duarte de Sousa Passos</t>
  </si>
  <si>
    <t>155707604ZW7</t>
  </si>
  <si>
    <t>48497</t>
  </si>
  <si>
    <t>Emilia Gonçalves Ferreira</t>
  </si>
  <si>
    <t>158509480ZX4</t>
  </si>
  <si>
    <t>48501</t>
  </si>
  <si>
    <t>Francisco Rodrigues dos Santos</t>
  </si>
  <si>
    <t>156662566ZX7</t>
  </si>
  <si>
    <t>46911</t>
  </si>
  <si>
    <t>Isabel Liyen Teo Mendes</t>
  </si>
  <si>
    <t>301513813ZW8</t>
  </si>
  <si>
    <t>42262</t>
  </si>
  <si>
    <t>Joana Parente da Silva</t>
  </si>
  <si>
    <t>155763016ZW5</t>
  </si>
  <si>
    <t>41553</t>
  </si>
  <si>
    <t>João Pedro Silva Novo</t>
  </si>
  <si>
    <t>312423896ZX7</t>
  </si>
  <si>
    <t>48521</t>
  </si>
  <si>
    <t>Margarida Gomes Dias</t>
  </si>
  <si>
    <t>156588650ZW2</t>
  </si>
  <si>
    <t>48524</t>
  </si>
  <si>
    <t>Maria Gonçalves Cunha</t>
  </si>
  <si>
    <t>155605577ZX6</t>
  </si>
  <si>
    <t>48518</t>
  </si>
  <si>
    <t>Mariana de Jesus Azevedo Gonçalves Novo</t>
  </si>
  <si>
    <t>156889404ZX8</t>
  </si>
  <si>
    <t>48534</t>
  </si>
  <si>
    <t>Matilde Azevedo Oliveira</t>
  </si>
  <si>
    <t>158064330ZW0</t>
  </si>
  <si>
    <t>41799</t>
  </si>
  <si>
    <t>Sara Beatriz Ribeiro Vaz Barbosa</t>
  </si>
  <si>
    <t>157619346ZX6</t>
  </si>
  <si>
    <t>48549</t>
  </si>
  <si>
    <t>Soraya Patrícia Hermógenes Coelho</t>
  </si>
  <si>
    <t>309941300ZW1</t>
  </si>
  <si>
    <t>48541</t>
  </si>
  <si>
    <t>Rita Aldeia Valente Miranda</t>
  </si>
  <si>
    <t>158617606ZX3</t>
  </si>
  <si>
    <t>48484</t>
  </si>
  <si>
    <t>Beatriz Silva Cruz</t>
  </si>
  <si>
    <t>155756907ZX2</t>
  </si>
  <si>
    <t>48510</t>
  </si>
  <si>
    <t>Jéssica Maia Costa</t>
  </si>
  <si>
    <t>158960777ZX5</t>
  </si>
  <si>
    <t>48852</t>
  </si>
  <si>
    <t>Afonso Oliveira Alcobia</t>
  </si>
  <si>
    <t>156820897ZW7</t>
  </si>
  <si>
    <t>48471</t>
  </si>
  <si>
    <t>Alícia Maria Nunes Dias</t>
  </si>
  <si>
    <t>156916312ZX0</t>
  </si>
  <si>
    <t>49418</t>
  </si>
  <si>
    <t>Elsa Talita Torres Mota Pegado</t>
  </si>
  <si>
    <t>N2346267</t>
  </si>
  <si>
    <t>48519</t>
  </si>
  <si>
    <t>Matilde Cardante Almeida</t>
  </si>
  <si>
    <t>158292685ZX9</t>
  </si>
  <si>
    <t>48553</t>
  </si>
  <si>
    <t>Tiago Maciel Morêncio</t>
  </si>
  <si>
    <t>158561287ZX8</t>
  </si>
  <si>
    <t>41794</t>
  </si>
  <si>
    <t>Gonçalo Jorge Miranda Lima</t>
  </si>
  <si>
    <t>156524554ZX1</t>
  </si>
  <si>
    <t>41791</t>
  </si>
  <si>
    <t>Inês de Castro Carreiras Franco</t>
  </si>
  <si>
    <t>156701545ZX4</t>
  </si>
  <si>
    <t>41962</t>
  </si>
  <si>
    <t>Judite Oliveira de Assunção</t>
  </si>
  <si>
    <t>155720384ZX7</t>
  </si>
  <si>
    <t>49397</t>
  </si>
  <si>
    <t>Leonor Lima Lenho Pereira</t>
  </si>
  <si>
    <t>156821575ZX6</t>
  </si>
  <si>
    <t>42275</t>
  </si>
  <si>
    <t>Paulo Duarte Amorim Peres</t>
  </si>
  <si>
    <t>157390861ZX9</t>
  </si>
  <si>
    <t>42293</t>
  </si>
  <si>
    <t>Rodrigo Meira Costa</t>
  </si>
  <si>
    <t>156915529ZX0</t>
  </si>
  <si>
    <t>42296</t>
  </si>
  <si>
    <t>Tomás Martim Passos Araújo</t>
  </si>
  <si>
    <t>156463547ZX8</t>
  </si>
  <si>
    <t>48515</t>
  </si>
  <si>
    <t>Leonor da Cruz Martins</t>
  </si>
  <si>
    <t>156952262ZY0</t>
  </si>
  <si>
    <t>48160</t>
  </si>
  <si>
    <t>Emanuele Guimarães das Neves</t>
  </si>
  <si>
    <t>063J2R481</t>
  </si>
  <si>
    <t>47746</t>
  </si>
  <si>
    <t>Érica Maia da Silva Ramos Madeira</t>
  </si>
  <si>
    <t>300614802ZV3</t>
  </si>
  <si>
    <t>47685</t>
  </si>
  <si>
    <t>José Esteves de Azevedo</t>
  </si>
  <si>
    <t>155209647ZY5</t>
  </si>
  <si>
    <t>46277</t>
  </si>
  <si>
    <t>Lidiana Gomes Fernandes Navarro</t>
  </si>
  <si>
    <t>157273415ZX6</t>
  </si>
  <si>
    <t>44778</t>
  </si>
  <si>
    <t>Liliana da Silva Reis</t>
  </si>
  <si>
    <t>158629388ZW6</t>
  </si>
  <si>
    <t>48516</t>
  </si>
  <si>
    <t>Lucas Pires dos Santos Meira</t>
  </si>
  <si>
    <t>155786121ZX4</t>
  </si>
  <si>
    <t>48531</t>
  </si>
  <si>
    <t>Marina Maciel Oliveira</t>
  </si>
  <si>
    <t>155680463ZW9</t>
  </si>
  <si>
    <t>48544</t>
  </si>
  <si>
    <t>Rodrigo Forte da Cruz</t>
  </si>
  <si>
    <t>156962535ZX9</t>
  </si>
  <si>
    <t>48572</t>
  </si>
  <si>
    <t>Mariana Filipa da Rocha Veiga</t>
  </si>
  <si>
    <t>312138105ZX9</t>
  </si>
  <si>
    <t>42277</t>
  </si>
  <si>
    <t>Benedita Silva Lima</t>
  </si>
  <si>
    <t>158370015ZX4</t>
  </si>
  <si>
    <t>42271</t>
  </si>
  <si>
    <t>Íris Oliveira Carvalho</t>
  </si>
  <si>
    <t>156207079ZW5</t>
  </si>
  <si>
    <t>49248</t>
  </si>
  <si>
    <t>Anastasiia Kosse</t>
  </si>
  <si>
    <t>85444L5N9</t>
  </si>
  <si>
    <t>41567</t>
  </si>
  <si>
    <t>Margarida Maria Lima Barbosa Vaz de Brito</t>
  </si>
  <si>
    <t>156693704ZX7</t>
  </si>
  <si>
    <t>48508</t>
  </si>
  <si>
    <t>Joelma Vanessa Maino Vieira</t>
  </si>
  <si>
    <t>304349968ZX2</t>
  </si>
  <si>
    <t>48744</t>
  </si>
  <si>
    <t>Leonor Oliveira Sá Miranda</t>
  </si>
  <si>
    <t>155099396ZX4</t>
  </si>
  <si>
    <t>48528</t>
  </si>
  <si>
    <t>Mariana Ribeiro Lima</t>
  </si>
  <si>
    <t>156246210ZX7</t>
  </si>
  <si>
    <t>43009</t>
  </si>
  <si>
    <t>Renata Soares da Fonte</t>
  </si>
  <si>
    <t>156982897ZW1</t>
  </si>
  <si>
    <t>48478</t>
  </si>
  <si>
    <t>Ariana da Costa Lopes Novo</t>
  </si>
  <si>
    <t>158533593ZX4</t>
  </si>
  <si>
    <t>48487</t>
  </si>
  <si>
    <t>Carlos Daniel Carvalho Leite</t>
  </si>
  <si>
    <t>158873610ZW6</t>
  </si>
  <si>
    <t>48489</t>
  </si>
  <si>
    <t>Cátia Dias Moreira</t>
  </si>
  <si>
    <t>156025787ZX1</t>
  </si>
  <si>
    <t>42249</t>
  </si>
  <si>
    <t>Rodrigo Simão Viana Pereira Passos</t>
  </si>
  <si>
    <t>155741543ZX3</t>
  </si>
  <si>
    <t>49400</t>
  </si>
  <si>
    <t>Simão Pedro Rodrigues Trancoso</t>
  </si>
  <si>
    <t>158933656ZX5</t>
  </si>
  <si>
    <t>49275</t>
  </si>
  <si>
    <t>Rodrigo Pontes Miranda</t>
  </si>
  <si>
    <t>312046103ZX5</t>
  </si>
  <si>
    <t>48570</t>
  </si>
  <si>
    <t>Lucas Emanuel Franco de Lima Costa Almeida</t>
  </si>
  <si>
    <t>GF010195</t>
  </si>
  <si>
    <t>48794</t>
  </si>
  <si>
    <t>Carolina Dandara Vilela Rodrigues</t>
  </si>
  <si>
    <t>312620748ZX1</t>
  </si>
  <si>
    <t>48305</t>
  </si>
  <si>
    <t>Pedro Lucas Barreto de Campos Abreu</t>
  </si>
  <si>
    <t>331038471ZZ2</t>
  </si>
  <si>
    <t>48869</t>
  </si>
  <si>
    <t>Yasmin Carvalho Silveira</t>
  </si>
  <si>
    <t>GE817864</t>
  </si>
  <si>
    <t>49453</t>
  </si>
  <si>
    <t>Thayla Gonçalves Alves</t>
  </si>
  <si>
    <t>GK382276</t>
  </si>
  <si>
    <t>41941</t>
  </si>
  <si>
    <t>Marta Cruz Pinheiro</t>
  </si>
  <si>
    <t>158885953ZX4</t>
  </si>
  <si>
    <t>48600</t>
  </si>
  <si>
    <t>Lara Pinheiro Chaves</t>
  </si>
  <si>
    <t>157673570ZX4</t>
  </si>
  <si>
    <t>49470</t>
  </si>
  <si>
    <t>Beatriz Martins Barros</t>
  </si>
  <si>
    <t>300500890ZX1</t>
  </si>
  <si>
    <t>49459</t>
  </si>
  <si>
    <t>Falak Ali</t>
  </si>
  <si>
    <t>R660196Q2</t>
  </si>
  <si>
    <t>47745</t>
  </si>
  <si>
    <t>Tomás Fagundes Silva</t>
  </si>
  <si>
    <t>312433921ZW3</t>
  </si>
  <si>
    <t>49625</t>
  </si>
  <si>
    <t>Diogo Filipe Silva</t>
  </si>
  <si>
    <t>304740748ZX3</t>
  </si>
  <si>
    <t>41500</t>
  </si>
  <si>
    <t>Paulino Afonso Rocha Moreira Fontainhas</t>
  </si>
  <si>
    <t>307126110ZW5</t>
  </si>
  <si>
    <t>47634</t>
  </si>
  <si>
    <t>Ana Carolina Couto Almeida</t>
  </si>
  <si>
    <t>300828861ZW9</t>
  </si>
  <si>
    <t>47680</t>
  </si>
  <si>
    <t>Guilherme Cruz Felgueiras</t>
  </si>
  <si>
    <t>308261984ZW6</t>
  </si>
  <si>
    <t>47767</t>
  </si>
  <si>
    <t>Luana da Costa Antunes</t>
  </si>
  <si>
    <t>311670091ZX7</t>
  </si>
  <si>
    <t>41511</t>
  </si>
  <si>
    <t>Inês da Silva Melo</t>
  </si>
  <si>
    <t>303763744ZW8</t>
  </si>
  <si>
    <t>46921</t>
  </si>
  <si>
    <t>Joana Liyi Teo Mendes</t>
  </si>
  <si>
    <t>156284766ZY9</t>
  </si>
  <si>
    <t>47348</t>
  </si>
  <si>
    <t>Salvador Martins Gomes</t>
  </si>
  <si>
    <t>315647663ZY2</t>
  </si>
  <si>
    <t>45074</t>
  </si>
  <si>
    <t>Gonçalo Mina Antunes</t>
  </si>
  <si>
    <t>315833211ZY4</t>
  </si>
  <si>
    <t>45780</t>
  </si>
  <si>
    <t>Sophie Heitelvan Rocha</t>
  </si>
  <si>
    <t>F794F9867</t>
  </si>
  <si>
    <t>44582</t>
  </si>
  <si>
    <t>Bianca da Silva Veloso</t>
  </si>
  <si>
    <t>315282541ZY0</t>
  </si>
  <si>
    <t>49452</t>
  </si>
  <si>
    <t>Antonio Miguel Lolaia Silva</t>
  </si>
  <si>
    <t>GJ341096</t>
  </si>
  <si>
    <t>43774</t>
  </si>
  <si>
    <t>Diego Rodrigues Moura</t>
  </si>
  <si>
    <t>305541110ZX4</t>
  </si>
  <si>
    <t>41829</t>
  </si>
  <si>
    <t>Naíma João Gomes Gavires</t>
  </si>
  <si>
    <t>158886283ZX5</t>
  </si>
  <si>
    <t>44620</t>
  </si>
  <si>
    <t>Gabriel José Rodrigues Bicho</t>
  </si>
  <si>
    <t>307869750ZX7</t>
  </si>
  <si>
    <t>49605</t>
  </si>
  <si>
    <t>Pedro Raya Amaral</t>
  </si>
  <si>
    <t>GF842147</t>
  </si>
  <si>
    <t>49461</t>
  </si>
  <si>
    <t>Diana Isabel Canelas Quadrado</t>
  </si>
  <si>
    <t>308487850ZV9</t>
  </si>
  <si>
    <t>49308</t>
  </si>
  <si>
    <t>João Victor Domingues de Souza Oliveira</t>
  </si>
  <si>
    <t>GD342312</t>
  </si>
  <si>
    <t>48261</t>
  </si>
  <si>
    <t>Davi Lucas Bezerra da Costa</t>
  </si>
  <si>
    <t>GE935319</t>
  </si>
  <si>
    <t>41862</t>
  </si>
  <si>
    <t>Nicole Silva</t>
  </si>
  <si>
    <t>302248129ZY5</t>
  </si>
  <si>
    <t>49608</t>
  </si>
  <si>
    <t>Guilherme Ferreira de Sousa</t>
  </si>
  <si>
    <t>309840619ZY2</t>
  </si>
  <si>
    <t>45143</t>
  </si>
  <si>
    <t>Francisco Seixas Pimenta</t>
  </si>
  <si>
    <t>310939666ZX5</t>
  </si>
  <si>
    <t>45668</t>
  </si>
  <si>
    <t>Inês Gomes Ferreira</t>
  </si>
  <si>
    <t>306091607ZX1</t>
  </si>
  <si>
    <t>41911</t>
  </si>
  <si>
    <t>Simão Lopes Vale</t>
  </si>
  <si>
    <t>305050907ZX6</t>
  </si>
  <si>
    <t>49704</t>
  </si>
  <si>
    <t>Rodrigo Martins Carvalho</t>
  </si>
  <si>
    <t>303847271ZW2</t>
  </si>
  <si>
    <t>46042</t>
  </si>
  <si>
    <t>Afonso Maciel Medeiros Akermann</t>
  </si>
  <si>
    <t>302573496ZW7</t>
  </si>
  <si>
    <t>47388</t>
  </si>
  <si>
    <t>Diogo Filipe Carvalho Silva</t>
  </si>
  <si>
    <t>301997349ZX6</t>
  </si>
  <si>
    <t>49653</t>
  </si>
  <si>
    <t>Dinis Durão Cepa Castelo</t>
  </si>
  <si>
    <t>303622563ZX1</t>
  </si>
  <si>
    <t>43806</t>
  </si>
  <si>
    <t>Francisco Ribeiro Rocha</t>
  </si>
  <si>
    <t>305526324ZX0</t>
  </si>
  <si>
    <t>48117</t>
  </si>
  <si>
    <t>Hiroshi Passos Fukahori</t>
  </si>
  <si>
    <t>01V1089F4</t>
  </si>
  <si>
    <t>49626</t>
  </si>
  <si>
    <t>Inês Sofia Dias Vicente Baptista</t>
  </si>
  <si>
    <t>302577092ZX8</t>
  </si>
  <si>
    <t>49674</t>
  </si>
  <si>
    <t>Leandro Rolo Castro</t>
  </si>
  <si>
    <t>305607588ZY0</t>
  </si>
  <si>
    <t>49690</t>
  </si>
  <si>
    <t>Lucas Freitas Ferreira</t>
  </si>
  <si>
    <t>302290850ZX5</t>
  </si>
  <si>
    <t>49668</t>
  </si>
  <si>
    <t>Matilde de Queirós Barbosa</t>
  </si>
  <si>
    <t>302272976ZX0</t>
  </si>
  <si>
    <t>47605</t>
  </si>
  <si>
    <t>Muhammad Abdul Rehman</t>
  </si>
  <si>
    <t>2364S94S9</t>
  </si>
  <si>
    <t>49662</t>
  </si>
  <si>
    <t>Rafael da Silva Torres</t>
  </si>
  <si>
    <t>305175220ZX4</t>
  </si>
  <si>
    <t>46706</t>
  </si>
  <si>
    <t>Rodrigo Chilro Fontelo</t>
  </si>
  <si>
    <t>303893648ZX2</t>
  </si>
  <si>
    <t>49644</t>
  </si>
  <si>
    <t>Rodrigo Martim Dantas Meira</t>
  </si>
  <si>
    <t>302929959ZX3</t>
  </si>
  <si>
    <t>43838</t>
  </si>
  <si>
    <t>Vasco da Costa Gonçalves</t>
  </si>
  <si>
    <t>304609412ZY4</t>
  </si>
  <si>
    <t>48082</t>
  </si>
  <si>
    <t>Beatriz Luzia Lemos de Sá</t>
  </si>
  <si>
    <t>303521570ZX8</t>
  </si>
  <si>
    <t>46657</t>
  </si>
  <si>
    <t>Mafalda Sousa Gonçalves</t>
  </si>
  <si>
    <t>303108363Zx9</t>
  </si>
  <si>
    <t>42664</t>
  </si>
  <si>
    <t>Afonso São Pedro Santos</t>
  </si>
  <si>
    <t>304677760ZX5</t>
  </si>
  <si>
    <t>49640</t>
  </si>
  <si>
    <t>Beatriz Martins Correia da Silva Bandeira</t>
  </si>
  <si>
    <t>302888608ZX5</t>
  </si>
  <si>
    <t>48083</t>
  </si>
  <si>
    <t>Diana Rodrigues Alves</t>
  </si>
  <si>
    <t>302922776ZX8</t>
  </si>
  <si>
    <t>41913</t>
  </si>
  <si>
    <t>Joana Alexandra Leitão Silva</t>
  </si>
  <si>
    <t>305142577ZX7</t>
  </si>
  <si>
    <t>41908</t>
  </si>
  <si>
    <t>Guiomar Sousa Silva</t>
  </si>
  <si>
    <t>304847739ZY2</t>
  </si>
  <si>
    <t>49696</t>
  </si>
  <si>
    <t>Laura Amorim Ribeiro</t>
  </si>
  <si>
    <t>303092092ZX2</t>
  </si>
  <si>
    <t>41910</t>
  </si>
  <si>
    <t>Matilde Branco Lima</t>
  </si>
  <si>
    <t>305016296ZX7</t>
  </si>
  <si>
    <t>42613</t>
  </si>
  <si>
    <t>Santiago Ribeiro Pereira</t>
  </si>
  <si>
    <t>303349425ZX5</t>
  </si>
  <si>
    <t>43769</t>
  </si>
  <si>
    <t>Ana Vaz Guia Antunes Silva</t>
  </si>
  <si>
    <t>305434659ZX0</t>
  </si>
  <si>
    <t>42668</t>
  </si>
  <si>
    <t>Beatriz Soares Dias</t>
  </si>
  <si>
    <t>304986500ZX1</t>
  </si>
  <si>
    <t>49705</t>
  </si>
  <si>
    <t>Francisco José Marinho Coutinho</t>
  </si>
  <si>
    <t>305576500ZY2</t>
  </si>
  <si>
    <t>49678</t>
  </si>
  <si>
    <t>Afonso da Silva Torre</t>
  </si>
  <si>
    <t>302929878ZY3</t>
  </si>
  <si>
    <t>41959</t>
  </si>
  <si>
    <t>Bruna Ramos Vale Matos</t>
  </si>
  <si>
    <t>303786426ZX3</t>
  </si>
  <si>
    <t>49692</t>
  </si>
  <si>
    <t>Alexandre da Rocha de Miranda</t>
  </si>
  <si>
    <t>303600101ZX6</t>
  </si>
  <si>
    <t>49420</t>
  </si>
  <si>
    <t>Diana Isabel Araújo Preto</t>
  </si>
  <si>
    <t>303948582ZX8</t>
  </si>
  <si>
    <t>49647</t>
  </si>
  <si>
    <t>Ana Beatriz Sá Rolo</t>
  </si>
  <si>
    <t>303262788ZX9</t>
  </si>
  <si>
    <t>41954</t>
  </si>
  <si>
    <t>Gabriel Lourenço Mendes</t>
  </si>
  <si>
    <t>302915885ZX6</t>
  </si>
  <si>
    <t>41950</t>
  </si>
  <si>
    <t>Gonçalo de Castro Meira Silva Rego</t>
  </si>
  <si>
    <t>302034013ZX1</t>
  </si>
  <si>
    <t>41868</t>
  </si>
  <si>
    <t>Gustavo de Amaro Manso Parente Moreira</t>
  </si>
  <si>
    <t>305231529ZX0</t>
  </si>
  <si>
    <t>49658</t>
  </si>
  <si>
    <t>Beatriz Amorim Serra</t>
  </si>
  <si>
    <t>305218956ZX2</t>
  </si>
  <si>
    <t>41852</t>
  </si>
  <si>
    <t>Duarte Manuel Lima Barbosa Vaz de Brito</t>
  </si>
  <si>
    <t>304468150zx2</t>
  </si>
  <si>
    <t>41882</t>
  </si>
  <si>
    <t>Íris Filipa Lino de Passos</t>
  </si>
  <si>
    <t>303053895ZW7</t>
  </si>
  <si>
    <t>43811</t>
  </si>
  <si>
    <t>Lea Besard Cunha</t>
  </si>
  <si>
    <t>305399926ZX6</t>
  </si>
  <si>
    <t>49629</t>
  </si>
  <si>
    <t>Duarte Martins Lima</t>
  </si>
  <si>
    <t>305348078ZX8</t>
  </si>
  <si>
    <t>42654</t>
  </si>
  <si>
    <t>Leonor Alves Fernandes</t>
  </si>
  <si>
    <t>303135018ZX6</t>
  </si>
  <si>
    <t>49681</t>
  </si>
  <si>
    <t>Francisca Parente Farinhoto</t>
  </si>
  <si>
    <t>302412387ZX1</t>
  </si>
  <si>
    <t>43786</t>
  </si>
  <si>
    <t>Margarida Vieira Moreira</t>
  </si>
  <si>
    <t>304497673ZX8</t>
  </si>
  <si>
    <t>41969</t>
  </si>
  <si>
    <t>Mário Rodrigo Barreiros Quesado</t>
  </si>
  <si>
    <t>304224758ZW9</t>
  </si>
  <si>
    <t>41867</t>
  </si>
  <si>
    <t>Martim Barbosa Esteves</t>
  </si>
  <si>
    <t>303084340ZX5</t>
  </si>
  <si>
    <t>41880</t>
  </si>
  <si>
    <t>Martim Vieira da Costa</t>
  </si>
  <si>
    <t>310631866ZX2</t>
  </si>
  <si>
    <t>43788</t>
  </si>
  <si>
    <t>Matilde Ribeiro Matos</t>
  </si>
  <si>
    <t>304905062ZX0</t>
  </si>
  <si>
    <t>49697</t>
  </si>
  <si>
    <t>Helena Marinho Martins Subtil</t>
  </si>
  <si>
    <t>302516794ZX3</t>
  </si>
  <si>
    <t>41904</t>
  </si>
  <si>
    <t>Pedro Gabriel Sousa Correia</t>
  </si>
  <si>
    <t>303601701ZX2</t>
  </si>
  <si>
    <t>43797</t>
  </si>
  <si>
    <t>Rodrigo Antunes da Torre Veiga</t>
  </si>
  <si>
    <t>303236302ZX2</t>
  </si>
  <si>
    <t>43798</t>
  </si>
  <si>
    <t>Rodrigo Ferreira do Espírito Santo</t>
  </si>
  <si>
    <t>302870938ZX6</t>
  </si>
  <si>
    <t>49683</t>
  </si>
  <si>
    <t>Lara Fernandes Rainho</t>
  </si>
  <si>
    <t>302990038ZX0</t>
  </si>
  <si>
    <t>43833</t>
  </si>
  <si>
    <t>Rodrigo Miguel da Silva Gomes</t>
  </si>
  <si>
    <t>302075453ZY7</t>
  </si>
  <si>
    <t>43836</t>
  </si>
  <si>
    <t>Sofia Figueiredo Alves</t>
  </si>
  <si>
    <t>305007335ZX4</t>
  </si>
  <si>
    <t>47598</t>
  </si>
  <si>
    <t>Agatha Isabely Silva Bandeira</t>
  </si>
  <si>
    <t>59T5102H5</t>
  </si>
  <si>
    <t>49654</t>
  </si>
  <si>
    <t>Ana Sancha Pinto de Azevedo</t>
  </si>
  <si>
    <t>303042710ZW2</t>
  </si>
  <si>
    <t>48310</t>
  </si>
  <si>
    <t>Fernanda Danielly Alves Marques Lima dos Santos</t>
  </si>
  <si>
    <t>GF004859</t>
  </si>
  <si>
    <t>49659</t>
  </si>
  <si>
    <t>Lucas Pereira Silva</t>
  </si>
  <si>
    <t>305610481ZX5</t>
  </si>
  <si>
    <t>45981</t>
  </si>
  <si>
    <t>Francisco Duarte da Silva Gonçalves</t>
  </si>
  <si>
    <t>302574085ZX5</t>
  </si>
  <si>
    <t>49631</t>
  </si>
  <si>
    <t>Mariana Dantas Cajeira Faria Morgado</t>
  </si>
  <si>
    <t>303464267ZX0</t>
  </si>
  <si>
    <t>49656</t>
  </si>
  <si>
    <t>Joana Catarina Baptista Queirós</t>
  </si>
  <si>
    <t>305922009ZX7</t>
  </si>
  <si>
    <t>49684</t>
  </si>
  <si>
    <t>Miguel Correia Barbosa</t>
  </si>
  <si>
    <t>302547215zy0</t>
  </si>
  <si>
    <t>49694</t>
  </si>
  <si>
    <t>Rodrigo Morais Lopes</t>
  </si>
  <si>
    <t>303426039ZX0</t>
  </si>
  <si>
    <t>49646</t>
  </si>
  <si>
    <t>Simão Padela Caridade</t>
  </si>
  <si>
    <t>302809082ZX9</t>
  </si>
  <si>
    <t>49699</t>
  </si>
  <si>
    <t>Tito Manuel de Oliveira Lira Melão</t>
  </si>
  <si>
    <t>302027696ZX2</t>
  </si>
  <si>
    <t>49688</t>
  </si>
  <si>
    <t>Tomás Menezes Cerqueira</t>
  </si>
  <si>
    <t>304327476ZX2</t>
  </si>
  <si>
    <t>49632</t>
  </si>
  <si>
    <t>Kawender Luan Assis Pereira</t>
  </si>
  <si>
    <t>3H3608T06</t>
  </si>
  <si>
    <t>49642</t>
  </si>
  <si>
    <t>Beatriz Gonçalves Costa</t>
  </si>
  <si>
    <t>305607600ZX5</t>
  </si>
  <si>
    <t>49624</t>
  </si>
  <si>
    <t>Lara Vieira Carvalho</t>
  </si>
  <si>
    <t>304288969ZX3</t>
  </si>
  <si>
    <t>49630</t>
  </si>
  <si>
    <t>Marcos Sá Pereira</t>
  </si>
  <si>
    <t>305323962ZW4</t>
  </si>
  <si>
    <t>49665</t>
  </si>
  <si>
    <t>Eduarda Cristina Moreira Azevedo</t>
  </si>
  <si>
    <t>564F1V228</t>
  </si>
  <si>
    <t>47500</t>
  </si>
  <si>
    <t>Maria Clara Santana Fagundes</t>
  </si>
  <si>
    <t>39K7462L3</t>
  </si>
  <si>
    <t>46658</t>
  </si>
  <si>
    <t>Mariana Gonçalves Martins</t>
  </si>
  <si>
    <t>303068019ZY3</t>
  </si>
  <si>
    <t>46659</t>
  </si>
  <si>
    <t>Marta Gonçalves Martins</t>
  </si>
  <si>
    <t>303067950ZX2</t>
  </si>
  <si>
    <t>49679</t>
  </si>
  <si>
    <t>Pedro Afonso Dantas de Carvalho e Casanova Coelho</t>
  </si>
  <si>
    <t>305153927ZY8</t>
  </si>
  <si>
    <t>49650</t>
  </si>
  <si>
    <t>Eliana Ferreira da Silva</t>
  </si>
  <si>
    <t>303724757ZX6</t>
  </si>
  <si>
    <t>49702</t>
  </si>
  <si>
    <t>Beatriz Gonçalves Caldas</t>
  </si>
  <si>
    <t>305360760ZX4</t>
  </si>
  <si>
    <t>44780</t>
  </si>
  <si>
    <t>Adriana Amorim Simões</t>
  </si>
  <si>
    <t>304973351ZX4</t>
  </si>
  <si>
    <t>44786</t>
  </si>
  <si>
    <t>Camila Raquel Torres Afonso</t>
  </si>
  <si>
    <t>302063706ZW6</t>
  </si>
  <si>
    <t>46656</t>
  </si>
  <si>
    <t>Inês Oliveira Borlido</t>
  </si>
  <si>
    <t>303187689ZX1</t>
  </si>
  <si>
    <t>49643</t>
  </si>
  <si>
    <t>Inês Viana de Carvalho</t>
  </si>
  <si>
    <t>302554262ZX4</t>
  </si>
  <si>
    <t>43819</t>
  </si>
  <si>
    <t>Ana Carolina Cerqueira Freitas</t>
  </si>
  <si>
    <t>305575139ZX2</t>
  </si>
  <si>
    <t>49649</t>
  </si>
  <si>
    <t>Andrew Jaren Cordova Espinoza</t>
  </si>
  <si>
    <t>123628414</t>
  </si>
  <si>
    <t>49645</t>
  </si>
  <si>
    <t>Beatriz Martins Amaral</t>
  </si>
  <si>
    <t>303906383ZX1</t>
  </si>
  <si>
    <t>46195</t>
  </si>
  <si>
    <t>Anastasiia Hlyvias</t>
  </si>
  <si>
    <t>0T130875G</t>
  </si>
  <si>
    <t>49652</t>
  </si>
  <si>
    <t>Beatriz Salgueiro Cunha</t>
  </si>
  <si>
    <t>303684372ZX2</t>
  </si>
  <si>
    <t>49673</t>
  </si>
  <si>
    <t>Carolina Alpuim de Alpoim Caldas da Silva</t>
  </si>
  <si>
    <t>304343390ZW7</t>
  </si>
  <si>
    <t>49682</t>
  </si>
  <si>
    <t>Joana Arieira Viana</t>
  </si>
  <si>
    <t>305574752ZX3</t>
  </si>
  <si>
    <t>49701</t>
  </si>
  <si>
    <t>Deolinda Gomes Viana</t>
  </si>
  <si>
    <t>304288268ZX0</t>
  </si>
  <si>
    <t>49670</t>
  </si>
  <si>
    <t>Gonçalo Gonçalves Pacheco</t>
  </si>
  <si>
    <t>303806745ZX2</t>
  </si>
  <si>
    <t>49691</t>
  </si>
  <si>
    <t>Bruna Martins Lourenço</t>
  </si>
  <si>
    <t>305274457ZX2</t>
  </si>
  <si>
    <t>49634</t>
  </si>
  <si>
    <t>Gonçalo Lário Barreto</t>
  </si>
  <si>
    <t>302881689ZX2</t>
  </si>
  <si>
    <t>49695</t>
  </si>
  <si>
    <t>Helena Peixoto Rocha</t>
  </si>
  <si>
    <t>304777498zx1</t>
  </si>
  <si>
    <t>48089</t>
  </si>
  <si>
    <t>Pedro Henrique Macluf Regattieri</t>
  </si>
  <si>
    <t>E2219083</t>
  </si>
  <si>
    <t>48733</t>
  </si>
  <si>
    <t>Lea Emilie Isabelle Bezier</t>
  </si>
  <si>
    <t>FR22IE33522</t>
  </si>
  <si>
    <t>49313</t>
  </si>
  <si>
    <t>André Cardoso de Sousa</t>
  </si>
  <si>
    <t>159213630ZX9</t>
  </si>
  <si>
    <t>49641</t>
  </si>
  <si>
    <t>Letícia Ferreira de Sousa</t>
  </si>
  <si>
    <t>303723890ZX6</t>
  </si>
  <si>
    <t>49636</t>
  </si>
  <si>
    <t>Daniel Luis Meira Ferreira</t>
  </si>
  <si>
    <t>303090189ZX8</t>
  </si>
  <si>
    <t>46072</t>
  </si>
  <si>
    <t>Rodrigo Marques da Silva Teixeira</t>
  </si>
  <si>
    <t>158593820ZW0</t>
  </si>
  <si>
    <t>49706</t>
  </si>
  <si>
    <t>David Vieira e Rodrigues</t>
  </si>
  <si>
    <t>302039457ZX5</t>
  </si>
  <si>
    <t>49639</t>
  </si>
  <si>
    <t>Ângela Loureiro Esteves</t>
  </si>
  <si>
    <t>303618060ZX4</t>
  </si>
  <si>
    <t>49666</t>
  </si>
  <si>
    <t>Margarida Vilaça Lima</t>
  </si>
  <si>
    <t>303187964ZW0</t>
  </si>
  <si>
    <t>43817</t>
  </si>
  <si>
    <t>Mariana Enes Oliveira</t>
  </si>
  <si>
    <t>304987662ZX8</t>
  </si>
  <si>
    <t>49661</t>
  </si>
  <si>
    <t>Debora Tatiane Maino Vieira</t>
  </si>
  <si>
    <t>307483819ZX6</t>
  </si>
  <si>
    <t>49685</t>
  </si>
  <si>
    <t>Mateus Sousa Barreto</t>
  </si>
  <si>
    <t>305508830ZX8</t>
  </si>
  <si>
    <t>49638</t>
  </si>
  <si>
    <t>Sara Pereira Borlido</t>
  </si>
  <si>
    <t>305540297ZX0</t>
  </si>
  <si>
    <t>43776</t>
  </si>
  <si>
    <t>Emily Victoria Lopes da Silva</t>
  </si>
  <si>
    <t>309550114ZX6</t>
  </si>
  <si>
    <t>49628</t>
  </si>
  <si>
    <t>Francisca Paula Rolo</t>
  </si>
  <si>
    <t>303853204ZX2</t>
  </si>
  <si>
    <t>49655</t>
  </si>
  <si>
    <t>Inês Novo Freitas</t>
  </si>
  <si>
    <t>304545759ZX7</t>
  </si>
  <si>
    <t>49671</t>
  </si>
  <si>
    <t>Flávio Martins Pacheco</t>
  </si>
  <si>
    <t>305327755ZX6</t>
  </si>
  <si>
    <t>43825</t>
  </si>
  <si>
    <t>Gabriel Filipe da Silva Gomes</t>
  </si>
  <si>
    <t>302075496ZY6</t>
  </si>
  <si>
    <t>49660</t>
  </si>
  <si>
    <t>Afonso da Costa Queirós</t>
  </si>
  <si>
    <t>304236500ZX9</t>
  </si>
  <si>
    <t>49675</t>
  </si>
  <si>
    <t>Afonso Vieira Pita</t>
  </si>
  <si>
    <t>304161942ZX2</t>
  </si>
  <si>
    <t>41849</t>
  </si>
  <si>
    <t>Íris Couteiro Pereira</t>
  </si>
  <si>
    <t>302413677ZX4</t>
  </si>
  <si>
    <t>49627</t>
  </si>
  <si>
    <t>David Luís Peixoto Ferrete</t>
  </si>
  <si>
    <t>302960635ZX9</t>
  </si>
  <si>
    <t>49672</t>
  </si>
  <si>
    <t>Iara Alexandra Duro Marques</t>
  </si>
  <si>
    <t>306451824ZX6</t>
  </si>
  <si>
    <t>49663</t>
  </si>
  <si>
    <t>Eduardo Dimas Pinheiro</t>
  </si>
  <si>
    <t>302869867ZX0</t>
  </si>
  <si>
    <t>45017</t>
  </si>
  <si>
    <t>Leonor Capela Faneca</t>
  </si>
  <si>
    <t>304142034ZX2</t>
  </si>
  <si>
    <t>49259</t>
  </si>
  <si>
    <t>Luanna Fagundes Maciel</t>
  </si>
  <si>
    <t>BRGF533172</t>
  </si>
  <si>
    <t>43828</t>
  </si>
  <si>
    <t>Leonor Sofia Moreira Dias</t>
  </si>
  <si>
    <t>304472107ZW8</t>
  </si>
  <si>
    <t>41914</t>
  </si>
  <si>
    <t>Gonçalo Filipe Branco da Silva Costa</t>
  </si>
  <si>
    <t>305159097ZX6</t>
  </si>
  <si>
    <t>43810</t>
  </si>
  <si>
    <t>João Afonso Covelo de Sousa</t>
  </si>
  <si>
    <t>303136731ZX3</t>
  </si>
  <si>
    <t>41878</t>
  </si>
  <si>
    <t>Maria Francisca Oliveira dos Santos</t>
  </si>
  <si>
    <t>305409697ZX1</t>
  </si>
  <si>
    <t>49664</t>
  </si>
  <si>
    <t>João Casalta Gama Reis</t>
  </si>
  <si>
    <t>300010192ZY3</t>
  </si>
  <si>
    <t>49657</t>
  </si>
  <si>
    <t>Maria Geovanna de Araujo Lessa</t>
  </si>
  <si>
    <t>9S62H6734</t>
  </si>
  <si>
    <t>41958</t>
  </si>
  <si>
    <t>Joaquim Vidal Guedes Tavares dos Santos</t>
  </si>
  <si>
    <t>303562471ZV3</t>
  </si>
  <si>
    <t>45606</t>
  </si>
  <si>
    <t>Maria Vitória Coutinho Fernandes</t>
  </si>
  <si>
    <t>304828769ZX4</t>
  </si>
  <si>
    <t>49687</t>
  </si>
  <si>
    <t>Mara Ribeiro Meireles</t>
  </si>
  <si>
    <t>302814850ZW4</t>
  </si>
  <si>
    <t>45982</t>
  </si>
  <si>
    <t>Kayque de Freitas Bardasson</t>
  </si>
  <si>
    <t>H74H34858</t>
  </si>
  <si>
    <t>49633</t>
  </si>
  <si>
    <t>Matilde de Sousa Costa</t>
  </si>
  <si>
    <t>304414816zx3</t>
  </si>
  <si>
    <t>43787</t>
  </si>
  <si>
    <t>Matilde Fontainhas da Costa</t>
  </si>
  <si>
    <t>301773564ZY8</t>
  </si>
  <si>
    <t>48129</t>
  </si>
  <si>
    <t>Mylana Demianenko</t>
  </si>
  <si>
    <t>C16011600</t>
  </si>
  <si>
    <t>41872</t>
  </si>
  <si>
    <t>Lourenço Azevedo Garcia de Queiroz</t>
  </si>
  <si>
    <t>303734795ZX4</t>
  </si>
  <si>
    <t>45977</t>
  </si>
  <si>
    <t>Pablo Salustiano Rodrigues</t>
  </si>
  <si>
    <t>7Q13817R5</t>
  </si>
  <si>
    <t>48451</t>
  </si>
  <si>
    <t>Pedro Jorge Cavaco da Costa Sequeira</t>
  </si>
  <si>
    <t>302325921ZW5</t>
  </si>
  <si>
    <t>49316</t>
  </si>
  <si>
    <t>Núria Correia Moreira de Passos Ferreira</t>
  </si>
  <si>
    <t>303894636ZY4</t>
  </si>
  <si>
    <t>49648</t>
  </si>
  <si>
    <t>Ricardo da Silva Ferreira</t>
  </si>
  <si>
    <t>305030094ZX8</t>
  </si>
  <si>
    <t>41901</t>
  </si>
  <si>
    <t>Rosa Margarida Barbosa da Cunha</t>
  </si>
  <si>
    <t>302822844ZW7</t>
  </si>
  <si>
    <t>49700</t>
  </si>
  <si>
    <t>Paloma Rita Marques da Silva</t>
  </si>
  <si>
    <t>GI666426</t>
  </si>
  <si>
    <t>49667</t>
  </si>
  <si>
    <t>Rodrigo Gomes Sá</t>
  </si>
  <si>
    <t>304292770ZX9</t>
  </si>
  <si>
    <t>43813</t>
  </si>
  <si>
    <t>Romeu de Passos Dinis</t>
  </si>
  <si>
    <t>302801294ZX8</t>
  </si>
  <si>
    <t>43157</t>
  </si>
  <si>
    <t>Lucas Alexandre Rodrigues de Sousa</t>
  </si>
  <si>
    <t>301099740ZX3</t>
  </si>
  <si>
    <t>47390</t>
  </si>
  <si>
    <t>Sara Catarina Rodrigues Soares</t>
  </si>
  <si>
    <t>322835887ZY5</t>
  </si>
  <si>
    <t>49689</t>
  </si>
  <si>
    <t>Sofia Pereira do Lago</t>
  </si>
  <si>
    <t>834K528L2</t>
  </si>
  <si>
    <t>49651</t>
  </si>
  <si>
    <t>Eva Mesquita Ribas Areias Vieira</t>
  </si>
  <si>
    <t>303188863ZX1</t>
  </si>
  <si>
    <t>49698</t>
  </si>
  <si>
    <t>Thiago Benjamin Silva Corado</t>
  </si>
  <si>
    <t>AAH740544</t>
  </si>
  <si>
    <t>48084</t>
  </si>
  <si>
    <t>Yeva Penenko</t>
  </si>
  <si>
    <t>22C15008999</t>
  </si>
  <si>
    <t>43936</t>
  </si>
  <si>
    <t>Lassana Fati</t>
  </si>
  <si>
    <t>330104357ZY6</t>
  </si>
  <si>
    <t>43934</t>
  </si>
  <si>
    <t>Seni Fati</t>
  </si>
  <si>
    <t>330104560ZY5</t>
  </si>
  <si>
    <t>49274</t>
  </si>
  <si>
    <t>Gabriel Jose Prado dos Santos</t>
  </si>
  <si>
    <t>306373564</t>
  </si>
  <si>
    <t>48299</t>
  </si>
  <si>
    <t>Sandro Meredson Silva Filho</t>
  </si>
  <si>
    <t>GJ694301</t>
  </si>
  <si>
    <t>49710</t>
  </si>
  <si>
    <t>Gustavo Valle da Silva Xavier</t>
  </si>
  <si>
    <t>789Q601R0</t>
  </si>
  <si>
    <t>48070</t>
  </si>
  <si>
    <t>Victor Conde Dias</t>
  </si>
  <si>
    <t>322760917ZY9</t>
  </si>
  <si>
    <t>41873</t>
  </si>
  <si>
    <t>Maria João Gomes Gavires</t>
  </si>
  <si>
    <t>302310681ZZ6</t>
  </si>
  <si>
    <t>49824</t>
  </si>
  <si>
    <t>Eduardo Pinto Pereira</t>
  </si>
  <si>
    <t>304163619ZX4</t>
  </si>
  <si>
    <t>49413</t>
  </si>
  <si>
    <t>Geovanna Gonçalves Moreira</t>
  </si>
  <si>
    <t>077S52G13</t>
  </si>
  <si>
    <t>49825</t>
  </si>
  <si>
    <t>Carolina Sofia Pinto Pereira</t>
  </si>
  <si>
    <t>302506470ZX2</t>
  </si>
  <si>
    <t>49830</t>
  </si>
  <si>
    <t>Lara Moledo Marques</t>
  </si>
  <si>
    <t>301618348ZY5</t>
  </si>
  <si>
    <t>49837</t>
  </si>
  <si>
    <t>Dineia Rodrigues Pereira</t>
  </si>
  <si>
    <t>305297074ZX8</t>
  </si>
  <si>
    <t>49838</t>
  </si>
  <si>
    <t>Leonor Gonçalves Alves</t>
  </si>
  <si>
    <t>305673149ZX2</t>
  </si>
  <si>
    <t>49828</t>
  </si>
  <si>
    <t>Luciana Meira Rego</t>
  </si>
  <si>
    <t>302354565ZX2</t>
  </si>
  <si>
    <t>49829</t>
  </si>
  <si>
    <t>Salvador da Rocha Oliveira</t>
  </si>
  <si>
    <t>305296663ZX9</t>
  </si>
  <si>
    <t>49069</t>
  </si>
  <si>
    <t>Juliana Patricia Rodrigues Martins</t>
  </si>
  <si>
    <t>300381433ZX4</t>
  </si>
  <si>
    <t>49841</t>
  </si>
  <si>
    <t>Fabio Henrique da Silva Nascimento Junior</t>
  </si>
  <si>
    <t>GC846063</t>
  </si>
  <si>
    <t>48903</t>
  </si>
  <si>
    <t>Antonella Murillo Torres</t>
  </si>
  <si>
    <t>AX536263</t>
  </si>
  <si>
    <t>48845</t>
  </si>
  <si>
    <t>António Pedro Afonso Morgado</t>
  </si>
  <si>
    <t>313063257ZY3</t>
  </si>
  <si>
    <t>49842</t>
  </si>
  <si>
    <t>Rita da Trindade Martins</t>
  </si>
  <si>
    <t>301547513ZX2</t>
  </si>
  <si>
    <t>49843</t>
  </si>
  <si>
    <t>Mafalda Amorim Pires</t>
  </si>
  <si>
    <t>304792918ZX9</t>
  </si>
  <si>
    <t>49831</t>
  </si>
  <si>
    <t>Eduardo Neiva Morais</t>
  </si>
  <si>
    <t>305093797ZX0</t>
  </si>
  <si>
    <t>49853</t>
  </si>
  <si>
    <t>Fausta Francisco Cristovão</t>
  </si>
  <si>
    <t>N3470688</t>
  </si>
  <si>
    <t>49855</t>
  </si>
  <si>
    <t>Daniel Assumpção Moreira da Silva</t>
  </si>
  <si>
    <t>366HG6482</t>
  </si>
  <si>
    <t>49856</t>
  </si>
  <si>
    <t>Eva Kyara Maciel Alves</t>
  </si>
  <si>
    <t>303085428ZX7</t>
  </si>
  <si>
    <t>49857</t>
  </si>
  <si>
    <t>Afonso Miguel Gonçalves Ribeiro</t>
  </si>
  <si>
    <t>305499777ZX2</t>
  </si>
  <si>
    <t>41916</t>
  </si>
  <si>
    <t>Ariana Cirne da Silva</t>
  </si>
  <si>
    <t>305513010ZX0</t>
  </si>
  <si>
    <t>44781</t>
  </si>
  <si>
    <t>Erica Martins Barbosa</t>
  </si>
  <si>
    <t>304604402ZX2</t>
  </si>
  <si>
    <t>49826</t>
  </si>
  <si>
    <t>Francisca Ferreira Araújo</t>
  </si>
  <si>
    <t>302606599ZX7</t>
  </si>
  <si>
    <t>49827</t>
  </si>
  <si>
    <t>Jéssica Franco Araújo</t>
  </si>
  <si>
    <t>304631167ZX8</t>
  </si>
  <si>
    <t>49832</t>
  </si>
  <si>
    <t>Laura Martins Figueira</t>
  </si>
  <si>
    <t>303106700ZX4</t>
  </si>
  <si>
    <t>49686</t>
  </si>
  <si>
    <t>David Quintas Loureiro</t>
  </si>
  <si>
    <t>305560662ZX0</t>
  </si>
  <si>
    <t>48087</t>
  </si>
  <si>
    <t>Lucas Soares Abreu</t>
  </si>
  <si>
    <t>8203J2R11</t>
  </si>
  <si>
    <t>49858</t>
  </si>
  <si>
    <t>Mariana Lopes Castro</t>
  </si>
  <si>
    <t>317218786ZY6</t>
  </si>
  <si>
    <t>49859</t>
  </si>
  <si>
    <t>Leonor Gonçalves da Silva</t>
  </si>
  <si>
    <t>304941921ZY1</t>
  </si>
  <si>
    <t>49613</t>
  </si>
  <si>
    <t>Berlino Fábio Lima de Sousa dos Ramos</t>
  </si>
  <si>
    <t>PC049875</t>
  </si>
  <si>
    <t>49861</t>
  </si>
  <si>
    <t>Francisco Domanico Sylvestre</t>
  </si>
  <si>
    <t>323609589ZX1</t>
  </si>
  <si>
    <t>49862</t>
  </si>
  <si>
    <t>Ohana Raquel de Castro</t>
  </si>
  <si>
    <t>3G2S86914</t>
  </si>
  <si>
    <t>49261</t>
  </si>
  <si>
    <t>Fábio Rodrigues Sousa</t>
  </si>
  <si>
    <t>307503682ZV8</t>
  </si>
  <si>
    <t>43938</t>
  </si>
  <si>
    <t>Guilherme Martins Valença</t>
  </si>
  <si>
    <t>308821726ZX2</t>
  </si>
  <si>
    <t>45976</t>
  </si>
  <si>
    <t>Vittoria Merlo Miotti Bartalucci</t>
  </si>
  <si>
    <t>4756F97V2</t>
  </si>
  <si>
    <t>49609</t>
  </si>
  <si>
    <t>Natacha Dias Sousa</t>
  </si>
  <si>
    <t>306309661ZX6</t>
  </si>
  <si>
    <t>49260</t>
  </si>
  <si>
    <t>Pedro Henrique da Silva Brito</t>
  </si>
  <si>
    <t>GI464605</t>
  </si>
  <si>
    <t>48735</t>
  </si>
  <si>
    <t>Logan Oliveira Melo</t>
  </si>
  <si>
    <t>GD878169</t>
  </si>
  <si>
    <t>48905</t>
  </si>
  <si>
    <t>Yhan Kesley Sousa Torres</t>
  </si>
  <si>
    <t>BRGD739489</t>
  </si>
  <si>
    <t>49617</t>
  </si>
  <si>
    <t>Flor de Passos Carvalho</t>
  </si>
  <si>
    <t>316979279ZY3</t>
  </si>
  <si>
    <t>49395</t>
  </si>
  <si>
    <t>João Pedro Gonçalves Ales</t>
  </si>
  <si>
    <t>304945749ZX4</t>
  </si>
  <si>
    <t>49637</t>
  </si>
  <si>
    <t>Guilherme Ribeiro Lopes</t>
  </si>
  <si>
    <t>300327528ZW0</t>
  </si>
  <si>
    <t>49867</t>
  </si>
  <si>
    <t>Iara Isabel Monteiro Martins</t>
  </si>
  <si>
    <t>157166813ZV6</t>
  </si>
  <si>
    <t>49870</t>
  </si>
  <si>
    <t>Leonor Esteves Rodrigues</t>
  </si>
  <si>
    <t>303077085ZX5</t>
  </si>
  <si>
    <t>49869</t>
  </si>
  <si>
    <t>Aitana Correia de Sousa</t>
  </si>
  <si>
    <t>313589461ZX8</t>
  </si>
  <si>
    <t>41488</t>
  </si>
  <si>
    <t>Tomás Moreira de Borges</t>
  </si>
  <si>
    <t>158441494ZW8</t>
  </si>
  <si>
    <t>49854</t>
  </si>
  <si>
    <t>Rodrigo Pinto Silva</t>
  </si>
  <si>
    <t>304826170ZY5</t>
  </si>
  <si>
    <t>49871</t>
  </si>
  <si>
    <t>Gabriel Miranda Freitas</t>
  </si>
  <si>
    <t>303347970ZW4</t>
  </si>
  <si>
    <t>49873</t>
  </si>
  <si>
    <t>Beatriz Vitoria Oliveira de Araújo</t>
  </si>
  <si>
    <t>GL937759</t>
  </si>
  <si>
    <t>48849</t>
  </si>
  <si>
    <t>Afonso Lima da Cruz</t>
  </si>
  <si>
    <t>156034743ZW5</t>
  </si>
  <si>
    <t>49615</t>
  </si>
  <si>
    <t>Ana Beatriz Lousada Prado</t>
  </si>
  <si>
    <t>GF612144</t>
  </si>
  <si>
    <t>49618</t>
  </si>
  <si>
    <t>Ana Margarida Silva Cruz</t>
  </si>
  <si>
    <t>315517522ZZ5</t>
  </si>
  <si>
    <t>49676</t>
  </si>
  <si>
    <t>Miguel Ribeiro de Oliveira</t>
  </si>
  <si>
    <t>315129310ZY7</t>
  </si>
  <si>
    <t>49707</t>
  </si>
  <si>
    <t>Tiago de Oliveira Cruz dos Santos</t>
  </si>
  <si>
    <t>317212044ZY6</t>
  </si>
  <si>
    <t>49677</t>
  </si>
  <si>
    <t>Vasco Meneses Couto</t>
  </si>
  <si>
    <t>317019953ZX5</t>
  </si>
  <si>
    <t>49460</t>
  </si>
  <si>
    <t>Ayaan Ali</t>
  </si>
  <si>
    <t>Q59698R13</t>
  </si>
  <si>
    <t>49620</t>
  </si>
  <si>
    <t>Liam Santiago Castro Toledo</t>
  </si>
  <si>
    <t>BA053813</t>
  </si>
  <si>
    <t>49864</t>
  </si>
  <si>
    <t>Mahida Afser Maisha</t>
  </si>
  <si>
    <t>775R18R38</t>
  </si>
  <si>
    <t>48895</t>
  </si>
  <si>
    <t>Mathias Marin Zapata</t>
  </si>
  <si>
    <t>AU844454</t>
  </si>
  <si>
    <t>48312</t>
  </si>
  <si>
    <t>Muhammad Awais</t>
  </si>
  <si>
    <t>4R91308Q4</t>
  </si>
  <si>
    <t>49421</t>
  </si>
  <si>
    <t>Tanisha Binte Kabir</t>
  </si>
  <si>
    <t>AO7545292</t>
  </si>
  <si>
    <t>49882</t>
  </si>
  <si>
    <t>Joel Veloso Vieitas</t>
  </si>
  <si>
    <t>304142093ZX8</t>
  </si>
  <si>
    <t>49883</t>
  </si>
  <si>
    <t>Tomás Gonçalves da Silva</t>
  </si>
  <si>
    <t>302960902ZW5</t>
  </si>
  <si>
    <t>49884</t>
  </si>
  <si>
    <t>João Victorino Pereira</t>
  </si>
  <si>
    <t>304581771ZX7</t>
  </si>
  <si>
    <t>47660</t>
  </si>
  <si>
    <t>Daniel Alberto da Rocha Ferreira</t>
  </si>
  <si>
    <t>316667862ZY3</t>
  </si>
  <si>
    <t>49885</t>
  </si>
  <si>
    <t>José Miguel Vieira Pereira</t>
  </si>
  <si>
    <t>304608718ZY5</t>
  </si>
  <si>
    <t>49886</t>
  </si>
  <si>
    <t>Edwin Santiago Moyano Acevedo</t>
  </si>
  <si>
    <t>BG372002</t>
  </si>
  <si>
    <t>41857</t>
  </si>
  <si>
    <t>Marta Sá Costa</t>
  </si>
  <si>
    <t>302244026ZX9</t>
  </si>
  <si>
    <t>48251</t>
  </si>
  <si>
    <t>Bianca Rodrigues Pereira</t>
  </si>
  <si>
    <t>320240568ZY4</t>
  </si>
  <si>
    <t>48225</t>
  </si>
  <si>
    <t>Marta Amorim Vieira Ribeiro</t>
  </si>
  <si>
    <t>307799131ZX5</t>
  </si>
  <si>
    <t>41843</t>
  </si>
  <si>
    <t>Renato Amorim Novo</t>
  </si>
  <si>
    <t>155137832ZX2</t>
  </si>
  <si>
    <t>48452</t>
  </si>
  <si>
    <t>Sarah Bernardo Silva</t>
  </si>
  <si>
    <t>BRGF519126</t>
  </si>
  <si>
    <t>41879</t>
  </si>
  <si>
    <t>Filipe Novo Seixas</t>
  </si>
  <si>
    <t>305177745ZY6</t>
  </si>
  <si>
    <t>48479</t>
  </si>
  <si>
    <t>Beatriz Araújo de Castro</t>
  </si>
  <si>
    <t>158229053ZW0</t>
  </si>
  <si>
    <t>49888</t>
  </si>
  <si>
    <t>Jerónimo Mateus Lima Martins</t>
  </si>
  <si>
    <t>302477373ZX3</t>
  </si>
  <si>
    <t>49887</t>
  </si>
  <si>
    <t>Lara Fabiana Malheiro da Costa</t>
  </si>
  <si>
    <t>303739452ZX7</t>
  </si>
  <si>
    <t>48548</t>
  </si>
  <si>
    <t>Sofia Manuela Vieira Gonçalves</t>
  </si>
  <si>
    <t>155182250ZX1</t>
  </si>
  <si>
    <t>41963</t>
  </si>
  <si>
    <t>Duarte Vale Grenha</t>
  </si>
  <si>
    <t>155786482ZX0</t>
  </si>
  <si>
    <t>49693</t>
  </si>
  <si>
    <t>André Franja Rodrigues</t>
  </si>
  <si>
    <t>300583818ZW4</t>
  </si>
  <si>
    <t>42662</t>
  </si>
  <si>
    <t>Wilson Vale da Silva</t>
  </si>
  <si>
    <t>307312984ZX5</t>
  </si>
  <si>
    <t>43230</t>
  </si>
  <si>
    <t>Diogo Vaz Gonçalves</t>
  </si>
  <si>
    <t>311081878ZY8</t>
  </si>
  <si>
    <t>48523</t>
  </si>
  <si>
    <t>Maria Eduarda Rodrigues Felix</t>
  </si>
  <si>
    <t>GG095055</t>
  </si>
  <si>
    <t>49788</t>
  </si>
  <si>
    <t>Luzia Sanchez Lima</t>
  </si>
  <si>
    <t>324975503ZY4</t>
  </si>
  <si>
    <t>47763</t>
  </si>
  <si>
    <t>Gabriel Ferreira Ramos</t>
  </si>
  <si>
    <t>300065060ZW0</t>
  </si>
  <si>
    <t>45616</t>
  </si>
  <si>
    <t>Angelina Sophia Barbosa Peres</t>
  </si>
  <si>
    <t>318211831ZY5</t>
  </si>
  <si>
    <t>47604</t>
  </si>
  <si>
    <t>Muhammad Abdullah</t>
  </si>
  <si>
    <t>6163K7K80</t>
  </si>
  <si>
    <t>46655</t>
  </si>
  <si>
    <t>Afonso Chilro Fontelo</t>
  </si>
  <si>
    <t>303893613ZX6</t>
  </si>
  <si>
    <t>45064</t>
  </si>
  <si>
    <t>Gabriel Barros Baganha</t>
  </si>
  <si>
    <t>315565675ZY4</t>
  </si>
  <si>
    <t>49616</t>
  </si>
  <si>
    <t>Holiver da Silva Alves</t>
  </si>
  <si>
    <t>Gb035323</t>
  </si>
  <si>
    <t>47360</t>
  </si>
  <si>
    <t>Inês Ramos de Sousa</t>
  </si>
  <si>
    <t>316787892ZZ3</t>
  </si>
  <si>
    <t>45548</t>
  </si>
  <si>
    <t>Leonor Marques da Silva Teixeira</t>
  </si>
  <si>
    <t>157931730ZW4</t>
  </si>
  <si>
    <t>48243</t>
  </si>
  <si>
    <t>Raul de Lima Corrêa</t>
  </si>
  <si>
    <t>568GG4208</t>
  </si>
  <si>
    <t>49408</t>
  </si>
  <si>
    <t>Josué Samuel Marques de Sá</t>
  </si>
  <si>
    <t>156089637ZW3</t>
  </si>
  <si>
    <t>49898</t>
  </si>
  <si>
    <t>Muhammad Areeb Malik</t>
  </si>
  <si>
    <t>FR0765921</t>
  </si>
  <si>
    <t>49899</t>
  </si>
  <si>
    <t>Leonor de Jesus Silva</t>
  </si>
  <si>
    <t>155663992ZX6</t>
  </si>
  <si>
    <t>49868</t>
  </si>
  <si>
    <t>Dalila Cristina Simas Pinheiro</t>
  </si>
  <si>
    <t>156940183zx5</t>
  </si>
  <si>
    <t>49894</t>
  </si>
  <si>
    <t>Afrin Nur Elma</t>
  </si>
  <si>
    <t>8688R3R20</t>
  </si>
  <si>
    <t>42297</t>
  </si>
  <si>
    <t>Vicente dos Santos Faria Pereira</t>
  </si>
  <si>
    <t>157479560ZX1</t>
  </si>
  <si>
    <t>42245</t>
  </si>
  <si>
    <t>Mara Sárria Carvalho</t>
  </si>
  <si>
    <t>156296918ZX4</t>
  </si>
  <si>
    <t>41473</t>
  </si>
  <si>
    <t>Mariana Oliveira Vieira</t>
  </si>
  <si>
    <t>155242326ZY5</t>
  </si>
  <si>
    <t>49902</t>
  </si>
  <si>
    <t>Luciana Camila Vera Sanchez</t>
  </si>
  <si>
    <t>2T251774S</t>
  </si>
  <si>
    <t>49250</t>
  </si>
  <si>
    <t>Francisca Barros Ferreira</t>
  </si>
  <si>
    <t>300628994ZW0</t>
  </si>
  <si>
    <t>48989</t>
  </si>
  <si>
    <t>Carolina Curto Lopes</t>
  </si>
  <si>
    <t>300634889ZW4</t>
  </si>
  <si>
    <t>49909</t>
  </si>
  <si>
    <t>Eduardo Lima Coutinho</t>
  </si>
  <si>
    <t>GL126682</t>
  </si>
  <si>
    <t>49910</t>
  </si>
  <si>
    <t>Daiane Garcia Moreira</t>
  </si>
  <si>
    <t>PA422434</t>
  </si>
  <si>
    <t>49911</t>
  </si>
  <si>
    <t>Leonilton da Silva Ferreira</t>
  </si>
  <si>
    <t>PC101763</t>
  </si>
  <si>
    <t>49709</t>
  </si>
  <si>
    <t>Leonardo Amorim Gomes</t>
  </si>
  <si>
    <t>155733842ZW1</t>
  </si>
  <si>
    <t>48856</t>
  </si>
  <si>
    <t>Lara Margarida Fernandes Carvalho</t>
  </si>
  <si>
    <t>304687456ZX8</t>
  </si>
  <si>
    <t>49835</t>
  </si>
  <si>
    <t>Jeisa Brito da Veiga</t>
  </si>
  <si>
    <t>PA406439</t>
  </si>
  <si>
    <t>41529</t>
  </si>
  <si>
    <t>Bárbara Sciullo Freixo</t>
  </si>
  <si>
    <t>155379526ZX7</t>
  </si>
  <si>
    <t>48470</t>
  </si>
  <si>
    <t>Afonso Torres Ferreira</t>
  </si>
  <si>
    <t>158231651ZX5</t>
  </si>
  <si>
    <t>43803</t>
  </si>
  <si>
    <t>Bernardo Souza Oliveira</t>
  </si>
  <si>
    <t>305615025ZX5</t>
  </si>
  <si>
    <t>48165</t>
  </si>
  <si>
    <t>Maria Julia Fernandes Steele Sobral</t>
  </si>
  <si>
    <t>GE317273</t>
  </si>
  <si>
    <t>49635</t>
  </si>
  <si>
    <t>José Diogo Rodrigues Verde</t>
  </si>
  <si>
    <t>302489983ZY3</t>
  </si>
  <si>
    <t>49341</t>
  </si>
  <si>
    <t>Ana Rita Fernandes Vaz Carpinteira</t>
  </si>
  <si>
    <t>301944938ZY8</t>
  </si>
  <si>
    <t>49913</t>
  </si>
  <si>
    <t>Nicole Pereira Araújo</t>
  </si>
  <si>
    <t>155351273ZW0</t>
  </si>
  <si>
    <t>41357</t>
  </si>
  <si>
    <t>Leonor da Silva Barreto</t>
  </si>
  <si>
    <t>334497310ZZ0</t>
  </si>
  <si>
    <t>49914</t>
  </si>
  <si>
    <t>Maria Beatriz Meira Lima</t>
  </si>
  <si>
    <t>157909654ZW4</t>
  </si>
  <si>
    <t>47636</t>
  </si>
  <si>
    <t>Anabela de Sá Faria</t>
  </si>
  <si>
    <t>312293801ZX4</t>
  </si>
  <si>
    <t>49919</t>
  </si>
  <si>
    <t>Alexandre Arthur Rodrigues dos Santos</t>
  </si>
  <si>
    <t>GJ662397</t>
  </si>
  <si>
    <t>49680</t>
  </si>
  <si>
    <t>Nayibis Victoria Sanabria da Costa</t>
  </si>
  <si>
    <t>332378497ZZ3</t>
  </si>
  <si>
    <t>49923</t>
  </si>
  <si>
    <t>Weyby Ferreira António Vaz</t>
  </si>
  <si>
    <t>PC058070</t>
  </si>
  <si>
    <t>49924</t>
  </si>
  <si>
    <t>Nádia Laranjeira Arantes</t>
  </si>
  <si>
    <t>302812091ZX5</t>
  </si>
  <si>
    <t>49895</t>
  </si>
  <si>
    <t>Gabriela Guilhermina Almeida Vieira</t>
  </si>
  <si>
    <t>158128427ZW8</t>
  </si>
  <si>
    <t>49938</t>
  </si>
  <si>
    <t>Loucefil Carvalho Lima Umbelina</t>
  </si>
  <si>
    <t>PC046797</t>
  </si>
  <si>
    <t>49958</t>
  </si>
  <si>
    <t>João Marcos Loyola de Araújo</t>
  </si>
  <si>
    <t>GE284434</t>
  </si>
  <si>
    <t>49973</t>
  </si>
  <si>
    <t>Jennifer Luís Ramos de Sousa</t>
  </si>
  <si>
    <t>305777432ZY5</t>
  </si>
  <si>
    <t>49980</t>
  </si>
  <si>
    <t>Gustavo Ferreira Peixoto</t>
  </si>
  <si>
    <t>GG594199</t>
  </si>
  <si>
    <t>49981</t>
  </si>
  <si>
    <t>Benjamín Nehemías Simón</t>
  </si>
  <si>
    <t>AAJ205989</t>
  </si>
  <si>
    <t>49982</t>
  </si>
  <si>
    <t>Eunice Rocio Simón</t>
  </si>
  <si>
    <t>AAJ204391</t>
  </si>
  <si>
    <t>49979</t>
  </si>
  <si>
    <t>Arthur Cesar Braga Candido Silva</t>
  </si>
  <si>
    <t>GL411193</t>
  </si>
  <si>
    <t>49985</t>
  </si>
  <si>
    <t>Francisco Valente Anjos</t>
  </si>
  <si>
    <t>312419961ZY3</t>
  </si>
  <si>
    <t>50000</t>
  </si>
  <si>
    <t>Lara Beatriz da Silva</t>
  </si>
  <si>
    <t>GG544200</t>
  </si>
  <si>
    <t>49999</t>
  </si>
  <si>
    <t>Anthony Matheus da Silva</t>
  </si>
  <si>
    <t>GG543571</t>
  </si>
  <si>
    <t>50003</t>
  </si>
  <si>
    <t>Leonor Sousa Gomes Pereira</t>
  </si>
  <si>
    <t>310567874ZX4</t>
  </si>
  <si>
    <t>10º A</t>
  </si>
  <si>
    <t>10º V</t>
  </si>
  <si>
    <t>10º T</t>
  </si>
  <si>
    <t>10º M</t>
  </si>
  <si>
    <t>10º B</t>
  </si>
  <si>
    <t>10º Q</t>
  </si>
  <si>
    <t>10º C</t>
  </si>
  <si>
    <t>10º N</t>
  </si>
  <si>
    <t>10º L</t>
  </si>
  <si>
    <t>10º P</t>
  </si>
  <si>
    <t>10º D</t>
  </si>
  <si>
    <t>10º E</t>
  </si>
  <si>
    <t>10º F</t>
  </si>
  <si>
    <t>10º G</t>
  </si>
  <si>
    <t>10º H</t>
  </si>
  <si>
    <t>10º I</t>
  </si>
  <si>
    <t>10º J</t>
  </si>
  <si>
    <t>10º R</t>
  </si>
  <si>
    <t>10º K</t>
  </si>
  <si>
    <t>10º O</t>
  </si>
  <si>
    <t>10º S</t>
  </si>
  <si>
    <t>10º U1</t>
  </si>
  <si>
    <t>10º U2</t>
  </si>
  <si>
    <t>11º A</t>
  </si>
  <si>
    <t>11º B</t>
  </si>
  <si>
    <t>11º D</t>
  </si>
  <si>
    <t>11º C</t>
  </si>
  <si>
    <t>11º E</t>
  </si>
  <si>
    <t>11º F</t>
  </si>
  <si>
    <t>11º G</t>
  </si>
  <si>
    <t>11º H</t>
  </si>
  <si>
    <t>11º I</t>
  </si>
  <si>
    <t>11º V</t>
  </si>
  <si>
    <t>11º L</t>
  </si>
  <si>
    <t>11º O</t>
  </si>
  <si>
    <t>11º N</t>
  </si>
  <si>
    <t>11º Q</t>
  </si>
  <si>
    <t>11º T</t>
  </si>
  <si>
    <t>11º R1</t>
  </si>
  <si>
    <t>11º S</t>
  </si>
  <si>
    <t>11º M</t>
  </si>
  <si>
    <t>11º U</t>
  </si>
  <si>
    <t>11º P</t>
  </si>
  <si>
    <t>11º R2</t>
  </si>
  <si>
    <t>12º H</t>
  </si>
  <si>
    <t>12º A</t>
  </si>
  <si>
    <t>12º B</t>
  </si>
  <si>
    <t>12º D</t>
  </si>
  <si>
    <t>12º C</t>
  </si>
  <si>
    <t>12º E</t>
  </si>
  <si>
    <t>12º I</t>
  </si>
  <si>
    <t>12º F</t>
  </si>
  <si>
    <t>12º G</t>
  </si>
  <si>
    <t>12º T</t>
  </si>
  <si>
    <t>12º L</t>
  </si>
  <si>
    <t>12º M</t>
  </si>
  <si>
    <t>12º N</t>
  </si>
  <si>
    <t>12º S</t>
  </si>
  <si>
    <t>12º R</t>
  </si>
  <si>
    <t>12º Q</t>
  </si>
  <si>
    <t>12º P</t>
  </si>
  <si>
    <t>12º O</t>
  </si>
  <si>
    <t>12º U</t>
  </si>
  <si>
    <t>5º B</t>
  </si>
  <si>
    <t>5º C</t>
  </si>
  <si>
    <t>5º A</t>
  </si>
  <si>
    <t>5º D</t>
  </si>
  <si>
    <t>6º A</t>
  </si>
  <si>
    <t>6º B</t>
  </si>
  <si>
    <t>6º C</t>
  </si>
  <si>
    <t>6º D</t>
  </si>
  <si>
    <t>7º A</t>
  </si>
  <si>
    <t>7º B</t>
  </si>
  <si>
    <t>7º C</t>
  </si>
  <si>
    <t>7º E</t>
  </si>
  <si>
    <t>7º D</t>
  </si>
  <si>
    <t>8º A</t>
  </si>
  <si>
    <t>8º B</t>
  </si>
  <si>
    <t>8º C</t>
  </si>
  <si>
    <t>8º D</t>
  </si>
  <si>
    <t>8º E</t>
  </si>
  <si>
    <t>9º B</t>
  </si>
  <si>
    <t>9º A</t>
  </si>
  <si>
    <t>9º C</t>
  </si>
  <si>
    <t>9º D</t>
  </si>
  <si>
    <t>9º E</t>
  </si>
  <si>
    <t>Escalão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</si>
</sst>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sz val="12"/>
      <name val="Arial"/>
    </font>
    <font>
      <sz val="8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66B2FF"/>
      <rgbColor rgb="00FFFF00"/>
      <rgbColor rgb="00FF9999"/>
      <rgbColor rgb="0000FFFF"/>
      <rgbColor rgb="00800000"/>
      <rgbColor rgb="0099FF99"/>
      <rgbColor rgb="00000080"/>
      <rgbColor rgb="00808000"/>
      <rgbColor rgb="00CC99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E2C6"/>
      <rgbColor rgb="00FFFF99"/>
      <rgbColor rgb="0099CCFF"/>
      <rgbColor rgb="00FF99CC"/>
      <rgbColor rgb="00CC99FF"/>
      <rgbColor rgb="00FFCC99"/>
      <rgbColor rgb="00EBF0F3"/>
      <rgbColor rgb="0033CCCC"/>
      <rgbColor rgb="0099CC00"/>
      <rgbColor rgb="00FFCC00"/>
      <rgbColor rgb="00FF9900"/>
      <rgbColor rgb="00CC6600"/>
      <rgbColor rgb="00808080"/>
      <rgbColor rgb="00969696"/>
      <rgbColor rgb="00003366"/>
      <rgbColor rgb="00CCFFCC"/>
      <rgbColor rgb="00003300"/>
      <rgbColor rgb="00333300"/>
      <rgbColor rgb="00993300"/>
      <rgbColor rgb="00993366"/>
      <rgbColor rgb="00994C00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192F1-961D-4BEB-8F73-D10B4010BF05}" name="Tabela1" displayName="Tabela1" ref="A2:G1591" totalsRowShown="0" headerRowDxfId="10" dataDxfId="9">
  <autoFilter ref="A2:G1591" xr:uid="{34629750-8BCA-41C6-B753-69B95355DC82}"/>
  <tableColumns count="7">
    <tableColumn id="1" xr3:uid="{00000000-0010-0000-0100-000001000000}" name="Processo" dataDxfId="0"/>
    <tableColumn id="2" xr3:uid="{00000000-0010-0000-0100-000002000000}" name="Nome" dataDxfId="8"/>
    <tableColumn id="3" xr3:uid="{00000000-0010-0000-0100-000003000000}" name="Sexo" dataDxfId="7"/>
    <tableColumn id="4" xr3:uid="{00000000-0010-0000-0100-000004000000}" name="Data nascimento" dataDxfId="6"/>
    <tableColumn id="5" xr3:uid="{00000000-0010-0000-0100-000005000000}" name="Doc. ident." dataDxfId="5"/>
    <tableColumn id="9" xr3:uid="{56FD784F-1C34-4EFD-94D4-C44F07E4D3A9}" name="Turma" dataDxfId="4"/>
    <tableColumn id="10" xr3:uid="{708D2CF6-E384-4A40-86C7-C376749849E1}" name="Escalão" dataDxfId="3">
      <calculatedColumnFormula>IF(AND(Tabela1[[#This Row],[Data nascimento]]&gt;=$J$2,Tabela1[[#This Row],[Data nascimento]]&lt;=$I$2),"INFANTIL A",H3)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88AD-E219-4BA8-8468-8BC32142DE12}">
  <sheetPr>
    <outlinePr summaryBelow="0" summaryRight="0"/>
    <pageSetUpPr autoPageBreaks="0" fitToPage="1"/>
  </sheetPr>
  <dimension ref="A2:P1591"/>
  <sheetViews>
    <sheetView tabSelected="1" zoomScale="55" workbookViewId="0">
      <selection activeCell="A3" sqref="A3:A1591"/>
    </sheetView>
  </sheetViews>
  <sheetFormatPr defaultRowHeight="12.75" outlineLevelCol="1" x14ac:dyDescent="0.35"/>
  <cols>
    <col min="1" max="1" width="15.33203125" style="5" bestFit="1" customWidth="1"/>
    <col min="2" max="2" width="55.1328125" bestFit="1" customWidth="1"/>
    <col min="3" max="3" width="10.33203125" style="5" bestFit="1" customWidth="1"/>
    <col min="4" max="4" width="22.53125" style="5" bestFit="1" customWidth="1"/>
    <col min="5" max="5" width="16.3984375" style="8" bestFit="1" customWidth="1"/>
    <col min="6" max="6" width="17.6640625" style="5" customWidth="1"/>
    <col min="7" max="7" width="13.3984375" style="5" bestFit="1" customWidth="1" collapsed="1"/>
    <col min="8" max="8" width="0" hidden="1" customWidth="1" outlineLevel="1"/>
    <col min="9" max="16" width="9.796875" hidden="1" customWidth="1" outlineLevel="1"/>
  </cols>
  <sheetData>
    <row r="2" spans="1:16" ht="15" x14ac:dyDescent="0.4">
      <c r="A2" s="1" t="s">
        <v>0</v>
      </c>
      <c r="B2" s="1" t="s">
        <v>1</v>
      </c>
      <c r="C2" s="1" t="s">
        <v>2</v>
      </c>
      <c r="D2" s="1" t="s">
        <v>3</v>
      </c>
      <c r="E2" s="6" t="s">
        <v>4</v>
      </c>
      <c r="F2" s="1" t="s">
        <v>5</v>
      </c>
      <c r="G2" s="1" t="s">
        <v>4798</v>
      </c>
      <c r="H2" s="1"/>
      <c r="I2" s="10">
        <v>43100</v>
      </c>
      <c r="J2" s="10">
        <v>42005</v>
      </c>
      <c r="K2" s="10">
        <v>42004</v>
      </c>
      <c r="L2" s="10">
        <v>41275</v>
      </c>
      <c r="M2" s="10">
        <v>41274</v>
      </c>
      <c r="N2" s="10">
        <v>40544</v>
      </c>
      <c r="O2" s="10">
        <v>40543</v>
      </c>
      <c r="P2" s="10">
        <v>39448</v>
      </c>
    </row>
    <row r="3" spans="1:16" ht="15" x14ac:dyDescent="0.4">
      <c r="A3" s="13" t="s">
        <v>3773</v>
      </c>
      <c r="B3" s="2" t="s">
        <v>3774</v>
      </c>
      <c r="C3" s="4" t="s">
        <v>8</v>
      </c>
      <c r="D3" s="11">
        <v>40416</v>
      </c>
      <c r="E3" s="7" t="s">
        <v>3775</v>
      </c>
      <c r="F3" s="4" t="s">
        <v>4712</v>
      </c>
      <c r="G3" s="12" t="str">
        <f>IF(AND(Tabela1[[#This Row],[Data nascimento]]&gt;=$J$2,Tabela1[[#This Row],[Data nascimento]]&lt;=$I$2),"INFANTIL A",H3)</f>
        <v>JUVENIL</v>
      </c>
      <c r="H3" s="3" t="str">
        <f>IF(AND(Tabela1[[#This Row],[Data nascimento]]&gt;=$L$2,Tabela1[[#This Row],[Data nascimento]]&lt;=$K$2),"INFANTIL B",I3)</f>
        <v>JUVENIL</v>
      </c>
      <c r="I3" s="9" t="str">
        <f>IF(AND(Tabela1[[#This Row],[Data nascimento]]&gt;=$N$2,Tabela1[[#This Row],[Data nascimento]]&lt;=$M$2),"INICIADO",J3)</f>
        <v>JUVENIL</v>
      </c>
      <c r="J3" s="9" t="str">
        <f>IF(AND(Tabela1[[#This Row],[Data nascimento]]&gt;=$P$2,Tabela1[[#This Row],[Data nascimento]]&lt;=$O$2),"JUVENIL","JÚNIOR")</f>
        <v>JUVENIL</v>
      </c>
    </row>
    <row r="4" spans="1:16" ht="15" x14ac:dyDescent="0.4">
      <c r="A4" s="13" t="s">
        <v>3842</v>
      </c>
      <c r="B4" s="2" t="s">
        <v>3843</v>
      </c>
      <c r="C4" s="4" t="s">
        <v>8</v>
      </c>
      <c r="D4" s="11">
        <v>40449</v>
      </c>
      <c r="E4" s="7" t="s">
        <v>3844</v>
      </c>
      <c r="F4" s="4" t="s">
        <v>4712</v>
      </c>
      <c r="G4" s="12" t="str">
        <f>IF(AND(Tabela1[[#This Row],[Data nascimento]]&gt;=$J$2,Tabela1[[#This Row],[Data nascimento]]&lt;=$I$2),"INFANTIL A",H4)</f>
        <v>JUVENIL</v>
      </c>
      <c r="H4" s="3" t="str">
        <f>IF(AND(Tabela1[[#This Row],[Data nascimento]]&gt;=$L$2,Tabela1[[#This Row],[Data nascimento]]&lt;=$K$2),"INFANTIL B",I4)</f>
        <v>JUVENIL</v>
      </c>
      <c r="I4" s="9" t="str">
        <f>IF(AND(Tabela1[[#This Row],[Data nascimento]]&gt;=$N$2,Tabela1[[#This Row],[Data nascimento]]&lt;=$M$2),"INICIADO",J4)</f>
        <v>JUVENIL</v>
      </c>
      <c r="J4" s="9" t="str">
        <f>IF(AND(Tabela1[[#This Row],[Data nascimento]]&gt;=$P$2,Tabela1[[#This Row],[Data nascimento]]&lt;=$O$2),"JUVENIL","JÚNIOR")</f>
        <v>JUVENIL</v>
      </c>
    </row>
    <row r="5" spans="1:16" ht="15" x14ac:dyDescent="0.4">
      <c r="A5" s="13" t="s">
        <v>3845</v>
      </c>
      <c r="B5" s="2" t="s">
        <v>3846</v>
      </c>
      <c r="C5" s="4" t="s">
        <v>8</v>
      </c>
      <c r="D5" s="11">
        <v>40334</v>
      </c>
      <c r="E5" s="7" t="s">
        <v>3847</v>
      </c>
      <c r="F5" s="4" t="s">
        <v>4712</v>
      </c>
      <c r="G5" s="12" t="str">
        <f>IF(AND(Tabela1[[#This Row],[Data nascimento]]&gt;=$J$2,Tabela1[[#This Row],[Data nascimento]]&lt;=$I$2),"INFANTIL A",H5)</f>
        <v>JUVENIL</v>
      </c>
      <c r="H5" s="3" t="str">
        <f>IF(AND(Tabela1[[#This Row],[Data nascimento]]&gt;=$L$2,Tabela1[[#This Row],[Data nascimento]]&lt;=$K$2),"INFANTIL B",I5)</f>
        <v>JUVENIL</v>
      </c>
      <c r="I5" s="9" t="str">
        <f>IF(AND(Tabela1[[#This Row],[Data nascimento]]&gt;=$N$2,Tabela1[[#This Row],[Data nascimento]]&lt;=$M$2),"INICIADO",J5)</f>
        <v>JUVENIL</v>
      </c>
      <c r="J5" s="9" t="str">
        <f>IF(AND(Tabela1[[#This Row],[Data nascimento]]&gt;=$P$2,Tabela1[[#This Row],[Data nascimento]]&lt;=$O$2),"JUVENIL","JÚNIOR")</f>
        <v>JUVENIL</v>
      </c>
    </row>
    <row r="6" spans="1:16" ht="15" x14ac:dyDescent="0.4">
      <c r="A6" s="13" t="s">
        <v>1124</v>
      </c>
      <c r="B6" s="2" t="s">
        <v>1125</v>
      </c>
      <c r="C6" s="4" t="s">
        <v>21</v>
      </c>
      <c r="D6" s="11">
        <v>39750</v>
      </c>
      <c r="E6" s="7" t="s">
        <v>1126</v>
      </c>
      <c r="F6" s="4" t="s">
        <v>4713</v>
      </c>
      <c r="G6" s="12" t="str">
        <f>IF(AND(Tabela1[[#This Row],[Data nascimento]]&gt;=$J$2,Tabela1[[#This Row],[Data nascimento]]&lt;=$I$2),"INFANTIL A",H6)</f>
        <v>JUVENIL</v>
      </c>
      <c r="H6" s="3" t="str">
        <f>IF(AND(Tabela1[[#This Row],[Data nascimento]]&gt;=$L$2,Tabela1[[#This Row],[Data nascimento]]&lt;=$K$2),"INFANTIL B",I6)</f>
        <v>JUVENIL</v>
      </c>
      <c r="I6" s="9" t="str">
        <f>IF(AND(Tabela1[[#This Row],[Data nascimento]]&gt;=$N$2,Tabela1[[#This Row],[Data nascimento]]&lt;=$M$2),"INICIADO",J6)</f>
        <v>JUVENIL</v>
      </c>
      <c r="J6" s="9" t="str">
        <f>IF(AND(Tabela1[[#This Row],[Data nascimento]]&gt;=$P$2,Tabela1[[#This Row],[Data nascimento]]&lt;=$O$2),"JUVENIL","JÚNIOR")</f>
        <v>JUVENIL</v>
      </c>
    </row>
    <row r="7" spans="1:16" ht="15" x14ac:dyDescent="0.4">
      <c r="A7" s="13" t="s">
        <v>3848</v>
      </c>
      <c r="B7" s="2" t="s">
        <v>3849</v>
      </c>
      <c r="C7" s="4" t="s">
        <v>8</v>
      </c>
      <c r="D7" s="11">
        <v>40209</v>
      </c>
      <c r="E7" s="7" t="s">
        <v>3850</v>
      </c>
      <c r="F7" s="4" t="s">
        <v>4712</v>
      </c>
      <c r="G7" s="12" t="str">
        <f>IF(AND(Tabela1[[#This Row],[Data nascimento]]&gt;=$J$2,Tabela1[[#This Row],[Data nascimento]]&lt;=$I$2),"INFANTIL A",H7)</f>
        <v>JUVENIL</v>
      </c>
      <c r="H7" s="3" t="str">
        <f>IF(AND(Tabela1[[#This Row],[Data nascimento]]&gt;=$L$2,Tabela1[[#This Row],[Data nascimento]]&lt;=$K$2),"INFANTIL B",I7)</f>
        <v>JUVENIL</v>
      </c>
      <c r="I7" s="9" t="str">
        <f>IF(AND(Tabela1[[#This Row],[Data nascimento]]&gt;=$N$2,Tabela1[[#This Row],[Data nascimento]]&lt;=$M$2),"INICIADO",J7)</f>
        <v>JUVENIL</v>
      </c>
      <c r="J7" s="9" t="str">
        <f>IF(AND(Tabela1[[#This Row],[Data nascimento]]&gt;=$P$2,Tabela1[[#This Row],[Data nascimento]]&lt;=$O$2),"JUVENIL","JÚNIOR")</f>
        <v>JUVENIL</v>
      </c>
    </row>
    <row r="8" spans="1:16" ht="15" x14ac:dyDescent="0.4">
      <c r="A8" s="13" t="s">
        <v>1130</v>
      </c>
      <c r="B8" s="2" t="s">
        <v>1131</v>
      </c>
      <c r="C8" s="4" t="s">
        <v>21</v>
      </c>
      <c r="D8" s="11">
        <v>40482</v>
      </c>
      <c r="E8" s="7" t="s">
        <v>1132</v>
      </c>
      <c r="F8" s="4" t="s">
        <v>4713</v>
      </c>
      <c r="G8" s="12" t="str">
        <f>IF(AND(Tabela1[[#This Row],[Data nascimento]]&gt;=$J$2,Tabela1[[#This Row],[Data nascimento]]&lt;=$I$2),"INFANTIL A",H8)</f>
        <v>JUVENIL</v>
      </c>
      <c r="H8" s="3" t="str">
        <f>IF(AND(Tabela1[[#This Row],[Data nascimento]]&gt;=$L$2,Tabela1[[#This Row],[Data nascimento]]&lt;=$K$2),"INFANTIL B",I8)</f>
        <v>JUVENIL</v>
      </c>
      <c r="I8" s="9" t="str">
        <f>IF(AND(Tabela1[[#This Row],[Data nascimento]]&gt;=$N$2,Tabela1[[#This Row],[Data nascimento]]&lt;=$M$2),"INICIADO",J8)</f>
        <v>JUVENIL</v>
      </c>
      <c r="J8" s="9" t="str">
        <f>IF(AND(Tabela1[[#This Row],[Data nascimento]]&gt;=$P$2,Tabela1[[#This Row],[Data nascimento]]&lt;=$O$2),"JUVENIL","JÚNIOR")</f>
        <v>JUVENIL</v>
      </c>
    </row>
    <row r="9" spans="1:16" ht="15" x14ac:dyDescent="0.4">
      <c r="A9" s="13" t="s">
        <v>3851</v>
      </c>
      <c r="B9" s="2" t="s">
        <v>3852</v>
      </c>
      <c r="C9" s="4" t="s">
        <v>8</v>
      </c>
      <c r="D9" s="11">
        <v>40129</v>
      </c>
      <c r="E9" s="7" t="s">
        <v>3853</v>
      </c>
      <c r="F9" s="4" t="s">
        <v>4712</v>
      </c>
      <c r="G9" s="12" t="str">
        <f>IF(AND(Tabela1[[#This Row],[Data nascimento]]&gt;=$J$2,Tabela1[[#This Row],[Data nascimento]]&lt;=$I$2),"INFANTIL A",H9)</f>
        <v>JUVENIL</v>
      </c>
      <c r="H9" s="3" t="str">
        <f>IF(AND(Tabela1[[#This Row],[Data nascimento]]&gt;=$L$2,Tabela1[[#This Row],[Data nascimento]]&lt;=$K$2),"INFANTIL B",I9)</f>
        <v>JUVENIL</v>
      </c>
      <c r="I9" s="9" t="str">
        <f>IF(AND(Tabela1[[#This Row],[Data nascimento]]&gt;=$N$2,Tabela1[[#This Row],[Data nascimento]]&lt;=$M$2),"INICIADO",J9)</f>
        <v>JUVENIL</v>
      </c>
      <c r="J9" s="9" t="str">
        <f>IF(AND(Tabela1[[#This Row],[Data nascimento]]&gt;=$P$2,Tabela1[[#This Row],[Data nascimento]]&lt;=$O$2),"JUVENIL","JÚNIOR")</f>
        <v>JUVENIL</v>
      </c>
    </row>
    <row r="10" spans="1:16" ht="15" x14ac:dyDescent="0.4">
      <c r="A10" s="13" t="s">
        <v>3854</v>
      </c>
      <c r="B10" s="2" t="s">
        <v>3855</v>
      </c>
      <c r="C10" s="4" t="s">
        <v>8</v>
      </c>
      <c r="D10" s="11">
        <v>40309</v>
      </c>
      <c r="E10" s="7" t="s">
        <v>3856</v>
      </c>
      <c r="F10" s="4" t="s">
        <v>4712</v>
      </c>
      <c r="G10" s="12" t="str">
        <f>IF(AND(Tabela1[[#This Row],[Data nascimento]]&gt;=$J$2,Tabela1[[#This Row],[Data nascimento]]&lt;=$I$2),"INFANTIL A",H10)</f>
        <v>JUVENIL</v>
      </c>
      <c r="H10" s="3" t="str">
        <f>IF(AND(Tabela1[[#This Row],[Data nascimento]]&gt;=$L$2,Tabela1[[#This Row],[Data nascimento]]&lt;=$K$2),"INFANTIL B",I10)</f>
        <v>JUVENIL</v>
      </c>
      <c r="I10" s="9" t="str">
        <f>IF(AND(Tabela1[[#This Row],[Data nascimento]]&gt;=$N$2,Tabela1[[#This Row],[Data nascimento]]&lt;=$M$2),"INICIADO",J10)</f>
        <v>JUVENIL</v>
      </c>
      <c r="J10" s="9" t="str">
        <f>IF(AND(Tabela1[[#This Row],[Data nascimento]]&gt;=$P$2,Tabela1[[#This Row],[Data nascimento]]&lt;=$O$2),"JUVENIL","JÚNIOR")</f>
        <v>JUVENIL</v>
      </c>
    </row>
    <row r="11" spans="1:16" ht="15" x14ac:dyDescent="0.4">
      <c r="A11" s="13" t="s">
        <v>3857</v>
      </c>
      <c r="B11" s="2" t="s">
        <v>3858</v>
      </c>
      <c r="C11" s="4" t="s">
        <v>8</v>
      </c>
      <c r="D11" s="11">
        <v>40508</v>
      </c>
      <c r="E11" s="7" t="s">
        <v>3859</v>
      </c>
      <c r="F11" s="4" t="s">
        <v>4712</v>
      </c>
      <c r="G11" s="12" t="str">
        <f>IF(AND(Tabela1[[#This Row],[Data nascimento]]&gt;=$J$2,Tabela1[[#This Row],[Data nascimento]]&lt;=$I$2),"INFANTIL A",H11)</f>
        <v>JUVENIL</v>
      </c>
      <c r="H11" s="3" t="str">
        <f>IF(AND(Tabela1[[#This Row],[Data nascimento]]&gt;=$L$2,Tabela1[[#This Row],[Data nascimento]]&lt;=$K$2),"INFANTIL B",I11)</f>
        <v>JUVENIL</v>
      </c>
      <c r="I11" s="9" t="str">
        <f>IF(AND(Tabela1[[#This Row],[Data nascimento]]&gt;=$N$2,Tabela1[[#This Row],[Data nascimento]]&lt;=$M$2),"INICIADO",J11)</f>
        <v>JUVENIL</v>
      </c>
      <c r="J11" s="9" t="str">
        <f>IF(AND(Tabela1[[#This Row],[Data nascimento]]&gt;=$P$2,Tabela1[[#This Row],[Data nascimento]]&lt;=$O$2),"JUVENIL","JÚNIOR")</f>
        <v>JUVENIL</v>
      </c>
    </row>
    <row r="12" spans="1:16" ht="15" x14ac:dyDescent="0.4">
      <c r="A12" s="13" t="s">
        <v>1142</v>
      </c>
      <c r="B12" s="2" t="s">
        <v>1143</v>
      </c>
      <c r="C12" s="4" t="s">
        <v>21</v>
      </c>
      <c r="D12" s="11">
        <v>39934</v>
      </c>
      <c r="E12" s="7" t="s">
        <v>1144</v>
      </c>
      <c r="F12" s="4" t="s">
        <v>4713</v>
      </c>
      <c r="G12" s="12" t="str">
        <f>IF(AND(Tabela1[[#This Row],[Data nascimento]]&gt;=$J$2,Tabela1[[#This Row],[Data nascimento]]&lt;=$I$2),"INFANTIL A",H12)</f>
        <v>JUVENIL</v>
      </c>
      <c r="H12" s="3" t="str">
        <f>IF(AND(Tabela1[[#This Row],[Data nascimento]]&gt;=$L$2,Tabela1[[#This Row],[Data nascimento]]&lt;=$K$2),"INFANTIL B",I12)</f>
        <v>JUVENIL</v>
      </c>
      <c r="I12" s="9" t="str">
        <f>IF(AND(Tabela1[[#This Row],[Data nascimento]]&gt;=$N$2,Tabela1[[#This Row],[Data nascimento]]&lt;=$M$2),"INICIADO",J12)</f>
        <v>JUVENIL</v>
      </c>
      <c r="J12" s="9" t="str">
        <f>IF(AND(Tabela1[[#This Row],[Data nascimento]]&gt;=$P$2,Tabela1[[#This Row],[Data nascimento]]&lt;=$O$2),"JUVENIL","JÚNIOR")</f>
        <v>JUVENIL</v>
      </c>
    </row>
    <row r="13" spans="1:16" ht="15" x14ac:dyDescent="0.4">
      <c r="A13" s="13" t="s">
        <v>1145</v>
      </c>
      <c r="B13" s="2" t="s">
        <v>1146</v>
      </c>
      <c r="C13" s="4" t="s">
        <v>21</v>
      </c>
      <c r="D13" s="11">
        <v>40535</v>
      </c>
      <c r="E13" s="7" t="s">
        <v>1147</v>
      </c>
      <c r="F13" s="4" t="s">
        <v>4714</v>
      </c>
      <c r="G13" s="12" t="str">
        <f>IF(AND(Tabela1[[#This Row],[Data nascimento]]&gt;=$J$2,Tabela1[[#This Row],[Data nascimento]]&lt;=$I$2),"INFANTIL A",H13)</f>
        <v>JUVENIL</v>
      </c>
      <c r="H13" s="3" t="str">
        <f>IF(AND(Tabela1[[#This Row],[Data nascimento]]&gt;=$L$2,Tabela1[[#This Row],[Data nascimento]]&lt;=$K$2),"INFANTIL B",I13)</f>
        <v>JUVENIL</v>
      </c>
      <c r="I13" s="9" t="str">
        <f>IF(AND(Tabela1[[#This Row],[Data nascimento]]&gt;=$N$2,Tabela1[[#This Row],[Data nascimento]]&lt;=$M$2),"INICIADO",J13)</f>
        <v>JUVENIL</v>
      </c>
      <c r="J13" s="9" t="str">
        <f>IF(AND(Tabela1[[#This Row],[Data nascimento]]&gt;=$P$2,Tabela1[[#This Row],[Data nascimento]]&lt;=$O$2),"JUVENIL","JÚNIOR")</f>
        <v>JUVENIL</v>
      </c>
    </row>
    <row r="14" spans="1:16" ht="15" x14ac:dyDescent="0.4">
      <c r="A14" s="13" t="s">
        <v>3860</v>
      </c>
      <c r="B14" s="2" t="s">
        <v>3861</v>
      </c>
      <c r="C14" s="4" t="s">
        <v>8</v>
      </c>
      <c r="D14" s="11">
        <v>39933</v>
      </c>
      <c r="E14" s="7" t="s">
        <v>3862</v>
      </c>
      <c r="F14" s="4" t="s">
        <v>4712</v>
      </c>
      <c r="G14" s="12" t="str">
        <f>IF(AND(Tabela1[[#This Row],[Data nascimento]]&gt;=$J$2,Tabela1[[#This Row],[Data nascimento]]&lt;=$I$2),"INFANTIL A",H14)</f>
        <v>JUVENIL</v>
      </c>
      <c r="H14" s="3" t="str">
        <f>IF(AND(Tabela1[[#This Row],[Data nascimento]]&gt;=$L$2,Tabela1[[#This Row],[Data nascimento]]&lt;=$K$2),"INFANTIL B",I14)</f>
        <v>JUVENIL</v>
      </c>
      <c r="I14" s="9" t="str">
        <f>IF(AND(Tabela1[[#This Row],[Data nascimento]]&gt;=$N$2,Tabela1[[#This Row],[Data nascimento]]&lt;=$M$2),"INICIADO",J14)</f>
        <v>JUVENIL</v>
      </c>
      <c r="J14" s="9" t="str">
        <f>IF(AND(Tabela1[[#This Row],[Data nascimento]]&gt;=$P$2,Tabela1[[#This Row],[Data nascimento]]&lt;=$O$2),"JUVENIL","JÚNIOR")</f>
        <v>JUVENIL</v>
      </c>
    </row>
    <row r="15" spans="1:16" ht="15" x14ac:dyDescent="0.4">
      <c r="A15" s="13" t="s">
        <v>3866</v>
      </c>
      <c r="B15" s="2" t="s">
        <v>3867</v>
      </c>
      <c r="C15" s="4" t="s">
        <v>8</v>
      </c>
      <c r="D15" s="11">
        <v>40532</v>
      </c>
      <c r="E15" s="7" t="s">
        <v>3868</v>
      </c>
      <c r="F15" s="4" t="s">
        <v>4712</v>
      </c>
      <c r="G15" s="12" t="str">
        <f>IF(AND(Tabela1[[#This Row],[Data nascimento]]&gt;=$J$2,Tabela1[[#This Row],[Data nascimento]]&lt;=$I$2),"INFANTIL A",H15)</f>
        <v>JUVENIL</v>
      </c>
      <c r="H15" s="3" t="str">
        <f>IF(AND(Tabela1[[#This Row],[Data nascimento]]&gt;=$L$2,Tabela1[[#This Row],[Data nascimento]]&lt;=$K$2),"INFANTIL B",I15)</f>
        <v>JUVENIL</v>
      </c>
      <c r="I15" s="9" t="str">
        <f>IF(AND(Tabela1[[#This Row],[Data nascimento]]&gt;=$N$2,Tabela1[[#This Row],[Data nascimento]]&lt;=$M$2),"INICIADO",J15)</f>
        <v>JUVENIL</v>
      </c>
      <c r="J15" s="9" t="str">
        <f>IF(AND(Tabela1[[#This Row],[Data nascimento]]&gt;=$P$2,Tabela1[[#This Row],[Data nascimento]]&lt;=$O$2),"JUVENIL","JÚNIOR")</f>
        <v>JUVENIL</v>
      </c>
    </row>
    <row r="16" spans="1:16" ht="15" x14ac:dyDescent="0.4">
      <c r="A16" s="13" t="s">
        <v>3869</v>
      </c>
      <c r="B16" s="2" t="s">
        <v>3870</v>
      </c>
      <c r="C16" s="4" t="s">
        <v>8</v>
      </c>
      <c r="D16" s="11">
        <v>40166</v>
      </c>
      <c r="E16" s="7" t="s">
        <v>3871</v>
      </c>
      <c r="F16" s="4" t="s">
        <v>4712</v>
      </c>
      <c r="G16" s="12" t="str">
        <f>IF(AND(Tabela1[[#This Row],[Data nascimento]]&gt;=$J$2,Tabela1[[#This Row],[Data nascimento]]&lt;=$I$2),"INFANTIL A",H16)</f>
        <v>JUVENIL</v>
      </c>
      <c r="H16" s="3" t="str">
        <f>IF(AND(Tabela1[[#This Row],[Data nascimento]]&gt;=$L$2,Tabela1[[#This Row],[Data nascimento]]&lt;=$K$2),"INFANTIL B",I16)</f>
        <v>JUVENIL</v>
      </c>
      <c r="I16" s="9" t="str">
        <f>IF(AND(Tabela1[[#This Row],[Data nascimento]]&gt;=$N$2,Tabela1[[#This Row],[Data nascimento]]&lt;=$M$2),"INICIADO",J16)</f>
        <v>JUVENIL</v>
      </c>
      <c r="J16" s="9" t="str">
        <f>IF(AND(Tabela1[[#This Row],[Data nascimento]]&gt;=$P$2,Tabela1[[#This Row],[Data nascimento]]&lt;=$O$2),"JUVENIL","JÚNIOR")</f>
        <v>JUVENIL</v>
      </c>
    </row>
    <row r="17" spans="1:10" ht="15" x14ac:dyDescent="0.4">
      <c r="A17" s="13" t="s">
        <v>3875</v>
      </c>
      <c r="B17" s="2" t="s">
        <v>3876</v>
      </c>
      <c r="C17" s="4" t="s">
        <v>8</v>
      </c>
      <c r="D17" s="11">
        <v>40087</v>
      </c>
      <c r="E17" s="7" t="s">
        <v>3877</v>
      </c>
      <c r="F17" s="4" t="s">
        <v>4712</v>
      </c>
      <c r="G17" s="12" t="str">
        <f>IF(AND(Tabela1[[#This Row],[Data nascimento]]&gt;=$J$2,Tabela1[[#This Row],[Data nascimento]]&lt;=$I$2),"INFANTIL A",H17)</f>
        <v>JUVENIL</v>
      </c>
      <c r="H17" s="3" t="str">
        <f>IF(AND(Tabela1[[#This Row],[Data nascimento]]&gt;=$L$2,Tabela1[[#This Row],[Data nascimento]]&lt;=$K$2),"INFANTIL B",I17)</f>
        <v>JUVENIL</v>
      </c>
      <c r="I17" s="9" t="str">
        <f>IF(AND(Tabela1[[#This Row],[Data nascimento]]&gt;=$N$2,Tabela1[[#This Row],[Data nascimento]]&lt;=$M$2),"INICIADO",J17)</f>
        <v>JUVENIL</v>
      </c>
      <c r="J17" s="9" t="str">
        <f>IF(AND(Tabela1[[#This Row],[Data nascimento]]&gt;=$P$2,Tabela1[[#This Row],[Data nascimento]]&lt;=$O$2),"JUVENIL","JÚNIOR")</f>
        <v>JUVENIL</v>
      </c>
    </row>
    <row r="18" spans="1:10" ht="15" x14ac:dyDescent="0.4">
      <c r="A18" s="13" t="s">
        <v>3878</v>
      </c>
      <c r="B18" s="2" t="s">
        <v>3879</v>
      </c>
      <c r="C18" s="4" t="s">
        <v>8</v>
      </c>
      <c r="D18" s="11">
        <v>40459</v>
      </c>
      <c r="E18" s="7" t="s">
        <v>3880</v>
      </c>
      <c r="F18" s="4" t="s">
        <v>4712</v>
      </c>
      <c r="G18" s="12" t="str">
        <f>IF(AND(Tabela1[[#This Row],[Data nascimento]]&gt;=$J$2,Tabela1[[#This Row],[Data nascimento]]&lt;=$I$2),"INFANTIL A",H18)</f>
        <v>JUVENIL</v>
      </c>
      <c r="H18" s="3" t="str">
        <f>IF(AND(Tabela1[[#This Row],[Data nascimento]]&gt;=$L$2,Tabela1[[#This Row],[Data nascimento]]&lt;=$K$2),"INFANTIL B",I18)</f>
        <v>JUVENIL</v>
      </c>
      <c r="I18" s="9" t="str">
        <f>IF(AND(Tabela1[[#This Row],[Data nascimento]]&gt;=$N$2,Tabela1[[#This Row],[Data nascimento]]&lt;=$M$2),"INICIADO",J18)</f>
        <v>JUVENIL</v>
      </c>
      <c r="J18" s="9" t="str">
        <f>IF(AND(Tabela1[[#This Row],[Data nascimento]]&gt;=$P$2,Tabela1[[#This Row],[Data nascimento]]&lt;=$O$2),"JUVENIL","JÚNIOR")</f>
        <v>JUVENIL</v>
      </c>
    </row>
    <row r="19" spans="1:10" ht="15" x14ac:dyDescent="0.4">
      <c r="A19" s="13" t="s">
        <v>3881</v>
      </c>
      <c r="B19" s="2" t="s">
        <v>3882</v>
      </c>
      <c r="C19" s="4" t="s">
        <v>8</v>
      </c>
      <c r="D19" s="11">
        <v>40341</v>
      </c>
      <c r="E19" s="7" t="s">
        <v>3883</v>
      </c>
      <c r="F19" s="4" t="s">
        <v>4712</v>
      </c>
      <c r="G19" s="12" t="str">
        <f>IF(AND(Tabela1[[#This Row],[Data nascimento]]&gt;=$J$2,Tabela1[[#This Row],[Data nascimento]]&lt;=$I$2),"INFANTIL A",H19)</f>
        <v>JUVENIL</v>
      </c>
      <c r="H19" s="3" t="str">
        <f>IF(AND(Tabela1[[#This Row],[Data nascimento]]&gt;=$L$2,Tabela1[[#This Row],[Data nascimento]]&lt;=$K$2),"INFANTIL B",I19)</f>
        <v>JUVENIL</v>
      </c>
      <c r="I19" s="9" t="str">
        <f>IF(AND(Tabela1[[#This Row],[Data nascimento]]&gt;=$N$2,Tabela1[[#This Row],[Data nascimento]]&lt;=$M$2),"INICIADO",J19)</f>
        <v>JUVENIL</v>
      </c>
      <c r="J19" s="9" t="str">
        <f>IF(AND(Tabela1[[#This Row],[Data nascimento]]&gt;=$P$2,Tabela1[[#This Row],[Data nascimento]]&lt;=$O$2),"JUVENIL","JÚNIOR")</f>
        <v>JUVENIL</v>
      </c>
    </row>
    <row r="20" spans="1:10" ht="15" x14ac:dyDescent="0.4">
      <c r="A20" s="13" t="s">
        <v>3884</v>
      </c>
      <c r="B20" s="2" t="s">
        <v>3885</v>
      </c>
      <c r="C20" s="4" t="s">
        <v>8</v>
      </c>
      <c r="D20" s="11">
        <v>40235</v>
      </c>
      <c r="E20" s="7" t="s">
        <v>3886</v>
      </c>
      <c r="F20" s="4" t="s">
        <v>4712</v>
      </c>
      <c r="G20" s="12" t="str">
        <f>IF(AND(Tabela1[[#This Row],[Data nascimento]]&gt;=$J$2,Tabela1[[#This Row],[Data nascimento]]&lt;=$I$2),"INFANTIL A",H20)</f>
        <v>JUVENIL</v>
      </c>
      <c r="H20" s="3" t="str">
        <f>IF(AND(Tabela1[[#This Row],[Data nascimento]]&gt;=$L$2,Tabela1[[#This Row],[Data nascimento]]&lt;=$K$2),"INFANTIL B",I20)</f>
        <v>JUVENIL</v>
      </c>
      <c r="I20" s="9" t="str">
        <f>IF(AND(Tabela1[[#This Row],[Data nascimento]]&gt;=$N$2,Tabela1[[#This Row],[Data nascimento]]&lt;=$M$2),"INICIADO",J20)</f>
        <v>JUVENIL</v>
      </c>
      <c r="J20" s="9" t="str">
        <f>IF(AND(Tabela1[[#This Row],[Data nascimento]]&gt;=$P$2,Tabela1[[#This Row],[Data nascimento]]&lt;=$O$2),"JUVENIL","JÚNIOR")</f>
        <v>JUVENIL</v>
      </c>
    </row>
    <row r="21" spans="1:10" ht="15" x14ac:dyDescent="0.4">
      <c r="A21" s="13" t="s">
        <v>3887</v>
      </c>
      <c r="B21" s="2" t="s">
        <v>3888</v>
      </c>
      <c r="C21" s="4" t="s">
        <v>8</v>
      </c>
      <c r="D21" s="11">
        <v>40404</v>
      </c>
      <c r="E21" s="7" t="s">
        <v>3889</v>
      </c>
      <c r="F21" s="4" t="s">
        <v>4712</v>
      </c>
      <c r="G21" s="12" t="str">
        <f>IF(AND(Tabela1[[#This Row],[Data nascimento]]&gt;=$J$2,Tabela1[[#This Row],[Data nascimento]]&lt;=$I$2),"INFANTIL A",H21)</f>
        <v>JUVENIL</v>
      </c>
      <c r="H21" s="3" t="str">
        <f>IF(AND(Tabela1[[#This Row],[Data nascimento]]&gt;=$L$2,Tabela1[[#This Row],[Data nascimento]]&lt;=$K$2),"INFANTIL B",I21)</f>
        <v>JUVENIL</v>
      </c>
      <c r="I21" s="9" t="str">
        <f>IF(AND(Tabela1[[#This Row],[Data nascimento]]&gt;=$N$2,Tabela1[[#This Row],[Data nascimento]]&lt;=$M$2),"INICIADO",J21)</f>
        <v>JUVENIL</v>
      </c>
      <c r="J21" s="9" t="str">
        <f>IF(AND(Tabela1[[#This Row],[Data nascimento]]&gt;=$P$2,Tabela1[[#This Row],[Data nascimento]]&lt;=$O$2),"JUVENIL","JÚNIOR")</f>
        <v>JUVENIL</v>
      </c>
    </row>
    <row r="22" spans="1:10" ht="15" x14ac:dyDescent="0.4">
      <c r="A22" s="13" t="s">
        <v>1172</v>
      </c>
      <c r="B22" s="2" t="s">
        <v>1173</v>
      </c>
      <c r="C22" s="4" t="s">
        <v>21</v>
      </c>
      <c r="D22" s="11">
        <v>40154</v>
      </c>
      <c r="E22" s="7" t="s">
        <v>1174</v>
      </c>
      <c r="F22" s="4" t="s">
        <v>4715</v>
      </c>
      <c r="G22" s="12" t="str">
        <f>IF(AND(Tabela1[[#This Row],[Data nascimento]]&gt;=$J$2,Tabela1[[#This Row],[Data nascimento]]&lt;=$I$2),"INFANTIL A",H22)</f>
        <v>JUVENIL</v>
      </c>
      <c r="H22" s="3" t="str">
        <f>IF(AND(Tabela1[[#This Row],[Data nascimento]]&gt;=$L$2,Tabela1[[#This Row],[Data nascimento]]&lt;=$K$2),"INFANTIL B",I22)</f>
        <v>JUVENIL</v>
      </c>
      <c r="I22" s="9" t="str">
        <f>IF(AND(Tabela1[[#This Row],[Data nascimento]]&gt;=$N$2,Tabela1[[#This Row],[Data nascimento]]&lt;=$M$2),"INICIADO",J22)</f>
        <v>JUVENIL</v>
      </c>
      <c r="J22" s="9" t="str">
        <f>IF(AND(Tabela1[[#This Row],[Data nascimento]]&gt;=$P$2,Tabela1[[#This Row],[Data nascimento]]&lt;=$O$2),"JUVENIL","JÚNIOR")</f>
        <v>JUVENIL</v>
      </c>
    </row>
    <row r="23" spans="1:10" ht="15" x14ac:dyDescent="0.4">
      <c r="A23" s="13" t="s">
        <v>4445</v>
      </c>
      <c r="B23" s="2" t="s">
        <v>4446</v>
      </c>
      <c r="C23" s="4" t="s">
        <v>8</v>
      </c>
      <c r="D23" s="11">
        <v>40423</v>
      </c>
      <c r="E23" s="7" t="s">
        <v>4447</v>
      </c>
      <c r="F23" s="4" t="s">
        <v>4712</v>
      </c>
      <c r="G23" s="12" t="str">
        <f>IF(AND(Tabela1[[#This Row],[Data nascimento]]&gt;=$J$2,Tabela1[[#This Row],[Data nascimento]]&lt;=$I$2),"INFANTIL A",H23)</f>
        <v>JUVENIL</v>
      </c>
      <c r="H23" s="3" t="str">
        <f>IF(AND(Tabela1[[#This Row],[Data nascimento]]&gt;=$L$2,Tabela1[[#This Row],[Data nascimento]]&lt;=$K$2),"INFANTIL B",I23)</f>
        <v>JUVENIL</v>
      </c>
      <c r="I23" s="9" t="str">
        <f>IF(AND(Tabela1[[#This Row],[Data nascimento]]&gt;=$N$2,Tabela1[[#This Row],[Data nascimento]]&lt;=$M$2),"INICIADO",J23)</f>
        <v>JUVENIL</v>
      </c>
      <c r="J23" s="9" t="str">
        <f>IF(AND(Tabela1[[#This Row],[Data nascimento]]&gt;=$P$2,Tabela1[[#This Row],[Data nascimento]]&lt;=$O$2),"JUVENIL","JÚNIOR")</f>
        <v>JUVENIL</v>
      </c>
    </row>
    <row r="24" spans="1:10" ht="15" x14ac:dyDescent="0.4">
      <c r="A24" s="13" t="s">
        <v>4523</v>
      </c>
      <c r="B24" s="2" t="s">
        <v>4524</v>
      </c>
      <c r="C24" s="4" t="s">
        <v>8</v>
      </c>
      <c r="D24" s="11">
        <v>40463</v>
      </c>
      <c r="E24" s="7" t="s">
        <v>4525</v>
      </c>
      <c r="F24" s="4" t="s">
        <v>4712</v>
      </c>
      <c r="G24" s="12" t="str">
        <f>IF(AND(Tabela1[[#This Row],[Data nascimento]]&gt;=$J$2,Tabela1[[#This Row],[Data nascimento]]&lt;=$I$2),"INFANTIL A",H24)</f>
        <v>JUVENIL</v>
      </c>
      <c r="H24" s="3" t="str">
        <f>IF(AND(Tabela1[[#This Row],[Data nascimento]]&gt;=$L$2,Tabela1[[#This Row],[Data nascimento]]&lt;=$K$2),"INFANTIL B",I24)</f>
        <v>JUVENIL</v>
      </c>
      <c r="I24" s="9" t="str">
        <f>IF(AND(Tabela1[[#This Row],[Data nascimento]]&gt;=$N$2,Tabela1[[#This Row],[Data nascimento]]&lt;=$M$2),"INICIADO",J24)</f>
        <v>JUVENIL</v>
      </c>
      <c r="J24" s="9" t="str">
        <f>IF(AND(Tabela1[[#This Row],[Data nascimento]]&gt;=$P$2,Tabela1[[#This Row],[Data nascimento]]&lt;=$O$2),"JUVENIL","JÚNIOR")</f>
        <v>JUVENIL</v>
      </c>
    </row>
    <row r="25" spans="1:10" ht="15" x14ac:dyDescent="0.4">
      <c r="A25" s="13" t="s">
        <v>3767</v>
      </c>
      <c r="B25" s="2" t="s">
        <v>3768</v>
      </c>
      <c r="C25" s="4" t="s">
        <v>8</v>
      </c>
      <c r="D25" s="11">
        <v>40544</v>
      </c>
      <c r="E25" s="7" t="s">
        <v>3769</v>
      </c>
      <c r="F25" s="4" t="s">
        <v>4716</v>
      </c>
      <c r="G25" s="12" t="str">
        <f>IF(AND(Tabela1[[#This Row],[Data nascimento]]&gt;=$J$2,Tabela1[[#This Row],[Data nascimento]]&lt;=$I$2),"INFANTIL A",H25)</f>
        <v>INICIADO</v>
      </c>
      <c r="H25" s="3" t="str">
        <f>IF(AND(Tabela1[[#This Row],[Data nascimento]]&gt;=$L$2,Tabela1[[#This Row],[Data nascimento]]&lt;=$K$2),"INFANTIL B",I25)</f>
        <v>INICIADO</v>
      </c>
      <c r="I25" s="9" t="str">
        <f>IF(AND(Tabela1[[#This Row],[Data nascimento]]&gt;=$N$2,Tabela1[[#This Row],[Data nascimento]]&lt;=$M$2),"INICIADO",J25)</f>
        <v>INICIADO</v>
      </c>
      <c r="J25" s="9" t="str">
        <f>IF(AND(Tabela1[[#This Row],[Data nascimento]]&gt;=$P$2,Tabela1[[#This Row],[Data nascimento]]&lt;=$O$2),"JUVENIL","JÚNIOR")</f>
        <v>JÚNIOR</v>
      </c>
    </row>
    <row r="26" spans="1:10" ht="15" x14ac:dyDescent="0.4">
      <c r="A26" s="13" t="s">
        <v>1184</v>
      </c>
      <c r="B26" s="2" t="s">
        <v>1185</v>
      </c>
      <c r="C26" s="4" t="s">
        <v>21</v>
      </c>
      <c r="D26" s="11">
        <v>40131</v>
      </c>
      <c r="E26" s="7" t="s">
        <v>1186</v>
      </c>
      <c r="F26" s="4" t="s">
        <v>4717</v>
      </c>
      <c r="G26" s="12" t="str">
        <f>IF(AND(Tabela1[[#This Row],[Data nascimento]]&gt;=$J$2,Tabela1[[#This Row],[Data nascimento]]&lt;=$I$2),"INFANTIL A",H26)</f>
        <v>JUVENIL</v>
      </c>
      <c r="H26" s="3" t="str">
        <f>IF(AND(Tabela1[[#This Row],[Data nascimento]]&gt;=$L$2,Tabela1[[#This Row],[Data nascimento]]&lt;=$K$2),"INFANTIL B",I26)</f>
        <v>JUVENIL</v>
      </c>
      <c r="I26" s="9" t="str">
        <f>IF(AND(Tabela1[[#This Row],[Data nascimento]]&gt;=$N$2,Tabela1[[#This Row],[Data nascimento]]&lt;=$M$2),"INICIADO",J26)</f>
        <v>JUVENIL</v>
      </c>
      <c r="J26" s="9" t="str">
        <f>IF(AND(Tabela1[[#This Row],[Data nascimento]]&gt;=$P$2,Tabela1[[#This Row],[Data nascimento]]&lt;=$O$2),"JUVENIL","JÚNIOR")</f>
        <v>JUVENIL</v>
      </c>
    </row>
    <row r="27" spans="1:10" ht="15" x14ac:dyDescent="0.4">
      <c r="A27" s="13" t="s">
        <v>3896</v>
      </c>
      <c r="B27" s="2" t="s">
        <v>3897</v>
      </c>
      <c r="C27" s="4" t="s">
        <v>8</v>
      </c>
      <c r="D27" s="11">
        <v>40411</v>
      </c>
      <c r="E27" s="7" t="s">
        <v>3898</v>
      </c>
      <c r="F27" s="4" t="s">
        <v>4716</v>
      </c>
      <c r="G27" s="12" t="str">
        <f>IF(AND(Tabela1[[#This Row],[Data nascimento]]&gt;=$J$2,Tabela1[[#This Row],[Data nascimento]]&lt;=$I$2),"INFANTIL A",H27)</f>
        <v>JUVENIL</v>
      </c>
      <c r="H27" s="3" t="str">
        <f>IF(AND(Tabela1[[#This Row],[Data nascimento]]&gt;=$L$2,Tabela1[[#This Row],[Data nascimento]]&lt;=$K$2),"INFANTIL B",I27)</f>
        <v>JUVENIL</v>
      </c>
      <c r="I27" s="9" t="str">
        <f>IF(AND(Tabela1[[#This Row],[Data nascimento]]&gt;=$N$2,Tabela1[[#This Row],[Data nascimento]]&lt;=$M$2),"INICIADO",J27)</f>
        <v>JUVENIL</v>
      </c>
      <c r="J27" s="9" t="str">
        <f>IF(AND(Tabela1[[#This Row],[Data nascimento]]&gt;=$P$2,Tabela1[[#This Row],[Data nascimento]]&lt;=$O$2),"JUVENIL","JÚNIOR")</f>
        <v>JUVENIL</v>
      </c>
    </row>
    <row r="28" spans="1:10" ht="15" x14ac:dyDescent="0.4">
      <c r="A28" s="13" t="s">
        <v>3917</v>
      </c>
      <c r="B28" s="2" t="s">
        <v>3918</v>
      </c>
      <c r="C28" s="4" t="s">
        <v>8</v>
      </c>
      <c r="D28" s="11">
        <v>40283</v>
      </c>
      <c r="E28" s="7" t="s">
        <v>3919</v>
      </c>
      <c r="F28" s="4" t="s">
        <v>4716</v>
      </c>
      <c r="G28" s="12" t="str">
        <f>IF(AND(Tabela1[[#This Row],[Data nascimento]]&gt;=$J$2,Tabela1[[#This Row],[Data nascimento]]&lt;=$I$2),"INFANTIL A",H28)</f>
        <v>JUVENIL</v>
      </c>
      <c r="H28" s="3" t="str">
        <f>IF(AND(Tabela1[[#This Row],[Data nascimento]]&gt;=$L$2,Tabela1[[#This Row],[Data nascimento]]&lt;=$K$2),"INFANTIL B",I28)</f>
        <v>JUVENIL</v>
      </c>
      <c r="I28" s="9" t="str">
        <f>IF(AND(Tabela1[[#This Row],[Data nascimento]]&gt;=$N$2,Tabela1[[#This Row],[Data nascimento]]&lt;=$M$2),"INICIADO",J28)</f>
        <v>JUVENIL</v>
      </c>
      <c r="J28" s="9" t="str">
        <f>IF(AND(Tabela1[[#This Row],[Data nascimento]]&gt;=$P$2,Tabela1[[#This Row],[Data nascimento]]&lt;=$O$2),"JUVENIL","JÚNIOR")</f>
        <v>JUVENIL</v>
      </c>
    </row>
    <row r="29" spans="1:10" ht="15" x14ac:dyDescent="0.4">
      <c r="A29" s="13" t="s">
        <v>4430</v>
      </c>
      <c r="B29" s="2" t="s">
        <v>4431</v>
      </c>
      <c r="C29" s="4" t="s">
        <v>8</v>
      </c>
      <c r="D29" s="11">
        <v>39956</v>
      </c>
      <c r="E29" s="7" t="s">
        <v>4432</v>
      </c>
      <c r="F29" s="4" t="s">
        <v>4716</v>
      </c>
      <c r="G29" s="12" t="str">
        <f>IF(AND(Tabela1[[#This Row],[Data nascimento]]&gt;=$J$2,Tabela1[[#This Row],[Data nascimento]]&lt;=$I$2),"INFANTIL A",H29)</f>
        <v>JUVENIL</v>
      </c>
      <c r="H29" s="3" t="str">
        <f>IF(AND(Tabela1[[#This Row],[Data nascimento]]&gt;=$L$2,Tabela1[[#This Row],[Data nascimento]]&lt;=$K$2),"INFANTIL B",I29)</f>
        <v>JUVENIL</v>
      </c>
      <c r="I29" s="9" t="str">
        <f>IF(AND(Tabela1[[#This Row],[Data nascimento]]&gt;=$N$2,Tabela1[[#This Row],[Data nascimento]]&lt;=$M$2),"INICIADO",J29)</f>
        <v>JUVENIL</v>
      </c>
      <c r="J29" s="9" t="str">
        <f>IF(AND(Tabela1[[#This Row],[Data nascimento]]&gt;=$P$2,Tabela1[[#This Row],[Data nascimento]]&lt;=$O$2),"JUVENIL","JÚNIOR")</f>
        <v>JUVENIL</v>
      </c>
    </row>
    <row r="30" spans="1:10" ht="15" x14ac:dyDescent="0.4">
      <c r="A30" s="13" t="s">
        <v>4541</v>
      </c>
      <c r="B30" s="2" t="s">
        <v>4542</v>
      </c>
      <c r="C30" s="4" t="s">
        <v>8</v>
      </c>
      <c r="D30" s="11">
        <v>39986</v>
      </c>
      <c r="E30" s="7" t="s">
        <v>4543</v>
      </c>
      <c r="F30" s="4" t="s">
        <v>4716</v>
      </c>
      <c r="G30" s="12" t="str">
        <f>IF(AND(Tabela1[[#This Row],[Data nascimento]]&gt;=$J$2,Tabela1[[#This Row],[Data nascimento]]&lt;=$I$2),"INFANTIL A",H30)</f>
        <v>JUVENIL</v>
      </c>
      <c r="H30" s="3" t="str">
        <f>IF(AND(Tabela1[[#This Row],[Data nascimento]]&gt;=$L$2,Tabela1[[#This Row],[Data nascimento]]&lt;=$K$2),"INFANTIL B",I30)</f>
        <v>JUVENIL</v>
      </c>
      <c r="I30" s="9" t="str">
        <f>IF(AND(Tabela1[[#This Row],[Data nascimento]]&gt;=$N$2,Tabela1[[#This Row],[Data nascimento]]&lt;=$M$2),"INICIADO",J30)</f>
        <v>JUVENIL</v>
      </c>
      <c r="J30" s="9" t="str">
        <f>IF(AND(Tabela1[[#This Row],[Data nascimento]]&gt;=$P$2,Tabela1[[#This Row],[Data nascimento]]&lt;=$O$2),"JUVENIL","JÚNIOR")</f>
        <v>JUVENIL</v>
      </c>
    </row>
    <row r="31" spans="1:10" ht="15" x14ac:dyDescent="0.4">
      <c r="A31" s="13" t="s">
        <v>1199</v>
      </c>
      <c r="B31" s="2" t="s">
        <v>1200</v>
      </c>
      <c r="C31" s="4" t="s">
        <v>21</v>
      </c>
      <c r="D31" s="11">
        <v>40540</v>
      </c>
      <c r="E31" s="7" t="s">
        <v>1201</v>
      </c>
      <c r="F31" s="4" t="s">
        <v>4715</v>
      </c>
      <c r="G31" s="12" t="str">
        <f>IF(AND(Tabela1[[#This Row],[Data nascimento]]&gt;=$J$2,Tabela1[[#This Row],[Data nascimento]]&lt;=$I$2),"INFANTIL A",H31)</f>
        <v>JUVENIL</v>
      </c>
      <c r="H31" s="3" t="str">
        <f>IF(AND(Tabela1[[#This Row],[Data nascimento]]&gt;=$L$2,Tabela1[[#This Row],[Data nascimento]]&lt;=$K$2),"INFANTIL B",I31)</f>
        <v>JUVENIL</v>
      </c>
      <c r="I31" s="9" t="str">
        <f>IF(AND(Tabela1[[#This Row],[Data nascimento]]&gt;=$N$2,Tabela1[[#This Row],[Data nascimento]]&lt;=$M$2),"INICIADO",J31)</f>
        <v>JUVENIL</v>
      </c>
      <c r="J31" s="9" t="str">
        <f>IF(AND(Tabela1[[#This Row],[Data nascimento]]&gt;=$P$2,Tabela1[[#This Row],[Data nascimento]]&lt;=$O$2),"JUVENIL","JÚNIOR")</f>
        <v>JUVENIL</v>
      </c>
    </row>
    <row r="32" spans="1:10" ht="15" x14ac:dyDescent="0.4">
      <c r="A32" s="13" t="s">
        <v>4562</v>
      </c>
      <c r="B32" s="2" t="s">
        <v>4563</v>
      </c>
      <c r="C32" s="4" t="s">
        <v>8</v>
      </c>
      <c r="D32" s="11">
        <v>39584</v>
      </c>
      <c r="E32" s="7" t="s">
        <v>4564</v>
      </c>
      <c r="F32" s="4" t="s">
        <v>4716</v>
      </c>
      <c r="G32" s="12" t="str">
        <f>IF(AND(Tabela1[[#This Row],[Data nascimento]]&gt;=$J$2,Tabela1[[#This Row],[Data nascimento]]&lt;=$I$2),"INFANTIL A",H32)</f>
        <v>JUVENIL</v>
      </c>
      <c r="H32" s="3" t="str">
        <f>IF(AND(Tabela1[[#This Row],[Data nascimento]]&gt;=$L$2,Tabela1[[#This Row],[Data nascimento]]&lt;=$K$2),"INFANTIL B",I32)</f>
        <v>JUVENIL</v>
      </c>
      <c r="I32" s="9" t="str">
        <f>IF(AND(Tabela1[[#This Row],[Data nascimento]]&gt;=$N$2,Tabela1[[#This Row],[Data nascimento]]&lt;=$M$2),"INICIADO",J32)</f>
        <v>JUVENIL</v>
      </c>
      <c r="J32" s="9" t="str">
        <f>IF(AND(Tabela1[[#This Row],[Data nascimento]]&gt;=$P$2,Tabela1[[#This Row],[Data nascimento]]&lt;=$O$2),"JUVENIL","JÚNIOR")</f>
        <v>JUVENIL</v>
      </c>
    </row>
    <row r="33" spans="1:10" ht="15" x14ac:dyDescent="0.4">
      <c r="A33" s="13" t="s">
        <v>3926</v>
      </c>
      <c r="B33" s="2" t="s">
        <v>3927</v>
      </c>
      <c r="C33" s="4" t="s">
        <v>8</v>
      </c>
      <c r="D33" s="11">
        <v>40530</v>
      </c>
      <c r="E33" s="7" t="s">
        <v>3928</v>
      </c>
      <c r="F33" s="4" t="s">
        <v>4718</v>
      </c>
      <c r="G33" s="12" t="str">
        <f>IF(AND(Tabela1[[#This Row],[Data nascimento]]&gt;=$J$2,Tabela1[[#This Row],[Data nascimento]]&lt;=$I$2),"INFANTIL A",H33)</f>
        <v>JUVENIL</v>
      </c>
      <c r="H33" s="3" t="str">
        <f>IF(AND(Tabela1[[#This Row],[Data nascimento]]&gt;=$L$2,Tabela1[[#This Row],[Data nascimento]]&lt;=$K$2),"INFANTIL B",I33)</f>
        <v>JUVENIL</v>
      </c>
      <c r="I33" s="9" t="str">
        <f>IF(AND(Tabela1[[#This Row],[Data nascimento]]&gt;=$N$2,Tabela1[[#This Row],[Data nascimento]]&lt;=$M$2),"INICIADO",J33)</f>
        <v>JUVENIL</v>
      </c>
      <c r="J33" s="9" t="str">
        <f>IF(AND(Tabela1[[#This Row],[Data nascimento]]&gt;=$P$2,Tabela1[[#This Row],[Data nascimento]]&lt;=$O$2),"JUVENIL","JÚNIOR")</f>
        <v>JUVENIL</v>
      </c>
    </row>
    <row r="34" spans="1:10" ht="15" x14ac:dyDescent="0.4">
      <c r="A34" s="13" t="s">
        <v>3929</v>
      </c>
      <c r="B34" s="2" t="s">
        <v>3930</v>
      </c>
      <c r="C34" s="4" t="s">
        <v>8</v>
      </c>
      <c r="D34" s="11">
        <v>40234</v>
      </c>
      <c r="E34" s="7" t="s">
        <v>3931</v>
      </c>
      <c r="F34" s="4" t="s">
        <v>4718</v>
      </c>
      <c r="G34" s="12" t="str">
        <f>IF(AND(Tabela1[[#This Row],[Data nascimento]]&gt;=$J$2,Tabela1[[#This Row],[Data nascimento]]&lt;=$I$2),"INFANTIL A",H34)</f>
        <v>JUVENIL</v>
      </c>
      <c r="H34" s="3" t="str">
        <f>IF(AND(Tabela1[[#This Row],[Data nascimento]]&gt;=$L$2,Tabela1[[#This Row],[Data nascimento]]&lt;=$K$2),"INFANTIL B",I34)</f>
        <v>JUVENIL</v>
      </c>
      <c r="I34" s="9" t="str">
        <f>IF(AND(Tabela1[[#This Row],[Data nascimento]]&gt;=$N$2,Tabela1[[#This Row],[Data nascimento]]&lt;=$M$2),"INICIADO",J34)</f>
        <v>JUVENIL</v>
      </c>
      <c r="J34" s="9" t="str">
        <f>IF(AND(Tabela1[[#This Row],[Data nascimento]]&gt;=$P$2,Tabela1[[#This Row],[Data nascimento]]&lt;=$O$2),"JUVENIL","JÚNIOR")</f>
        <v>JUVENIL</v>
      </c>
    </row>
    <row r="35" spans="1:10" ht="15" x14ac:dyDescent="0.4">
      <c r="A35" s="13" t="s">
        <v>3935</v>
      </c>
      <c r="B35" s="2" t="s">
        <v>3936</v>
      </c>
      <c r="C35" s="4" t="s">
        <v>8</v>
      </c>
      <c r="D35" s="11">
        <v>40303</v>
      </c>
      <c r="E35" s="7" t="s">
        <v>3937</v>
      </c>
      <c r="F35" s="4" t="s">
        <v>4718</v>
      </c>
      <c r="G35" s="12" t="str">
        <f>IF(AND(Tabela1[[#This Row],[Data nascimento]]&gt;=$J$2,Tabela1[[#This Row],[Data nascimento]]&lt;=$I$2),"INFANTIL A",H35)</f>
        <v>JUVENIL</v>
      </c>
      <c r="H35" s="3" t="str">
        <f>IF(AND(Tabela1[[#This Row],[Data nascimento]]&gt;=$L$2,Tabela1[[#This Row],[Data nascimento]]&lt;=$K$2),"INFANTIL B",I35)</f>
        <v>JUVENIL</v>
      </c>
      <c r="I35" s="9" t="str">
        <f>IF(AND(Tabela1[[#This Row],[Data nascimento]]&gt;=$N$2,Tabela1[[#This Row],[Data nascimento]]&lt;=$M$2),"INICIADO",J35)</f>
        <v>JUVENIL</v>
      </c>
      <c r="J35" s="9" t="str">
        <f>IF(AND(Tabela1[[#This Row],[Data nascimento]]&gt;=$P$2,Tabela1[[#This Row],[Data nascimento]]&lt;=$O$2),"JUVENIL","JÚNIOR")</f>
        <v>JUVENIL</v>
      </c>
    </row>
    <row r="36" spans="1:10" ht="15" x14ac:dyDescent="0.4">
      <c r="A36" s="13" t="s">
        <v>3956</v>
      </c>
      <c r="B36" s="2" t="s">
        <v>3957</v>
      </c>
      <c r="C36" s="4" t="s">
        <v>8</v>
      </c>
      <c r="D36" s="11">
        <v>40379</v>
      </c>
      <c r="E36" s="7" t="s">
        <v>3958</v>
      </c>
      <c r="F36" s="4" t="s">
        <v>4718</v>
      </c>
      <c r="G36" s="12" t="str">
        <f>IF(AND(Tabela1[[#This Row],[Data nascimento]]&gt;=$J$2,Tabela1[[#This Row],[Data nascimento]]&lt;=$I$2),"INFANTIL A",H36)</f>
        <v>JUVENIL</v>
      </c>
      <c r="H36" s="3" t="str">
        <f>IF(AND(Tabela1[[#This Row],[Data nascimento]]&gt;=$L$2,Tabela1[[#This Row],[Data nascimento]]&lt;=$K$2),"INFANTIL B",I36)</f>
        <v>JUVENIL</v>
      </c>
      <c r="I36" s="9" t="str">
        <f>IF(AND(Tabela1[[#This Row],[Data nascimento]]&gt;=$N$2,Tabela1[[#This Row],[Data nascimento]]&lt;=$M$2),"INICIADO",J36)</f>
        <v>JUVENIL</v>
      </c>
      <c r="J36" s="9" t="str">
        <f>IF(AND(Tabela1[[#This Row],[Data nascimento]]&gt;=$P$2,Tabela1[[#This Row],[Data nascimento]]&lt;=$O$2),"JUVENIL","JÚNIOR")</f>
        <v>JUVENIL</v>
      </c>
    </row>
    <row r="37" spans="1:10" ht="15" x14ac:dyDescent="0.4">
      <c r="A37" s="13" t="s">
        <v>1217</v>
      </c>
      <c r="B37" s="2" t="s">
        <v>1218</v>
      </c>
      <c r="C37" s="4" t="s">
        <v>21</v>
      </c>
      <c r="D37" s="11">
        <v>40251</v>
      </c>
      <c r="E37" s="7" t="s">
        <v>1219</v>
      </c>
      <c r="F37" s="4" t="s">
        <v>4719</v>
      </c>
      <c r="G37" s="12" t="str">
        <f>IF(AND(Tabela1[[#This Row],[Data nascimento]]&gt;=$J$2,Tabela1[[#This Row],[Data nascimento]]&lt;=$I$2),"INFANTIL A",H37)</f>
        <v>JUVENIL</v>
      </c>
      <c r="H37" s="3" t="str">
        <f>IF(AND(Tabela1[[#This Row],[Data nascimento]]&gt;=$L$2,Tabela1[[#This Row],[Data nascimento]]&lt;=$K$2),"INFANTIL B",I37)</f>
        <v>JUVENIL</v>
      </c>
      <c r="I37" s="9" t="str">
        <f>IF(AND(Tabela1[[#This Row],[Data nascimento]]&gt;=$N$2,Tabela1[[#This Row],[Data nascimento]]&lt;=$M$2),"INICIADO",J37)</f>
        <v>JUVENIL</v>
      </c>
      <c r="J37" s="9" t="str">
        <f>IF(AND(Tabela1[[#This Row],[Data nascimento]]&gt;=$P$2,Tabela1[[#This Row],[Data nascimento]]&lt;=$O$2),"JUVENIL","JÚNIOR")</f>
        <v>JUVENIL</v>
      </c>
    </row>
    <row r="38" spans="1:10" ht="15" x14ac:dyDescent="0.4">
      <c r="A38" s="13" t="s">
        <v>1220</v>
      </c>
      <c r="B38" s="2" t="s">
        <v>1221</v>
      </c>
      <c r="C38" s="4" t="s">
        <v>21</v>
      </c>
      <c r="D38" s="11">
        <v>40248</v>
      </c>
      <c r="E38" s="7" t="s">
        <v>1222</v>
      </c>
      <c r="F38" s="4" t="s">
        <v>4717</v>
      </c>
      <c r="G38" s="12" t="str">
        <f>IF(AND(Tabela1[[#This Row],[Data nascimento]]&gt;=$J$2,Tabela1[[#This Row],[Data nascimento]]&lt;=$I$2),"INFANTIL A",H38)</f>
        <v>JUVENIL</v>
      </c>
      <c r="H38" s="3" t="str">
        <f>IF(AND(Tabela1[[#This Row],[Data nascimento]]&gt;=$L$2,Tabela1[[#This Row],[Data nascimento]]&lt;=$K$2),"INFANTIL B",I38)</f>
        <v>JUVENIL</v>
      </c>
      <c r="I38" s="9" t="str">
        <f>IF(AND(Tabela1[[#This Row],[Data nascimento]]&gt;=$N$2,Tabela1[[#This Row],[Data nascimento]]&lt;=$M$2),"INICIADO",J38)</f>
        <v>JUVENIL</v>
      </c>
      <c r="J38" s="9" t="str">
        <f>IF(AND(Tabela1[[#This Row],[Data nascimento]]&gt;=$P$2,Tabela1[[#This Row],[Data nascimento]]&lt;=$O$2),"JUVENIL","JÚNIOR")</f>
        <v>JUVENIL</v>
      </c>
    </row>
    <row r="39" spans="1:10" ht="15" x14ac:dyDescent="0.4">
      <c r="A39" s="13" t="s">
        <v>1223</v>
      </c>
      <c r="B39" s="2" t="s">
        <v>1224</v>
      </c>
      <c r="C39" s="4" t="s">
        <v>21</v>
      </c>
      <c r="D39" s="11">
        <v>40335</v>
      </c>
      <c r="E39" s="7" t="s">
        <v>1225</v>
      </c>
      <c r="F39" s="4" t="s">
        <v>4717</v>
      </c>
      <c r="G39" s="12" t="str">
        <f>IF(AND(Tabela1[[#This Row],[Data nascimento]]&gt;=$J$2,Tabela1[[#This Row],[Data nascimento]]&lt;=$I$2),"INFANTIL A",H39)</f>
        <v>JUVENIL</v>
      </c>
      <c r="H39" s="3" t="str">
        <f>IF(AND(Tabela1[[#This Row],[Data nascimento]]&gt;=$L$2,Tabela1[[#This Row],[Data nascimento]]&lt;=$K$2),"INFANTIL B",I39)</f>
        <v>JUVENIL</v>
      </c>
      <c r="I39" s="9" t="str">
        <f>IF(AND(Tabela1[[#This Row],[Data nascimento]]&gt;=$N$2,Tabela1[[#This Row],[Data nascimento]]&lt;=$M$2),"INICIADO",J39)</f>
        <v>JUVENIL</v>
      </c>
      <c r="J39" s="9" t="str">
        <f>IF(AND(Tabela1[[#This Row],[Data nascimento]]&gt;=$P$2,Tabela1[[#This Row],[Data nascimento]]&lt;=$O$2),"JUVENIL","JÚNIOR")</f>
        <v>JUVENIL</v>
      </c>
    </row>
    <row r="40" spans="1:10" ht="15" x14ac:dyDescent="0.4">
      <c r="A40" s="13" t="s">
        <v>1226</v>
      </c>
      <c r="B40" s="2" t="s">
        <v>1227</v>
      </c>
      <c r="C40" s="4" t="s">
        <v>21</v>
      </c>
      <c r="D40" s="11">
        <v>40014</v>
      </c>
      <c r="E40" s="7" t="s">
        <v>1228</v>
      </c>
      <c r="F40" s="4" t="s">
        <v>4713</v>
      </c>
      <c r="G40" s="12" t="str">
        <f>IF(AND(Tabela1[[#This Row],[Data nascimento]]&gt;=$J$2,Tabela1[[#This Row],[Data nascimento]]&lt;=$I$2),"INFANTIL A",H40)</f>
        <v>JUVENIL</v>
      </c>
      <c r="H40" s="3" t="str">
        <f>IF(AND(Tabela1[[#This Row],[Data nascimento]]&gt;=$L$2,Tabela1[[#This Row],[Data nascimento]]&lt;=$K$2),"INFANTIL B",I40)</f>
        <v>JUVENIL</v>
      </c>
      <c r="I40" s="9" t="str">
        <f>IF(AND(Tabela1[[#This Row],[Data nascimento]]&gt;=$N$2,Tabela1[[#This Row],[Data nascimento]]&lt;=$M$2),"INICIADO",J40)</f>
        <v>JUVENIL</v>
      </c>
      <c r="J40" s="9" t="str">
        <f>IF(AND(Tabela1[[#This Row],[Data nascimento]]&gt;=$P$2,Tabela1[[#This Row],[Data nascimento]]&lt;=$O$2),"JUVENIL","JÚNIOR")</f>
        <v>JUVENIL</v>
      </c>
    </row>
    <row r="41" spans="1:10" ht="15" x14ac:dyDescent="0.4">
      <c r="A41" s="13" t="s">
        <v>1229</v>
      </c>
      <c r="B41" s="2" t="s">
        <v>1230</v>
      </c>
      <c r="C41" s="4" t="s">
        <v>21</v>
      </c>
      <c r="D41" s="11">
        <v>40175</v>
      </c>
      <c r="E41" s="7" t="s">
        <v>1231</v>
      </c>
      <c r="F41" s="4" t="s">
        <v>4720</v>
      </c>
      <c r="G41" s="12" t="str">
        <f>IF(AND(Tabela1[[#This Row],[Data nascimento]]&gt;=$J$2,Tabela1[[#This Row],[Data nascimento]]&lt;=$I$2),"INFANTIL A",H41)</f>
        <v>JUVENIL</v>
      </c>
      <c r="H41" s="3" t="str">
        <f>IF(AND(Tabela1[[#This Row],[Data nascimento]]&gt;=$L$2,Tabela1[[#This Row],[Data nascimento]]&lt;=$K$2),"INFANTIL B",I41)</f>
        <v>JUVENIL</v>
      </c>
      <c r="I41" s="9" t="str">
        <f>IF(AND(Tabela1[[#This Row],[Data nascimento]]&gt;=$N$2,Tabela1[[#This Row],[Data nascimento]]&lt;=$M$2),"INICIADO",J41)</f>
        <v>JUVENIL</v>
      </c>
      <c r="J41" s="9" t="str">
        <f>IF(AND(Tabela1[[#This Row],[Data nascimento]]&gt;=$P$2,Tabela1[[#This Row],[Data nascimento]]&lt;=$O$2),"JUVENIL","JÚNIOR")</f>
        <v>JUVENIL</v>
      </c>
    </row>
    <row r="42" spans="1:10" ht="15" x14ac:dyDescent="0.4">
      <c r="A42" s="13" t="s">
        <v>3965</v>
      </c>
      <c r="B42" s="2" t="s">
        <v>3966</v>
      </c>
      <c r="C42" s="4" t="s">
        <v>8</v>
      </c>
      <c r="D42" s="11">
        <v>40491</v>
      </c>
      <c r="E42" s="7" t="s">
        <v>3967</v>
      </c>
      <c r="F42" s="4" t="s">
        <v>4718</v>
      </c>
      <c r="G42" s="12" t="str">
        <f>IF(AND(Tabela1[[#This Row],[Data nascimento]]&gt;=$J$2,Tabela1[[#This Row],[Data nascimento]]&lt;=$I$2),"INFANTIL A",H42)</f>
        <v>JUVENIL</v>
      </c>
      <c r="H42" s="3" t="str">
        <f>IF(AND(Tabela1[[#This Row],[Data nascimento]]&gt;=$L$2,Tabela1[[#This Row],[Data nascimento]]&lt;=$K$2),"INFANTIL B",I42)</f>
        <v>JUVENIL</v>
      </c>
      <c r="I42" s="9" t="str">
        <f>IF(AND(Tabela1[[#This Row],[Data nascimento]]&gt;=$N$2,Tabela1[[#This Row],[Data nascimento]]&lt;=$M$2),"INICIADO",J42)</f>
        <v>JUVENIL</v>
      </c>
      <c r="J42" s="9" t="str">
        <f>IF(AND(Tabela1[[#This Row],[Data nascimento]]&gt;=$P$2,Tabela1[[#This Row],[Data nascimento]]&lt;=$O$2),"JUVENIL","JÚNIOR")</f>
        <v>JUVENIL</v>
      </c>
    </row>
    <row r="43" spans="1:10" ht="15" x14ac:dyDescent="0.4">
      <c r="A43" s="13" t="s">
        <v>4019</v>
      </c>
      <c r="B43" s="2" t="s">
        <v>4020</v>
      </c>
      <c r="C43" s="4" t="s">
        <v>8</v>
      </c>
      <c r="D43" s="11">
        <v>40533</v>
      </c>
      <c r="E43" s="7" t="s">
        <v>4021</v>
      </c>
      <c r="F43" s="4" t="s">
        <v>4718</v>
      </c>
      <c r="G43" s="12" t="str">
        <f>IF(AND(Tabela1[[#This Row],[Data nascimento]]&gt;=$J$2,Tabela1[[#This Row],[Data nascimento]]&lt;=$I$2),"INFANTIL A",H43)</f>
        <v>JUVENIL</v>
      </c>
      <c r="H43" s="3" t="str">
        <f>IF(AND(Tabela1[[#This Row],[Data nascimento]]&gt;=$L$2,Tabela1[[#This Row],[Data nascimento]]&lt;=$K$2),"INFANTIL B",I43)</f>
        <v>JUVENIL</v>
      </c>
      <c r="I43" s="9" t="str">
        <f>IF(AND(Tabela1[[#This Row],[Data nascimento]]&gt;=$N$2,Tabela1[[#This Row],[Data nascimento]]&lt;=$M$2),"INICIADO",J43)</f>
        <v>JUVENIL</v>
      </c>
      <c r="J43" s="9" t="str">
        <f>IF(AND(Tabela1[[#This Row],[Data nascimento]]&gt;=$P$2,Tabela1[[#This Row],[Data nascimento]]&lt;=$O$2),"JUVENIL","JÚNIOR")</f>
        <v>JUVENIL</v>
      </c>
    </row>
    <row r="44" spans="1:10" ht="15" x14ac:dyDescent="0.4">
      <c r="A44" s="13" t="s">
        <v>1238</v>
      </c>
      <c r="B44" s="2" t="s">
        <v>1239</v>
      </c>
      <c r="C44" s="4" t="s">
        <v>21</v>
      </c>
      <c r="D44" s="11">
        <v>40456</v>
      </c>
      <c r="E44" s="7" t="s">
        <v>1240</v>
      </c>
      <c r="F44" s="4" t="s">
        <v>4721</v>
      </c>
      <c r="G44" s="12" t="str">
        <f>IF(AND(Tabela1[[#This Row],[Data nascimento]]&gt;=$J$2,Tabela1[[#This Row],[Data nascimento]]&lt;=$I$2),"INFANTIL A",H44)</f>
        <v>JUVENIL</v>
      </c>
      <c r="H44" s="3" t="str">
        <f>IF(AND(Tabela1[[#This Row],[Data nascimento]]&gt;=$L$2,Tabela1[[#This Row],[Data nascimento]]&lt;=$K$2),"INFANTIL B",I44)</f>
        <v>JUVENIL</v>
      </c>
      <c r="I44" s="9" t="str">
        <f>IF(AND(Tabela1[[#This Row],[Data nascimento]]&gt;=$N$2,Tabela1[[#This Row],[Data nascimento]]&lt;=$M$2),"INICIADO",J44)</f>
        <v>JUVENIL</v>
      </c>
      <c r="J44" s="9" t="str">
        <f>IF(AND(Tabela1[[#This Row],[Data nascimento]]&gt;=$P$2,Tabela1[[#This Row],[Data nascimento]]&lt;=$O$2),"JUVENIL","JÚNIOR")</f>
        <v>JUVENIL</v>
      </c>
    </row>
    <row r="45" spans="1:10" ht="15" x14ac:dyDescent="0.4">
      <c r="A45" s="13" t="s">
        <v>4031</v>
      </c>
      <c r="B45" s="2" t="s">
        <v>4032</v>
      </c>
      <c r="C45" s="4" t="s">
        <v>8</v>
      </c>
      <c r="D45" s="11">
        <v>40204</v>
      </c>
      <c r="E45" s="7" t="s">
        <v>4033</v>
      </c>
      <c r="F45" s="4" t="s">
        <v>4718</v>
      </c>
      <c r="G45" s="12" t="str">
        <f>IF(AND(Tabela1[[#This Row],[Data nascimento]]&gt;=$J$2,Tabela1[[#This Row],[Data nascimento]]&lt;=$I$2),"INFANTIL A",H45)</f>
        <v>JUVENIL</v>
      </c>
      <c r="H45" s="3" t="str">
        <f>IF(AND(Tabela1[[#This Row],[Data nascimento]]&gt;=$L$2,Tabela1[[#This Row],[Data nascimento]]&lt;=$K$2),"INFANTIL B",I45)</f>
        <v>JUVENIL</v>
      </c>
      <c r="I45" s="9" t="str">
        <f>IF(AND(Tabela1[[#This Row],[Data nascimento]]&gt;=$N$2,Tabela1[[#This Row],[Data nascimento]]&lt;=$M$2),"INICIADO",J45)</f>
        <v>JUVENIL</v>
      </c>
      <c r="J45" s="9" t="str">
        <f>IF(AND(Tabela1[[#This Row],[Data nascimento]]&gt;=$P$2,Tabela1[[#This Row],[Data nascimento]]&lt;=$O$2),"JUVENIL","JÚNIOR")</f>
        <v>JUVENIL</v>
      </c>
    </row>
    <row r="46" spans="1:10" ht="15" x14ac:dyDescent="0.4">
      <c r="A46" s="13" t="s">
        <v>4034</v>
      </c>
      <c r="B46" s="2" t="s">
        <v>4035</v>
      </c>
      <c r="C46" s="4" t="s">
        <v>8</v>
      </c>
      <c r="D46" s="11">
        <v>40292</v>
      </c>
      <c r="E46" s="7" t="s">
        <v>4036</v>
      </c>
      <c r="F46" s="4" t="s">
        <v>4718</v>
      </c>
      <c r="G46" s="12" t="str">
        <f>IF(AND(Tabela1[[#This Row],[Data nascimento]]&gt;=$J$2,Tabela1[[#This Row],[Data nascimento]]&lt;=$I$2),"INFANTIL A",H46)</f>
        <v>JUVENIL</v>
      </c>
      <c r="H46" s="3" t="str">
        <f>IF(AND(Tabela1[[#This Row],[Data nascimento]]&gt;=$L$2,Tabela1[[#This Row],[Data nascimento]]&lt;=$K$2),"INFANTIL B",I46)</f>
        <v>JUVENIL</v>
      </c>
      <c r="I46" s="9" t="str">
        <f>IF(AND(Tabela1[[#This Row],[Data nascimento]]&gt;=$N$2,Tabela1[[#This Row],[Data nascimento]]&lt;=$M$2),"INICIADO",J46)</f>
        <v>JUVENIL</v>
      </c>
      <c r="J46" s="9" t="str">
        <f>IF(AND(Tabela1[[#This Row],[Data nascimento]]&gt;=$P$2,Tabela1[[#This Row],[Data nascimento]]&lt;=$O$2),"JUVENIL","JÚNIOR")</f>
        <v>JUVENIL</v>
      </c>
    </row>
    <row r="47" spans="1:10" ht="15" x14ac:dyDescent="0.4">
      <c r="A47" s="13" t="s">
        <v>4037</v>
      </c>
      <c r="B47" s="2" t="s">
        <v>4038</v>
      </c>
      <c r="C47" s="4" t="s">
        <v>8</v>
      </c>
      <c r="D47" s="11">
        <v>40221</v>
      </c>
      <c r="E47" s="7" t="s">
        <v>4039</v>
      </c>
      <c r="F47" s="4" t="s">
        <v>4718</v>
      </c>
      <c r="G47" s="12" t="str">
        <f>IF(AND(Tabela1[[#This Row],[Data nascimento]]&gt;=$J$2,Tabela1[[#This Row],[Data nascimento]]&lt;=$I$2),"INFANTIL A",H47)</f>
        <v>JUVENIL</v>
      </c>
      <c r="H47" s="3" t="str">
        <f>IF(AND(Tabela1[[#This Row],[Data nascimento]]&gt;=$L$2,Tabela1[[#This Row],[Data nascimento]]&lt;=$K$2),"INFANTIL B",I47)</f>
        <v>JUVENIL</v>
      </c>
      <c r="I47" s="9" t="str">
        <f>IF(AND(Tabela1[[#This Row],[Data nascimento]]&gt;=$N$2,Tabela1[[#This Row],[Data nascimento]]&lt;=$M$2),"INICIADO",J47)</f>
        <v>JUVENIL</v>
      </c>
      <c r="J47" s="9" t="str">
        <f>IF(AND(Tabela1[[#This Row],[Data nascimento]]&gt;=$P$2,Tabela1[[#This Row],[Data nascimento]]&lt;=$O$2),"JUVENIL","JÚNIOR")</f>
        <v>JUVENIL</v>
      </c>
    </row>
    <row r="48" spans="1:10" ht="15" x14ac:dyDescent="0.4">
      <c r="A48" s="13" t="s">
        <v>4040</v>
      </c>
      <c r="B48" s="2" t="s">
        <v>4041</v>
      </c>
      <c r="C48" s="4" t="s">
        <v>8</v>
      </c>
      <c r="D48" s="11">
        <v>40134</v>
      </c>
      <c r="E48" s="7" t="s">
        <v>4042</v>
      </c>
      <c r="F48" s="4" t="s">
        <v>4718</v>
      </c>
      <c r="G48" s="12" t="str">
        <f>IF(AND(Tabela1[[#This Row],[Data nascimento]]&gt;=$J$2,Tabela1[[#This Row],[Data nascimento]]&lt;=$I$2),"INFANTIL A",H48)</f>
        <v>JUVENIL</v>
      </c>
      <c r="H48" s="3" t="str">
        <f>IF(AND(Tabela1[[#This Row],[Data nascimento]]&gt;=$L$2,Tabela1[[#This Row],[Data nascimento]]&lt;=$K$2),"INFANTIL B",I48)</f>
        <v>JUVENIL</v>
      </c>
      <c r="I48" s="9" t="str">
        <f>IF(AND(Tabela1[[#This Row],[Data nascimento]]&gt;=$N$2,Tabela1[[#This Row],[Data nascimento]]&lt;=$M$2),"INICIADO",J48)</f>
        <v>JUVENIL</v>
      </c>
      <c r="J48" s="9" t="str">
        <f>IF(AND(Tabela1[[#This Row],[Data nascimento]]&gt;=$P$2,Tabela1[[#This Row],[Data nascimento]]&lt;=$O$2),"JUVENIL","JÚNIOR")</f>
        <v>JUVENIL</v>
      </c>
    </row>
    <row r="49" spans="1:10" ht="15" x14ac:dyDescent="0.4">
      <c r="A49" s="13" t="s">
        <v>4043</v>
      </c>
      <c r="B49" s="2" t="s">
        <v>4044</v>
      </c>
      <c r="C49" s="4" t="s">
        <v>8</v>
      </c>
      <c r="D49" s="11">
        <v>40371</v>
      </c>
      <c r="E49" s="7" t="s">
        <v>4045</v>
      </c>
      <c r="F49" s="4" t="s">
        <v>4718</v>
      </c>
      <c r="G49" s="12" t="str">
        <f>IF(AND(Tabela1[[#This Row],[Data nascimento]]&gt;=$J$2,Tabela1[[#This Row],[Data nascimento]]&lt;=$I$2),"INFANTIL A",H49)</f>
        <v>JUVENIL</v>
      </c>
      <c r="H49" s="3" t="str">
        <f>IF(AND(Tabela1[[#This Row],[Data nascimento]]&gt;=$L$2,Tabela1[[#This Row],[Data nascimento]]&lt;=$K$2),"INFANTIL B",I49)</f>
        <v>JUVENIL</v>
      </c>
      <c r="I49" s="9" t="str">
        <f>IF(AND(Tabela1[[#This Row],[Data nascimento]]&gt;=$N$2,Tabela1[[#This Row],[Data nascimento]]&lt;=$M$2),"INICIADO",J49)</f>
        <v>JUVENIL</v>
      </c>
      <c r="J49" s="9" t="str">
        <f>IF(AND(Tabela1[[#This Row],[Data nascimento]]&gt;=$P$2,Tabela1[[#This Row],[Data nascimento]]&lt;=$O$2),"JUVENIL","JÚNIOR")</f>
        <v>JUVENIL</v>
      </c>
    </row>
    <row r="50" spans="1:10" ht="15" x14ac:dyDescent="0.4">
      <c r="A50" s="13" t="s">
        <v>1256</v>
      </c>
      <c r="B50" s="2" t="s">
        <v>1257</v>
      </c>
      <c r="C50" s="4" t="s">
        <v>21</v>
      </c>
      <c r="D50" s="11">
        <v>39841</v>
      </c>
      <c r="E50" s="7" t="s">
        <v>1258</v>
      </c>
      <c r="F50" s="4" t="s">
        <v>4719</v>
      </c>
      <c r="G50" s="12" t="str">
        <f>IF(AND(Tabela1[[#This Row],[Data nascimento]]&gt;=$J$2,Tabela1[[#This Row],[Data nascimento]]&lt;=$I$2),"INFANTIL A",H50)</f>
        <v>JUVENIL</v>
      </c>
      <c r="H50" s="3" t="str">
        <f>IF(AND(Tabela1[[#This Row],[Data nascimento]]&gt;=$L$2,Tabela1[[#This Row],[Data nascimento]]&lt;=$K$2),"INFANTIL B",I50)</f>
        <v>JUVENIL</v>
      </c>
      <c r="I50" s="9" t="str">
        <f>IF(AND(Tabela1[[#This Row],[Data nascimento]]&gt;=$N$2,Tabela1[[#This Row],[Data nascimento]]&lt;=$M$2),"INICIADO",J50)</f>
        <v>JUVENIL</v>
      </c>
      <c r="J50" s="9" t="str">
        <f>IF(AND(Tabela1[[#This Row],[Data nascimento]]&gt;=$P$2,Tabela1[[#This Row],[Data nascimento]]&lt;=$O$2),"JUVENIL","JÚNIOR")</f>
        <v>JUVENIL</v>
      </c>
    </row>
    <row r="51" spans="1:10" ht="15" x14ac:dyDescent="0.4">
      <c r="A51" s="13" t="s">
        <v>4364</v>
      </c>
      <c r="B51" s="2" t="s">
        <v>4365</v>
      </c>
      <c r="C51" s="4" t="s">
        <v>8</v>
      </c>
      <c r="D51" s="11">
        <v>40517</v>
      </c>
      <c r="E51" s="7" t="s">
        <v>4366</v>
      </c>
      <c r="F51" s="4" t="s">
        <v>4718</v>
      </c>
      <c r="G51" s="12" t="str">
        <f>IF(AND(Tabela1[[#This Row],[Data nascimento]]&gt;=$J$2,Tabela1[[#This Row],[Data nascimento]]&lt;=$I$2),"INFANTIL A",H51)</f>
        <v>JUVENIL</v>
      </c>
      <c r="H51" s="3" t="str">
        <f>IF(AND(Tabela1[[#This Row],[Data nascimento]]&gt;=$L$2,Tabela1[[#This Row],[Data nascimento]]&lt;=$K$2),"INFANTIL B",I51)</f>
        <v>JUVENIL</v>
      </c>
      <c r="I51" s="9" t="str">
        <f>IF(AND(Tabela1[[#This Row],[Data nascimento]]&gt;=$N$2,Tabela1[[#This Row],[Data nascimento]]&lt;=$M$2),"INICIADO",J51)</f>
        <v>JUVENIL</v>
      </c>
      <c r="J51" s="9" t="str">
        <f>IF(AND(Tabela1[[#This Row],[Data nascimento]]&gt;=$P$2,Tabela1[[#This Row],[Data nascimento]]&lt;=$O$2),"JUVENIL","JÚNIOR")</f>
        <v>JUVENIL</v>
      </c>
    </row>
    <row r="52" spans="1:10" ht="15" x14ac:dyDescent="0.4">
      <c r="A52" s="13" t="s">
        <v>1262</v>
      </c>
      <c r="B52" s="2" t="s">
        <v>1263</v>
      </c>
      <c r="C52" s="4" t="s">
        <v>21</v>
      </c>
      <c r="D52" s="11">
        <v>39698</v>
      </c>
      <c r="E52" s="7" t="s">
        <v>1264</v>
      </c>
      <c r="F52" s="4" t="s">
        <v>4715</v>
      </c>
      <c r="G52" s="12" t="str">
        <f>IF(AND(Tabela1[[#This Row],[Data nascimento]]&gt;=$J$2,Tabela1[[#This Row],[Data nascimento]]&lt;=$I$2),"INFANTIL A",H52)</f>
        <v>JUVENIL</v>
      </c>
      <c r="H52" s="3" t="str">
        <f>IF(AND(Tabela1[[#This Row],[Data nascimento]]&gt;=$L$2,Tabela1[[#This Row],[Data nascimento]]&lt;=$K$2),"INFANTIL B",I52)</f>
        <v>JUVENIL</v>
      </c>
      <c r="I52" s="9" t="str">
        <f>IF(AND(Tabela1[[#This Row],[Data nascimento]]&gt;=$N$2,Tabela1[[#This Row],[Data nascimento]]&lt;=$M$2),"INICIADO",J52)</f>
        <v>JUVENIL</v>
      </c>
      <c r="J52" s="9" t="str">
        <f>IF(AND(Tabela1[[#This Row],[Data nascimento]]&gt;=$P$2,Tabela1[[#This Row],[Data nascimento]]&lt;=$O$2),"JUVENIL","JÚNIOR")</f>
        <v>JUVENIL</v>
      </c>
    </row>
    <row r="53" spans="1:10" ht="15" x14ac:dyDescent="0.4">
      <c r="A53" s="13" t="s">
        <v>4490</v>
      </c>
      <c r="B53" s="2" t="s">
        <v>4491</v>
      </c>
      <c r="C53" s="4" t="s">
        <v>8</v>
      </c>
      <c r="D53" s="11">
        <v>40354</v>
      </c>
      <c r="E53" s="7" t="s">
        <v>4492</v>
      </c>
      <c r="F53" s="4" t="s">
        <v>4718</v>
      </c>
      <c r="G53" s="12" t="str">
        <f>IF(AND(Tabela1[[#This Row],[Data nascimento]]&gt;=$J$2,Tabela1[[#This Row],[Data nascimento]]&lt;=$I$2),"INFANTIL A",H53)</f>
        <v>JUVENIL</v>
      </c>
      <c r="H53" s="3" t="str">
        <f>IF(AND(Tabela1[[#This Row],[Data nascimento]]&gt;=$L$2,Tabela1[[#This Row],[Data nascimento]]&lt;=$K$2),"INFANTIL B",I53)</f>
        <v>JUVENIL</v>
      </c>
      <c r="I53" s="9" t="str">
        <f>IF(AND(Tabela1[[#This Row],[Data nascimento]]&gt;=$N$2,Tabela1[[#This Row],[Data nascimento]]&lt;=$M$2),"INICIADO",J53)</f>
        <v>JUVENIL</v>
      </c>
      <c r="J53" s="9" t="str">
        <f>IF(AND(Tabela1[[#This Row],[Data nascimento]]&gt;=$P$2,Tabela1[[#This Row],[Data nascimento]]&lt;=$O$2),"JUVENIL","JÚNIOR")</f>
        <v>JUVENIL</v>
      </c>
    </row>
    <row r="54" spans="1:10" ht="15" x14ac:dyDescent="0.4">
      <c r="A54" s="13" t="s">
        <v>3944</v>
      </c>
      <c r="B54" s="2" t="s">
        <v>3945</v>
      </c>
      <c r="C54" s="4" t="s">
        <v>8</v>
      </c>
      <c r="D54" s="11">
        <v>40234</v>
      </c>
      <c r="E54" s="7" t="s">
        <v>3946</v>
      </c>
      <c r="F54" s="4" t="s">
        <v>4722</v>
      </c>
      <c r="G54" s="12" t="str">
        <f>IF(AND(Tabela1[[#This Row],[Data nascimento]]&gt;=$J$2,Tabela1[[#This Row],[Data nascimento]]&lt;=$I$2),"INFANTIL A",H54)</f>
        <v>JUVENIL</v>
      </c>
      <c r="H54" s="3" t="str">
        <f>IF(AND(Tabela1[[#This Row],[Data nascimento]]&gt;=$L$2,Tabela1[[#This Row],[Data nascimento]]&lt;=$K$2),"INFANTIL B",I54)</f>
        <v>JUVENIL</v>
      </c>
      <c r="I54" s="9" t="str">
        <f>IF(AND(Tabela1[[#This Row],[Data nascimento]]&gt;=$N$2,Tabela1[[#This Row],[Data nascimento]]&lt;=$M$2),"INICIADO",J54)</f>
        <v>JUVENIL</v>
      </c>
      <c r="J54" s="9" t="str">
        <f>IF(AND(Tabela1[[#This Row],[Data nascimento]]&gt;=$P$2,Tabela1[[#This Row],[Data nascimento]]&lt;=$O$2),"JUVENIL","JÚNIOR")</f>
        <v>JUVENIL</v>
      </c>
    </row>
    <row r="55" spans="1:10" ht="15" x14ac:dyDescent="0.4">
      <c r="A55" s="13" t="s">
        <v>3947</v>
      </c>
      <c r="B55" s="2" t="s">
        <v>3948</v>
      </c>
      <c r="C55" s="4" t="s">
        <v>8</v>
      </c>
      <c r="D55" s="11">
        <v>40134</v>
      </c>
      <c r="E55" s="7" t="s">
        <v>3949</v>
      </c>
      <c r="F55" s="4" t="s">
        <v>4722</v>
      </c>
      <c r="G55" s="12" t="str">
        <f>IF(AND(Tabela1[[#This Row],[Data nascimento]]&gt;=$J$2,Tabela1[[#This Row],[Data nascimento]]&lt;=$I$2),"INFANTIL A",H55)</f>
        <v>JUVENIL</v>
      </c>
      <c r="H55" s="3" t="str">
        <f>IF(AND(Tabela1[[#This Row],[Data nascimento]]&gt;=$L$2,Tabela1[[#This Row],[Data nascimento]]&lt;=$K$2),"INFANTIL B",I55)</f>
        <v>JUVENIL</v>
      </c>
      <c r="I55" s="9" t="str">
        <f>IF(AND(Tabela1[[#This Row],[Data nascimento]]&gt;=$N$2,Tabela1[[#This Row],[Data nascimento]]&lt;=$M$2),"INICIADO",J55)</f>
        <v>JUVENIL</v>
      </c>
      <c r="J55" s="9" t="str">
        <f>IF(AND(Tabela1[[#This Row],[Data nascimento]]&gt;=$P$2,Tabela1[[#This Row],[Data nascimento]]&lt;=$O$2),"JUVENIL","JÚNIOR")</f>
        <v>JUVENIL</v>
      </c>
    </row>
    <row r="56" spans="1:10" ht="15" x14ac:dyDescent="0.4">
      <c r="A56" s="13" t="s">
        <v>3950</v>
      </c>
      <c r="B56" s="2" t="s">
        <v>3951</v>
      </c>
      <c r="C56" s="4" t="s">
        <v>8</v>
      </c>
      <c r="D56" s="11">
        <v>40474</v>
      </c>
      <c r="E56" s="7" t="s">
        <v>3952</v>
      </c>
      <c r="F56" s="4" t="s">
        <v>4722</v>
      </c>
      <c r="G56" s="12" t="str">
        <f>IF(AND(Tabela1[[#This Row],[Data nascimento]]&gt;=$J$2,Tabela1[[#This Row],[Data nascimento]]&lt;=$I$2),"INFANTIL A",H56)</f>
        <v>JUVENIL</v>
      </c>
      <c r="H56" s="3" t="str">
        <f>IF(AND(Tabela1[[#This Row],[Data nascimento]]&gt;=$L$2,Tabela1[[#This Row],[Data nascimento]]&lt;=$K$2),"INFANTIL B",I56)</f>
        <v>JUVENIL</v>
      </c>
      <c r="I56" s="9" t="str">
        <f>IF(AND(Tabela1[[#This Row],[Data nascimento]]&gt;=$N$2,Tabela1[[#This Row],[Data nascimento]]&lt;=$M$2),"INICIADO",J56)</f>
        <v>JUVENIL</v>
      </c>
      <c r="J56" s="9" t="str">
        <f>IF(AND(Tabela1[[#This Row],[Data nascimento]]&gt;=$P$2,Tabela1[[#This Row],[Data nascimento]]&lt;=$O$2),"JUVENIL","JÚNIOR")</f>
        <v>JUVENIL</v>
      </c>
    </row>
    <row r="57" spans="1:10" ht="15" x14ac:dyDescent="0.4">
      <c r="A57" s="13" t="s">
        <v>1277</v>
      </c>
      <c r="B57" s="2" t="s">
        <v>1278</v>
      </c>
      <c r="C57" s="4" t="s">
        <v>21</v>
      </c>
      <c r="D57" s="11">
        <v>40423</v>
      </c>
      <c r="E57" s="7" t="s">
        <v>1279</v>
      </c>
      <c r="F57" s="4" t="s">
        <v>4715</v>
      </c>
      <c r="G57" s="12" t="str">
        <f>IF(AND(Tabela1[[#This Row],[Data nascimento]]&gt;=$J$2,Tabela1[[#This Row],[Data nascimento]]&lt;=$I$2),"INFANTIL A",H57)</f>
        <v>JUVENIL</v>
      </c>
      <c r="H57" s="3" t="str">
        <f>IF(AND(Tabela1[[#This Row],[Data nascimento]]&gt;=$L$2,Tabela1[[#This Row],[Data nascimento]]&lt;=$K$2),"INFANTIL B",I57)</f>
        <v>JUVENIL</v>
      </c>
      <c r="I57" s="9" t="str">
        <f>IF(AND(Tabela1[[#This Row],[Data nascimento]]&gt;=$N$2,Tabela1[[#This Row],[Data nascimento]]&lt;=$M$2),"INICIADO",J57)</f>
        <v>JUVENIL</v>
      </c>
      <c r="J57" s="9" t="str">
        <f>IF(AND(Tabela1[[#This Row],[Data nascimento]]&gt;=$P$2,Tabela1[[#This Row],[Data nascimento]]&lt;=$O$2),"JUVENIL","JÚNIOR")</f>
        <v>JUVENIL</v>
      </c>
    </row>
    <row r="58" spans="1:10" ht="15" x14ac:dyDescent="0.4">
      <c r="A58" s="13" t="s">
        <v>1280</v>
      </c>
      <c r="B58" s="2" t="s">
        <v>1281</v>
      </c>
      <c r="C58" s="4" t="s">
        <v>21</v>
      </c>
      <c r="D58" s="11">
        <v>40489</v>
      </c>
      <c r="E58" s="7" t="s">
        <v>1282</v>
      </c>
      <c r="F58" s="4" t="s">
        <v>4717</v>
      </c>
      <c r="G58" s="12" t="str">
        <f>IF(AND(Tabela1[[#This Row],[Data nascimento]]&gt;=$J$2,Tabela1[[#This Row],[Data nascimento]]&lt;=$I$2),"INFANTIL A",H58)</f>
        <v>JUVENIL</v>
      </c>
      <c r="H58" s="3" t="str">
        <f>IF(AND(Tabela1[[#This Row],[Data nascimento]]&gt;=$L$2,Tabela1[[#This Row],[Data nascimento]]&lt;=$K$2),"INFANTIL B",I58)</f>
        <v>JUVENIL</v>
      </c>
      <c r="I58" s="9" t="str">
        <f>IF(AND(Tabela1[[#This Row],[Data nascimento]]&gt;=$N$2,Tabela1[[#This Row],[Data nascimento]]&lt;=$M$2),"INICIADO",J58)</f>
        <v>JUVENIL</v>
      </c>
      <c r="J58" s="9" t="str">
        <f>IF(AND(Tabela1[[#This Row],[Data nascimento]]&gt;=$P$2,Tabela1[[#This Row],[Data nascimento]]&lt;=$O$2),"JUVENIL","JÚNIOR")</f>
        <v>JUVENIL</v>
      </c>
    </row>
    <row r="59" spans="1:10" ht="15" x14ac:dyDescent="0.4">
      <c r="A59" s="13" t="s">
        <v>1283</v>
      </c>
      <c r="B59" s="2" t="s">
        <v>1284</v>
      </c>
      <c r="C59" s="4" t="s">
        <v>21</v>
      </c>
      <c r="D59" s="11">
        <v>40150</v>
      </c>
      <c r="E59" s="7" t="s">
        <v>1285</v>
      </c>
      <c r="F59" s="4" t="s">
        <v>4721</v>
      </c>
      <c r="G59" s="12" t="str">
        <f>IF(AND(Tabela1[[#This Row],[Data nascimento]]&gt;=$J$2,Tabela1[[#This Row],[Data nascimento]]&lt;=$I$2),"INFANTIL A",H59)</f>
        <v>JUVENIL</v>
      </c>
      <c r="H59" s="3" t="str">
        <f>IF(AND(Tabela1[[#This Row],[Data nascimento]]&gt;=$L$2,Tabela1[[#This Row],[Data nascimento]]&lt;=$K$2),"INFANTIL B",I59)</f>
        <v>JUVENIL</v>
      </c>
      <c r="I59" s="9" t="str">
        <f>IF(AND(Tabela1[[#This Row],[Data nascimento]]&gt;=$N$2,Tabela1[[#This Row],[Data nascimento]]&lt;=$M$2),"INICIADO",J59)</f>
        <v>JUVENIL</v>
      </c>
      <c r="J59" s="9" t="str">
        <f>IF(AND(Tabela1[[#This Row],[Data nascimento]]&gt;=$P$2,Tabela1[[#This Row],[Data nascimento]]&lt;=$O$2),"JUVENIL","JÚNIOR")</f>
        <v>JUVENIL</v>
      </c>
    </row>
    <row r="60" spans="1:10" ht="15" x14ac:dyDescent="0.4">
      <c r="A60" s="13" t="s">
        <v>3977</v>
      </c>
      <c r="B60" s="2" t="s">
        <v>3978</v>
      </c>
      <c r="C60" s="4" t="s">
        <v>8</v>
      </c>
      <c r="D60" s="11">
        <v>40362</v>
      </c>
      <c r="E60" s="7" t="s">
        <v>3979</v>
      </c>
      <c r="F60" s="4" t="s">
        <v>4722</v>
      </c>
      <c r="G60" s="12" t="str">
        <f>IF(AND(Tabela1[[#This Row],[Data nascimento]]&gt;=$J$2,Tabela1[[#This Row],[Data nascimento]]&lt;=$I$2),"INFANTIL A",H60)</f>
        <v>JUVENIL</v>
      </c>
      <c r="H60" s="3" t="str">
        <f>IF(AND(Tabela1[[#This Row],[Data nascimento]]&gt;=$L$2,Tabela1[[#This Row],[Data nascimento]]&lt;=$K$2),"INFANTIL B",I60)</f>
        <v>JUVENIL</v>
      </c>
      <c r="I60" s="9" t="str">
        <f>IF(AND(Tabela1[[#This Row],[Data nascimento]]&gt;=$N$2,Tabela1[[#This Row],[Data nascimento]]&lt;=$M$2),"INICIADO",J60)</f>
        <v>JUVENIL</v>
      </c>
      <c r="J60" s="9" t="str">
        <f>IF(AND(Tabela1[[#This Row],[Data nascimento]]&gt;=$P$2,Tabela1[[#This Row],[Data nascimento]]&lt;=$O$2),"JUVENIL","JÚNIOR")</f>
        <v>JUVENIL</v>
      </c>
    </row>
    <row r="61" spans="1:10" ht="15" x14ac:dyDescent="0.4">
      <c r="A61" s="13" t="s">
        <v>3980</v>
      </c>
      <c r="B61" s="2" t="s">
        <v>3981</v>
      </c>
      <c r="C61" s="4" t="s">
        <v>8</v>
      </c>
      <c r="D61" s="11">
        <v>40254</v>
      </c>
      <c r="E61" s="7" t="s">
        <v>3982</v>
      </c>
      <c r="F61" s="4" t="s">
        <v>4722</v>
      </c>
      <c r="G61" s="12" t="str">
        <f>IF(AND(Tabela1[[#This Row],[Data nascimento]]&gt;=$J$2,Tabela1[[#This Row],[Data nascimento]]&lt;=$I$2),"INFANTIL A",H61)</f>
        <v>JUVENIL</v>
      </c>
      <c r="H61" s="3" t="str">
        <f>IF(AND(Tabela1[[#This Row],[Data nascimento]]&gt;=$L$2,Tabela1[[#This Row],[Data nascimento]]&lt;=$K$2),"INFANTIL B",I61)</f>
        <v>JUVENIL</v>
      </c>
      <c r="I61" s="9" t="str">
        <f>IF(AND(Tabela1[[#This Row],[Data nascimento]]&gt;=$N$2,Tabela1[[#This Row],[Data nascimento]]&lt;=$M$2),"INICIADO",J61)</f>
        <v>JUVENIL</v>
      </c>
      <c r="J61" s="9" t="str">
        <f>IF(AND(Tabela1[[#This Row],[Data nascimento]]&gt;=$P$2,Tabela1[[#This Row],[Data nascimento]]&lt;=$O$2),"JUVENIL","JÚNIOR")</f>
        <v>JUVENIL</v>
      </c>
    </row>
    <row r="62" spans="1:10" ht="15" x14ac:dyDescent="0.4">
      <c r="A62" s="13" t="s">
        <v>1292</v>
      </c>
      <c r="B62" s="2" t="s">
        <v>1293</v>
      </c>
      <c r="C62" s="4" t="s">
        <v>21</v>
      </c>
      <c r="D62" s="11">
        <v>40260</v>
      </c>
      <c r="E62" s="7" t="s">
        <v>1294</v>
      </c>
      <c r="F62" s="4" t="s">
        <v>4713</v>
      </c>
      <c r="G62" s="12" t="str">
        <f>IF(AND(Tabela1[[#This Row],[Data nascimento]]&gt;=$J$2,Tabela1[[#This Row],[Data nascimento]]&lt;=$I$2),"INFANTIL A",H62)</f>
        <v>JUVENIL</v>
      </c>
      <c r="H62" s="3" t="str">
        <f>IF(AND(Tabela1[[#This Row],[Data nascimento]]&gt;=$L$2,Tabela1[[#This Row],[Data nascimento]]&lt;=$K$2),"INFANTIL B",I62)</f>
        <v>JUVENIL</v>
      </c>
      <c r="I62" s="9" t="str">
        <f>IF(AND(Tabela1[[#This Row],[Data nascimento]]&gt;=$N$2,Tabela1[[#This Row],[Data nascimento]]&lt;=$M$2),"INICIADO",J62)</f>
        <v>JUVENIL</v>
      </c>
      <c r="J62" s="9" t="str">
        <f>IF(AND(Tabela1[[#This Row],[Data nascimento]]&gt;=$P$2,Tabela1[[#This Row],[Data nascimento]]&lt;=$O$2),"JUVENIL","JÚNIOR")</f>
        <v>JUVENIL</v>
      </c>
    </row>
    <row r="63" spans="1:10" ht="15" x14ac:dyDescent="0.4">
      <c r="A63" s="13" t="s">
        <v>3983</v>
      </c>
      <c r="B63" s="2" t="s">
        <v>3984</v>
      </c>
      <c r="C63" s="4" t="s">
        <v>8</v>
      </c>
      <c r="D63" s="11">
        <v>40442</v>
      </c>
      <c r="E63" s="7" t="s">
        <v>3985</v>
      </c>
      <c r="F63" s="4" t="s">
        <v>4722</v>
      </c>
      <c r="G63" s="12" t="str">
        <f>IF(AND(Tabela1[[#This Row],[Data nascimento]]&gt;=$J$2,Tabela1[[#This Row],[Data nascimento]]&lt;=$I$2),"INFANTIL A",H63)</f>
        <v>JUVENIL</v>
      </c>
      <c r="H63" s="3" t="str">
        <f>IF(AND(Tabela1[[#This Row],[Data nascimento]]&gt;=$L$2,Tabela1[[#This Row],[Data nascimento]]&lt;=$K$2),"INFANTIL B",I63)</f>
        <v>JUVENIL</v>
      </c>
      <c r="I63" s="9" t="str">
        <f>IF(AND(Tabela1[[#This Row],[Data nascimento]]&gt;=$N$2,Tabela1[[#This Row],[Data nascimento]]&lt;=$M$2),"INICIADO",J63)</f>
        <v>JUVENIL</v>
      </c>
      <c r="J63" s="9" t="str">
        <f>IF(AND(Tabela1[[#This Row],[Data nascimento]]&gt;=$P$2,Tabela1[[#This Row],[Data nascimento]]&lt;=$O$2),"JUVENIL","JÚNIOR")</f>
        <v>JUVENIL</v>
      </c>
    </row>
    <row r="64" spans="1:10" ht="15" x14ac:dyDescent="0.4">
      <c r="A64" s="13" t="s">
        <v>3992</v>
      </c>
      <c r="B64" s="2" t="s">
        <v>3993</v>
      </c>
      <c r="C64" s="4" t="s">
        <v>8</v>
      </c>
      <c r="D64" s="11">
        <v>40306</v>
      </c>
      <c r="E64" s="7" t="s">
        <v>3994</v>
      </c>
      <c r="F64" s="4" t="s">
        <v>4722</v>
      </c>
      <c r="G64" s="12" t="str">
        <f>IF(AND(Tabela1[[#This Row],[Data nascimento]]&gt;=$J$2,Tabela1[[#This Row],[Data nascimento]]&lt;=$I$2),"INFANTIL A",H64)</f>
        <v>JUVENIL</v>
      </c>
      <c r="H64" s="3" t="str">
        <f>IF(AND(Tabela1[[#This Row],[Data nascimento]]&gt;=$L$2,Tabela1[[#This Row],[Data nascimento]]&lt;=$K$2),"INFANTIL B",I64)</f>
        <v>JUVENIL</v>
      </c>
      <c r="I64" s="9" t="str">
        <f>IF(AND(Tabela1[[#This Row],[Data nascimento]]&gt;=$N$2,Tabela1[[#This Row],[Data nascimento]]&lt;=$M$2),"INICIADO",J64)</f>
        <v>JUVENIL</v>
      </c>
      <c r="J64" s="9" t="str">
        <f>IF(AND(Tabela1[[#This Row],[Data nascimento]]&gt;=$P$2,Tabela1[[#This Row],[Data nascimento]]&lt;=$O$2),"JUVENIL","JÚNIOR")</f>
        <v>JUVENIL</v>
      </c>
    </row>
    <row r="65" spans="1:10" ht="15" x14ac:dyDescent="0.4">
      <c r="A65" s="13" t="s">
        <v>3995</v>
      </c>
      <c r="B65" s="2" t="s">
        <v>3996</v>
      </c>
      <c r="C65" s="4" t="s">
        <v>8</v>
      </c>
      <c r="D65" s="11">
        <v>40275</v>
      </c>
      <c r="E65" s="7" t="s">
        <v>3997</v>
      </c>
      <c r="F65" s="4" t="s">
        <v>4722</v>
      </c>
      <c r="G65" s="12" t="str">
        <f>IF(AND(Tabela1[[#This Row],[Data nascimento]]&gt;=$J$2,Tabela1[[#This Row],[Data nascimento]]&lt;=$I$2),"INFANTIL A",H65)</f>
        <v>JUVENIL</v>
      </c>
      <c r="H65" s="3" t="str">
        <f>IF(AND(Tabela1[[#This Row],[Data nascimento]]&gt;=$L$2,Tabela1[[#This Row],[Data nascimento]]&lt;=$K$2),"INFANTIL B",I65)</f>
        <v>JUVENIL</v>
      </c>
      <c r="I65" s="9" t="str">
        <f>IF(AND(Tabela1[[#This Row],[Data nascimento]]&gt;=$N$2,Tabela1[[#This Row],[Data nascimento]]&lt;=$M$2),"INICIADO",J65)</f>
        <v>JUVENIL</v>
      </c>
      <c r="J65" s="9" t="str">
        <f>IF(AND(Tabela1[[#This Row],[Data nascimento]]&gt;=$P$2,Tabela1[[#This Row],[Data nascimento]]&lt;=$O$2),"JUVENIL","JÚNIOR")</f>
        <v>JUVENIL</v>
      </c>
    </row>
    <row r="66" spans="1:10" ht="15" x14ac:dyDescent="0.4">
      <c r="A66" s="13" t="s">
        <v>3998</v>
      </c>
      <c r="B66" s="2" t="s">
        <v>3999</v>
      </c>
      <c r="C66" s="4" t="s">
        <v>8</v>
      </c>
      <c r="D66" s="11">
        <v>40227</v>
      </c>
      <c r="E66" s="7" t="s">
        <v>4000</v>
      </c>
      <c r="F66" s="4" t="s">
        <v>4722</v>
      </c>
      <c r="G66" s="12" t="str">
        <f>IF(AND(Tabela1[[#This Row],[Data nascimento]]&gt;=$J$2,Tabela1[[#This Row],[Data nascimento]]&lt;=$I$2),"INFANTIL A",H66)</f>
        <v>JUVENIL</v>
      </c>
      <c r="H66" s="3" t="str">
        <f>IF(AND(Tabela1[[#This Row],[Data nascimento]]&gt;=$L$2,Tabela1[[#This Row],[Data nascimento]]&lt;=$K$2),"INFANTIL B",I66)</f>
        <v>JUVENIL</v>
      </c>
      <c r="I66" s="9" t="str">
        <f>IF(AND(Tabela1[[#This Row],[Data nascimento]]&gt;=$N$2,Tabela1[[#This Row],[Data nascimento]]&lt;=$M$2),"INICIADO",J66)</f>
        <v>JUVENIL</v>
      </c>
      <c r="J66" s="9" t="str">
        <f>IF(AND(Tabela1[[#This Row],[Data nascimento]]&gt;=$P$2,Tabela1[[#This Row],[Data nascimento]]&lt;=$O$2),"JUVENIL","JÚNIOR")</f>
        <v>JUVENIL</v>
      </c>
    </row>
    <row r="67" spans="1:10" ht="15" x14ac:dyDescent="0.4">
      <c r="A67" s="13" t="s">
        <v>4004</v>
      </c>
      <c r="B67" s="2" t="s">
        <v>4005</v>
      </c>
      <c r="C67" s="4" t="s">
        <v>8</v>
      </c>
      <c r="D67" s="11">
        <v>40143</v>
      </c>
      <c r="E67" s="7" t="s">
        <v>4006</v>
      </c>
      <c r="F67" s="4" t="s">
        <v>4722</v>
      </c>
      <c r="G67" s="12" t="str">
        <f>IF(AND(Tabela1[[#This Row],[Data nascimento]]&gt;=$J$2,Tabela1[[#This Row],[Data nascimento]]&lt;=$I$2),"INFANTIL A",H67)</f>
        <v>JUVENIL</v>
      </c>
      <c r="H67" s="3" t="str">
        <f>IF(AND(Tabela1[[#This Row],[Data nascimento]]&gt;=$L$2,Tabela1[[#This Row],[Data nascimento]]&lt;=$K$2),"INFANTIL B",I67)</f>
        <v>JUVENIL</v>
      </c>
      <c r="I67" s="9" t="str">
        <f>IF(AND(Tabela1[[#This Row],[Data nascimento]]&gt;=$N$2,Tabela1[[#This Row],[Data nascimento]]&lt;=$M$2),"INICIADO",J67)</f>
        <v>JUVENIL</v>
      </c>
      <c r="J67" s="9" t="str">
        <f>IF(AND(Tabela1[[#This Row],[Data nascimento]]&gt;=$P$2,Tabela1[[#This Row],[Data nascimento]]&lt;=$O$2),"JUVENIL","JÚNIOR")</f>
        <v>JUVENIL</v>
      </c>
    </row>
    <row r="68" spans="1:10" ht="15" x14ac:dyDescent="0.4">
      <c r="A68" s="13" t="s">
        <v>4022</v>
      </c>
      <c r="B68" s="2" t="s">
        <v>4023</v>
      </c>
      <c r="C68" s="4" t="s">
        <v>8</v>
      </c>
      <c r="D68" s="11">
        <v>40208</v>
      </c>
      <c r="E68" s="7" t="s">
        <v>4024</v>
      </c>
      <c r="F68" s="4" t="s">
        <v>4723</v>
      </c>
      <c r="G68" s="12" t="str">
        <f>IF(AND(Tabela1[[#This Row],[Data nascimento]]&gt;=$J$2,Tabela1[[#This Row],[Data nascimento]]&lt;=$I$2),"INFANTIL A",H68)</f>
        <v>JUVENIL</v>
      </c>
      <c r="H68" s="3" t="str">
        <f>IF(AND(Tabela1[[#This Row],[Data nascimento]]&gt;=$L$2,Tabela1[[#This Row],[Data nascimento]]&lt;=$K$2),"INFANTIL B",I68)</f>
        <v>JUVENIL</v>
      </c>
      <c r="I68" s="9" t="str">
        <f>IF(AND(Tabela1[[#This Row],[Data nascimento]]&gt;=$N$2,Tabela1[[#This Row],[Data nascimento]]&lt;=$M$2),"INICIADO",J68)</f>
        <v>JUVENIL</v>
      </c>
      <c r="J68" s="9" t="str">
        <f>IF(AND(Tabela1[[#This Row],[Data nascimento]]&gt;=$P$2,Tabela1[[#This Row],[Data nascimento]]&lt;=$O$2),"JUVENIL","JÚNIOR")</f>
        <v>JUVENIL</v>
      </c>
    </row>
    <row r="69" spans="1:10" ht="15" x14ac:dyDescent="0.4">
      <c r="A69" s="13" t="s">
        <v>1313</v>
      </c>
      <c r="B69" s="2" t="s">
        <v>1314</v>
      </c>
      <c r="C69" s="4" t="s">
        <v>21</v>
      </c>
      <c r="D69" s="11">
        <v>40208</v>
      </c>
      <c r="E69" s="7" t="s">
        <v>1315</v>
      </c>
      <c r="F69" s="4" t="s">
        <v>4717</v>
      </c>
      <c r="G69" s="12" t="str">
        <f>IF(AND(Tabela1[[#This Row],[Data nascimento]]&gt;=$J$2,Tabela1[[#This Row],[Data nascimento]]&lt;=$I$2),"INFANTIL A",H69)</f>
        <v>JUVENIL</v>
      </c>
      <c r="H69" s="3" t="str">
        <f>IF(AND(Tabela1[[#This Row],[Data nascimento]]&gt;=$L$2,Tabela1[[#This Row],[Data nascimento]]&lt;=$K$2),"INFANTIL B",I69)</f>
        <v>JUVENIL</v>
      </c>
      <c r="I69" s="9" t="str">
        <f>IF(AND(Tabela1[[#This Row],[Data nascimento]]&gt;=$N$2,Tabela1[[#This Row],[Data nascimento]]&lt;=$M$2),"INICIADO",J69)</f>
        <v>JUVENIL</v>
      </c>
      <c r="J69" s="9" t="str">
        <f>IF(AND(Tabela1[[#This Row],[Data nascimento]]&gt;=$P$2,Tabela1[[#This Row],[Data nascimento]]&lt;=$O$2),"JUVENIL","JÚNIOR")</f>
        <v>JUVENIL</v>
      </c>
    </row>
    <row r="70" spans="1:10" ht="15" x14ac:dyDescent="0.4">
      <c r="A70" s="13" t="s">
        <v>4046</v>
      </c>
      <c r="B70" s="2" t="s">
        <v>4047</v>
      </c>
      <c r="C70" s="4" t="s">
        <v>8</v>
      </c>
      <c r="D70" s="11">
        <v>40225</v>
      </c>
      <c r="E70" s="7" t="s">
        <v>4048</v>
      </c>
      <c r="F70" s="4" t="s">
        <v>4723</v>
      </c>
      <c r="G70" s="12" t="str">
        <f>IF(AND(Tabela1[[#This Row],[Data nascimento]]&gt;=$J$2,Tabela1[[#This Row],[Data nascimento]]&lt;=$I$2),"INFANTIL A",H70)</f>
        <v>JUVENIL</v>
      </c>
      <c r="H70" s="3" t="str">
        <f>IF(AND(Tabela1[[#This Row],[Data nascimento]]&gt;=$L$2,Tabela1[[#This Row],[Data nascimento]]&lt;=$K$2),"INFANTIL B",I70)</f>
        <v>JUVENIL</v>
      </c>
      <c r="I70" s="9" t="str">
        <f>IF(AND(Tabela1[[#This Row],[Data nascimento]]&gt;=$N$2,Tabela1[[#This Row],[Data nascimento]]&lt;=$M$2),"INICIADO",J70)</f>
        <v>JUVENIL</v>
      </c>
      <c r="J70" s="9" t="str">
        <f>IF(AND(Tabela1[[#This Row],[Data nascimento]]&gt;=$P$2,Tabela1[[#This Row],[Data nascimento]]&lt;=$O$2),"JUVENIL","JÚNIOR")</f>
        <v>JUVENIL</v>
      </c>
    </row>
    <row r="71" spans="1:10" ht="15" x14ac:dyDescent="0.4">
      <c r="A71" s="13" t="s">
        <v>4055</v>
      </c>
      <c r="B71" s="2" t="s">
        <v>4056</v>
      </c>
      <c r="C71" s="4" t="s">
        <v>8</v>
      </c>
      <c r="D71" s="11">
        <v>40485</v>
      </c>
      <c r="E71" s="7" t="s">
        <v>4057</v>
      </c>
      <c r="F71" s="4" t="s">
        <v>4723</v>
      </c>
      <c r="G71" s="12" t="str">
        <f>IF(AND(Tabela1[[#This Row],[Data nascimento]]&gt;=$J$2,Tabela1[[#This Row],[Data nascimento]]&lt;=$I$2),"INFANTIL A",H71)</f>
        <v>JUVENIL</v>
      </c>
      <c r="H71" s="3" t="str">
        <f>IF(AND(Tabela1[[#This Row],[Data nascimento]]&gt;=$L$2,Tabela1[[#This Row],[Data nascimento]]&lt;=$K$2),"INFANTIL B",I71)</f>
        <v>JUVENIL</v>
      </c>
      <c r="I71" s="9" t="str">
        <f>IF(AND(Tabela1[[#This Row],[Data nascimento]]&gt;=$N$2,Tabela1[[#This Row],[Data nascimento]]&lt;=$M$2),"INICIADO",J71)</f>
        <v>JUVENIL</v>
      </c>
      <c r="J71" s="9" t="str">
        <f>IF(AND(Tabela1[[#This Row],[Data nascimento]]&gt;=$P$2,Tabela1[[#This Row],[Data nascimento]]&lt;=$O$2),"JUVENIL","JÚNIOR")</f>
        <v>JUVENIL</v>
      </c>
    </row>
    <row r="72" spans="1:10" ht="15" x14ac:dyDescent="0.4">
      <c r="A72" s="13" t="s">
        <v>4070</v>
      </c>
      <c r="B72" s="2" t="s">
        <v>4071</v>
      </c>
      <c r="C72" s="4" t="s">
        <v>8</v>
      </c>
      <c r="D72" s="11">
        <v>40455</v>
      </c>
      <c r="E72" s="7" t="s">
        <v>4072</v>
      </c>
      <c r="F72" s="4" t="s">
        <v>4723</v>
      </c>
      <c r="G72" s="12" t="str">
        <f>IF(AND(Tabela1[[#This Row],[Data nascimento]]&gt;=$J$2,Tabela1[[#This Row],[Data nascimento]]&lt;=$I$2),"INFANTIL A",H72)</f>
        <v>JUVENIL</v>
      </c>
      <c r="H72" s="3" t="str">
        <f>IF(AND(Tabela1[[#This Row],[Data nascimento]]&gt;=$L$2,Tabela1[[#This Row],[Data nascimento]]&lt;=$K$2),"INFANTIL B",I72)</f>
        <v>JUVENIL</v>
      </c>
      <c r="I72" s="9" t="str">
        <f>IF(AND(Tabela1[[#This Row],[Data nascimento]]&gt;=$N$2,Tabela1[[#This Row],[Data nascimento]]&lt;=$M$2),"INICIADO",J72)</f>
        <v>JUVENIL</v>
      </c>
      <c r="J72" s="9" t="str">
        <f>IF(AND(Tabela1[[#This Row],[Data nascimento]]&gt;=$P$2,Tabela1[[#This Row],[Data nascimento]]&lt;=$O$2),"JUVENIL","JÚNIOR")</f>
        <v>JUVENIL</v>
      </c>
    </row>
    <row r="73" spans="1:10" ht="15" x14ac:dyDescent="0.4">
      <c r="A73" s="13" t="s">
        <v>1325</v>
      </c>
      <c r="B73" s="2" t="s">
        <v>1326</v>
      </c>
      <c r="C73" s="4" t="s">
        <v>21</v>
      </c>
      <c r="D73" s="11">
        <v>40415</v>
      </c>
      <c r="E73" s="7" t="s">
        <v>1327</v>
      </c>
      <c r="F73" s="4" t="s">
        <v>4721</v>
      </c>
      <c r="G73" s="12" t="str">
        <f>IF(AND(Tabela1[[#This Row],[Data nascimento]]&gt;=$J$2,Tabela1[[#This Row],[Data nascimento]]&lt;=$I$2),"INFANTIL A",H73)</f>
        <v>JUVENIL</v>
      </c>
      <c r="H73" s="3" t="str">
        <f>IF(AND(Tabela1[[#This Row],[Data nascimento]]&gt;=$L$2,Tabela1[[#This Row],[Data nascimento]]&lt;=$K$2),"INFANTIL B",I73)</f>
        <v>JUVENIL</v>
      </c>
      <c r="I73" s="9" t="str">
        <f>IF(AND(Tabela1[[#This Row],[Data nascimento]]&gt;=$N$2,Tabela1[[#This Row],[Data nascimento]]&lt;=$M$2),"INICIADO",J73)</f>
        <v>JUVENIL</v>
      </c>
      <c r="J73" s="9" t="str">
        <f>IF(AND(Tabela1[[#This Row],[Data nascimento]]&gt;=$P$2,Tabela1[[#This Row],[Data nascimento]]&lt;=$O$2),"JUVENIL","JÚNIOR")</f>
        <v>JUVENIL</v>
      </c>
    </row>
    <row r="74" spans="1:10" ht="15" x14ac:dyDescent="0.4">
      <c r="A74" s="13" t="s">
        <v>1328</v>
      </c>
      <c r="B74" s="2" t="s">
        <v>1329</v>
      </c>
      <c r="C74" s="4" t="s">
        <v>21</v>
      </c>
      <c r="D74" s="11">
        <v>40074</v>
      </c>
      <c r="E74" s="7" t="s">
        <v>1330</v>
      </c>
      <c r="F74" s="4" t="s">
        <v>4715</v>
      </c>
      <c r="G74" s="12" t="str">
        <f>IF(AND(Tabela1[[#This Row],[Data nascimento]]&gt;=$J$2,Tabela1[[#This Row],[Data nascimento]]&lt;=$I$2),"INFANTIL A",H74)</f>
        <v>JUVENIL</v>
      </c>
      <c r="H74" s="3" t="str">
        <f>IF(AND(Tabela1[[#This Row],[Data nascimento]]&gt;=$L$2,Tabela1[[#This Row],[Data nascimento]]&lt;=$K$2),"INFANTIL B",I74)</f>
        <v>JUVENIL</v>
      </c>
      <c r="I74" s="9" t="str">
        <f>IF(AND(Tabela1[[#This Row],[Data nascimento]]&gt;=$N$2,Tabela1[[#This Row],[Data nascimento]]&lt;=$M$2),"INICIADO",J74)</f>
        <v>JUVENIL</v>
      </c>
      <c r="J74" s="9" t="str">
        <f>IF(AND(Tabela1[[#This Row],[Data nascimento]]&gt;=$P$2,Tabela1[[#This Row],[Data nascimento]]&lt;=$O$2),"JUVENIL","JÚNIOR")</f>
        <v>JUVENIL</v>
      </c>
    </row>
    <row r="75" spans="1:10" ht="15" x14ac:dyDescent="0.4">
      <c r="A75" s="13" t="s">
        <v>4385</v>
      </c>
      <c r="B75" s="2" t="s">
        <v>4386</v>
      </c>
      <c r="C75" s="4" t="s">
        <v>8</v>
      </c>
      <c r="D75" s="11">
        <v>40038</v>
      </c>
      <c r="E75" s="7" t="s">
        <v>4387</v>
      </c>
      <c r="F75" s="4" t="s">
        <v>4723</v>
      </c>
      <c r="G75" s="12" t="str">
        <f>IF(AND(Tabela1[[#This Row],[Data nascimento]]&gt;=$J$2,Tabela1[[#This Row],[Data nascimento]]&lt;=$I$2),"INFANTIL A",H75)</f>
        <v>JUVENIL</v>
      </c>
      <c r="H75" s="3" t="str">
        <f>IF(AND(Tabela1[[#This Row],[Data nascimento]]&gt;=$L$2,Tabela1[[#This Row],[Data nascimento]]&lt;=$K$2),"INFANTIL B",I75)</f>
        <v>JUVENIL</v>
      </c>
      <c r="I75" s="9" t="str">
        <f>IF(AND(Tabela1[[#This Row],[Data nascimento]]&gt;=$N$2,Tabela1[[#This Row],[Data nascimento]]&lt;=$M$2),"INICIADO",J75)</f>
        <v>JUVENIL</v>
      </c>
      <c r="J75" s="9" t="str">
        <f>IF(AND(Tabela1[[#This Row],[Data nascimento]]&gt;=$P$2,Tabela1[[#This Row],[Data nascimento]]&lt;=$O$2),"JUVENIL","JÚNIOR")</f>
        <v>JUVENIL</v>
      </c>
    </row>
    <row r="76" spans="1:10" ht="15" x14ac:dyDescent="0.4">
      <c r="A76" s="13" t="s">
        <v>1334</v>
      </c>
      <c r="B76" s="2" t="s">
        <v>1335</v>
      </c>
      <c r="C76" s="4" t="s">
        <v>21</v>
      </c>
      <c r="D76" s="11">
        <v>39722</v>
      </c>
      <c r="E76" s="7" t="s">
        <v>1336</v>
      </c>
      <c r="F76" s="4" t="s">
        <v>4715</v>
      </c>
      <c r="G76" s="12" t="str">
        <f>IF(AND(Tabela1[[#This Row],[Data nascimento]]&gt;=$J$2,Tabela1[[#This Row],[Data nascimento]]&lt;=$I$2),"INFANTIL A",H76)</f>
        <v>JUVENIL</v>
      </c>
      <c r="H76" s="3" t="str">
        <f>IF(AND(Tabela1[[#This Row],[Data nascimento]]&gt;=$L$2,Tabela1[[#This Row],[Data nascimento]]&lt;=$K$2),"INFANTIL B",I76)</f>
        <v>JUVENIL</v>
      </c>
      <c r="I76" s="9" t="str">
        <f>IF(AND(Tabela1[[#This Row],[Data nascimento]]&gt;=$N$2,Tabela1[[#This Row],[Data nascimento]]&lt;=$M$2),"INICIADO",J76)</f>
        <v>JUVENIL</v>
      </c>
      <c r="J76" s="9" t="str">
        <f>IF(AND(Tabela1[[#This Row],[Data nascimento]]&gt;=$P$2,Tabela1[[#This Row],[Data nascimento]]&lt;=$O$2),"JUVENIL","JÚNIOR")</f>
        <v>JUVENIL</v>
      </c>
    </row>
    <row r="77" spans="1:10" ht="15" x14ac:dyDescent="0.4">
      <c r="A77" s="13" t="s">
        <v>3881</v>
      </c>
      <c r="B77" s="2" t="s">
        <v>3882</v>
      </c>
      <c r="C77" s="4" t="s">
        <v>8</v>
      </c>
      <c r="D77" s="11">
        <v>40341</v>
      </c>
      <c r="E77" s="7" t="s">
        <v>3883</v>
      </c>
      <c r="F77" s="4" t="s">
        <v>4723</v>
      </c>
      <c r="G77" s="12" t="str">
        <f>IF(AND(Tabela1[[#This Row],[Data nascimento]]&gt;=$J$2,Tabela1[[#This Row],[Data nascimento]]&lt;=$I$2),"INFANTIL A",H77)</f>
        <v>JUVENIL</v>
      </c>
      <c r="H77" s="3" t="str">
        <f>IF(AND(Tabela1[[#This Row],[Data nascimento]]&gt;=$L$2,Tabela1[[#This Row],[Data nascimento]]&lt;=$K$2),"INFANTIL B",I77)</f>
        <v>JUVENIL</v>
      </c>
      <c r="I77" s="9" t="str">
        <f>IF(AND(Tabela1[[#This Row],[Data nascimento]]&gt;=$N$2,Tabela1[[#This Row],[Data nascimento]]&lt;=$M$2),"INICIADO",J77)</f>
        <v>JUVENIL</v>
      </c>
      <c r="J77" s="9" t="str">
        <f>IF(AND(Tabela1[[#This Row],[Data nascimento]]&gt;=$P$2,Tabela1[[#This Row],[Data nascimento]]&lt;=$O$2),"JUVENIL","JÚNIOR")</f>
        <v>JUVENIL</v>
      </c>
    </row>
    <row r="78" spans="1:10" ht="15" x14ac:dyDescent="0.4">
      <c r="A78" s="13" t="s">
        <v>1340</v>
      </c>
      <c r="B78" s="2" t="s">
        <v>1341</v>
      </c>
      <c r="C78" s="4" t="s">
        <v>21</v>
      </c>
      <c r="D78" s="11">
        <v>40011</v>
      </c>
      <c r="E78" s="7" t="s">
        <v>1342</v>
      </c>
      <c r="F78" s="4" t="s">
        <v>4719</v>
      </c>
      <c r="G78" s="12" t="str">
        <f>IF(AND(Tabela1[[#This Row],[Data nascimento]]&gt;=$J$2,Tabela1[[#This Row],[Data nascimento]]&lt;=$I$2),"INFANTIL A",H78)</f>
        <v>JUVENIL</v>
      </c>
      <c r="H78" s="3" t="str">
        <f>IF(AND(Tabela1[[#This Row],[Data nascimento]]&gt;=$L$2,Tabela1[[#This Row],[Data nascimento]]&lt;=$K$2),"INFANTIL B",I78)</f>
        <v>JUVENIL</v>
      </c>
      <c r="I78" s="9" t="str">
        <f>IF(AND(Tabela1[[#This Row],[Data nascimento]]&gt;=$N$2,Tabela1[[#This Row],[Data nascimento]]&lt;=$M$2),"INICIADO",J78)</f>
        <v>JUVENIL</v>
      </c>
      <c r="J78" s="9" t="str">
        <f>IF(AND(Tabela1[[#This Row],[Data nascimento]]&gt;=$P$2,Tabela1[[#This Row],[Data nascimento]]&lt;=$O$2),"JUVENIL","JÚNIOR")</f>
        <v>JUVENIL</v>
      </c>
    </row>
    <row r="79" spans="1:10" ht="15" x14ac:dyDescent="0.4">
      <c r="A79" s="13" t="s">
        <v>1343</v>
      </c>
      <c r="B79" s="2" t="s">
        <v>1344</v>
      </c>
      <c r="C79" s="4" t="s">
        <v>21</v>
      </c>
      <c r="D79" s="11">
        <v>40424</v>
      </c>
      <c r="E79" s="7" t="s">
        <v>1345</v>
      </c>
      <c r="F79" s="4" t="s">
        <v>4720</v>
      </c>
      <c r="G79" s="12" t="str">
        <f>IF(AND(Tabela1[[#This Row],[Data nascimento]]&gt;=$J$2,Tabela1[[#This Row],[Data nascimento]]&lt;=$I$2),"INFANTIL A",H79)</f>
        <v>JUVENIL</v>
      </c>
      <c r="H79" s="3" t="str">
        <f>IF(AND(Tabela1[[#This Row],[Data nascimento]]&gt;=$L$2,Tabela1[[#This Row],[Data nascimento]]&lt;=$K$2),"INFANTIL B",I79)</f>
        <v>JUVENIL</v>
      </c>
      <c r="I79" s="9" t="str">
        <f>IF(AND(Tabela1[[#This Row],[Data nascimento]]&gt;=$N$2,Tabela1[[#This Row],[Data nascimento]]&lt;=$M$2),"INICIADO",J79)</f>
        <v>JUVENIL</v>
      </c>
      <c r="J79" s="9" t="str">
        <f>IF(AND(Tabela1[[#This Row],[Data nascimento]]&gt;=$P$2,Tabela1[[#This Row],[Data nascimento]]&lt;=$O$2),"JUVENIL","JÚNIOR")</f>
        <v>JUVENIL</v>
      </c>
    </row>
    <row r="80" spans="1:10" ht="15" x14ac:dyDescent="0.4">
      <c r="A80" s="13" t="s">
        <v>4139</v>
      </c>
      <c r="B80" s="2" t="s">
        <v>4140</v>
      </c>
      <c r="C80" s="4" t="s">
        <v>8</v>
      </c>
      <c r="D80" s="11">
        <v>40256</v>
      </c>
      <c r="E80" s="7" t="s">
        <v>4141</v>
      </c>
      <c r="F80" s="4" t="s">
        <v>4724</v>
      </c>
      <c r="G80" s="12" t="str">
        <f>IF(AND(Tabela1[[#This Row],[Data nascimento]]&gt;=$J$2,Tabela1[[#This Row],[Data nascimento]]&lt;=$I$2),"INFANTIL A",H80)</f>
        <v>JUVENIL</v>
      </c>
      <c r="H80" s="3" t="str">
        <f>IF(AND(Tabela1[[#This Row],[Data nascimento]]&gt;=$L$2,Tabela1[[#This Row],[Data nascimento]]&lt;=$K$2),"INFANTIL B",I80)</f>
        <v>JUVENIL</v>
      </c>
      <c r="I80" s="9" t="str">
        <f>IF(AND(Tabela1[[#This Row],[Data nascimento]]&gt;=$N$2,Tabela1[[#This Row],[Data nascimento]]&lt;=$M$2),"INICIADO",J80)</f>
        <v>JUVENIL</v>
      </c>
      <c r="J80" s="9" t="str">
        <f>IF(AND(Tabela1[[#This Row],[Data nascimento]]&gt;=$P$2,Tabela1[[#This Row],[Data nascimento]]&lt;=$O$2),"JUVENIL","JÚNIOR")</f>
        <v>JUVENIL</v>
      </c>
    </row>
    <row r="81" spans="1:10" ht="15" x14ac:dyDescent="0.4">
      <c r="A81" s="13" t="s">
        <v>1349</v>
      </c>
      <c r="B81" s="2" t="s">
        <v>1350</v>
      </c>
      <c r="C81" s="4" t="s">
        <v>21</v>
      </c>
      <c r="D81" s="11">
        <v>39881</v>
      </c>
      <c r="E81" s="7" t="s">
        <v>1351</v>
      </c>
      <c r="F81" s="4" t="s">
        <v>4721</v>
      </c>
      <c r="G81" s="12" t="str">
        <f>IF(AND(Tabela1[[#This Row],[Data nascimento]]&gt;=$J$2,Tabela1[[#This Row],[Data nascimento]]&lt;=$I$2),"INFANTIL A",H81)</f>
        <v>JUVENIL</v>
      </c>
      <c r="H81" s="3" t="str">
        <f>IF(AND(Tabela1[[#This Row],[Data nascimento]]&gt;=$L$2,Tabela1[[#This Row],[Data nascimento]]&lt;=$K$2),"INFANTIL B",I81)</f>
        <v>JUVENIL</v>
      </c>
      <c r="I81" s="9" t="str">
        <f>IF(AND(Tabela1[[#This Row],[Data nascimento]]&gt;=$N$2,Tabela1[[#This Row],[Data nascimento]]&lt;=$M$2),"INICIADO",J81)</f>
        <v>JUVENIL</v>
      </c>
      <c r="J81" s="9" t="str">
        <f>IF(AND(Tabela1[[#This Row],[Data nascimento]]&gt;=$P$2,Tabela1[[#This Row],[Data nascimento]]&lt;=$O$2),"JUVENIL","JÚNIOR")</f>
        <v>JUVENIL</v>
      </c>
    </row>
    <row r="82" spans="1:10" ht="15" x14ac:dyDescent="0.4">
      <c r="A82" s="13" t="s">
        <v>4145</v>
      </c>
      <c r="B82" s="2" t="s">
        <v>4146</v>
      </c>
      <c r="C82" s="4" t="s">
        <v>8</v>
      </c>
      <c r="D82" s="11">
        <v>40137</v>
      </c>
      <c r="E82" s="7" t="s">
        <v>4147</v>
      </c>
      <c r="F82" s="4" t="s">
        <v>4724</v>
      </c>
      <c r="G82" s="12" t="str">
        <f>IF(AND(Tabela1[[#This Row],[Data nascimento]]&gt;=$J$2,Tabela1[[#This Row],[Data nascimento]]&lt;=$I$2),"INFANTIL A",H82)</f>
        <v>JUVENIL</v>
      </c>
      <c r="H82" s="3" t="str">
        <f>IF(AND(Tabela1[[#This Row],[Data nascimento]]&gt;=$L$2,Tabela1[[#This Row],[Data nascimento]]&lt;=$K$2),"INFANTIL B",I82)</f>
        <v>JUVENIL</v>
      </c>
      <c r="I82" s="9" t="str">
        <f>IF(AND(Tabela1[[#This Row],[Data nascimento]]&gt;=$N$2,Tabela1[[#This Row],[Data nascimento]]&lt;=$M$2),"INICIADO",J82)</f>
        <v>JUVENIL</v>
      </c>
      <c r="J82" s="9" t="str">
        <f>IF(AND(Tabela1[[#This Row],[Data nascimento]]&gt;=$P$2,Tabela1[[#This Row],[Data nascimento]]&lt;=$O$2),"JUVENIL","JÚNIOR")</f>
        <v>JUVENIL</v>
      </c>
    </row>
    <row r="83" spans="1:10" ht="15" x14ac:dyDescent="0.4">
      <c r="A83" s="13" t="s">
        <v>4271</v>
      </c>
      <c r="B83" s="2" t="s">
        <v>4272</v>
      </c>
      <c r="C83" s="4" t="s">
        <v>8</v>
      </c>
      <c r="D83" s="11">
        <v>40029</v>
      </c>
      <c r="E83" s="7" t="s">
        <v>4273</v>
      </c>
      <c r="F83" s="4" t="s">
        <v>4724</v>
      </c>
      <c r="G83" s="12" t="str">
        <f>IF(AND(Tabela1[[#This Row],[Data nascimento]]&gt;=$J$2,Tabela1[[#This Row],[Data nascimento]]&lt;=$I$2),"INFANTIL A",H83)</f>
        <v>JUVENIL</v>
      </c>
      <c r="H83" s="3" t="str">
        <f>IF(AND(Tabela1[[#This Row],[Data nascimento]]&gt;=$L$2,Tabela1[[#This Row],[Data nascimento]]&lt;=$K$2),"INFANTIL B",I83)</f>
        <v>JUVENIL</v>
      </c>
      <c r="I83" s="9" t="str">
        <f>IF(AND(Tabela1[[#This Row],[Data nascimento]]&gt;=$N$2,Tabela1[[#This Row],[Data nascimento]]&lt;=$M$2),"INICIADO",J83)</f>
        <v>JUVENIL</v>
      </c>
      <c r="J83" s="9" t="str">
        <f>IF(AND(Tabela1[[#This Row],[Data nascimento]]&gt;=$P$2,Tabela1[[#This Row],[Data nascimento]]&lt;=$O$2),"JUVENIL","JÚNIOR")</f>
        <v>JUVENIL</v>
      </c>
    </row>
    <row r="84" spans="1:10" ht="15" x14ac:dyDescent="0.4">
      <c r="A84" s="13" t="s">
        <v>4310</v>
      </c>
      <c r="B84" s="2" t="s">
        <v>4311</v>
      </c>
      <c r="C84" s="4" t="s">
        <v>8</v>
      </c>
      <c r="D84" s="11">
        <v>40356</v>
      </c>
      <c r="E84" s="7" t="s">
        <v>4312</v>
      </c>
      <c r="F84" s="4" t="s">
        <v>4724</v>
      </c>
      <c r="G84" s="12" t="str">
        <f>IF(AND(Tabela1[[#This Row],[Data nascimento]]&gt;=$J$2,Tabela1[[#This Row],[Data nascimento]]&lt;=$I$2),"INFANTIL A",H84)</f>
        <v>JUVENIL</v>
      </c>
      <c r="H84" s="3" t="str">
        <f>IF(AND(Tabela1[[#This Row],[Data nascimento]]&gt;=$L$2,Tabela1[[#This Row],[Data nascimento]]&lt;=$K$2),"INFANTIL B",I84)</f>
        <v>JUVENIL</v>
      </c>
      <c r="I84" s="9" t="str">
        <f>IF(AND(Tabela1[[#This Row],[Data nascimento]]&gt;=$N$2,Tabela1[[#This Row],[Data nascimento]]&lt;=$M$2),"INICIADO",J84)</f>
        <v>JUVENIL</v>
      </c>
      <c r="J84" s="9" t="str">
        <f>IF(AND(Tabela1[[#This Row],[Data nascimento]]&gt;=$P$2,Tabela1[[#This Row],[Data nascimento]]&lt;=$O$2),"JUVENIL","JÚNIOR")</f>
        <v>JUVENIL</v>
      </c>
    </row>
    <row r="85" spans="1:10" ht="15" x14ac:dyDescent="0.4">
      <c r="A85" s="13" t="s">
        <v>4382</v>
      </c>
      <c r="B85" s="2" t="s">
        <v>4383</v>
      </c>
      <c r="C85" s="4" t="s">
        <v>8</v>
      </c>
      <c r="D85" s="11">
        <v>40521</v>
      </c>
      <c r="E85" s="7" t="s">
        <v>4384</v>
      </c>
      <c r="F85" s="4" t="s">
        <v>4724</v>
      </c>
      <c r="G85" s="12" t="str">
        <f>IF(AND(Tabela1[[#This Row],[Data nascimento]]&gt;=$J$2,Tabela1[[#This Row],[Data nascimento]]&lt;=$I$2),"INFANTIL A",H85)</f>
        <v>JUVENIL</v>
      </c>
      <c r="H85" s="3" t="str">
        <f>IF(AND(Tabela1[[#This Row],[Data nascimento]]&gt;=$L$2,Tabela1[[#This Row],[Data nascimento]]&lt;=$K$2),"INFANTIL B",I85)</f>
        <v>JUVENIL</v>
      </c>
      <c r="I85" s="9" t="str">
        <f>IF(AND(Tabela1[[#This Row],[Data nascimento]]&gt;=$N$2,Tabela1[[#This Row],[Data nascimento]]&lt;=$M$2),"INICIADO",J85)</f>
        <v>JUVENIL</v>
      </c>
      <c r="J85" s="9" t="str">
        <f>IF(AND(Tabela1[[#This Row],[Data nascimento]]&gt;=$P$2,Tabela1[[#This Row],[Data nascimento]]&lt;=$O$2),"JUVENIL","JÚNIOR")</f>
        <v>JUVENIL</v>
      </c>
    </row>
    <row r="86" spans="1:10" ht="15" x14ac:dyDescent="0.4">
      <c r="A86" s="13" t="s">
        <v>1364</v>
      </c>
      <c r="B86" s="2" t="s">
        <v>1365</v>
      </c>
      <c r="C86" s="4" t="s">
        <v>21</v>
      </c>
      <c r="D86" s="11">
        <v>40099</v>
      </c>
      <c r="E86" s="7" t="s">
        <v>1366</v>
      </c>
      <c r="F86" s="4" t="s">
        <v>4720</v>
      </c>
      <c r="G86" s="12" t="str">
        <f>IF(AND(Tabela1[[#This Row],[Data nascimento]]&gt;=$J$2,Tabela1[[#This Row],[Data nascimento]]&lt;=$I$2),"INFANTIL A",H86)</f>
        <v>JUVENIL</v>
      </c>
      <c r="H86" s="3" t="str">
        <f>IF(AND(Tabela1[[#This Row],[Data nascimento]]&gt;=$L$2,Tabela1[[#This Row],[Data nascimento]]&lt;=$K$2),"INFANTIL B",I86)</f>
        <v>JUVENIL</v>
      </c>
      <c r="I86" s="9" t="str">
        <f>IF(AND(Tabela1[[#This Row],[Data nascimento]]&gt;=$N$2,Tabela1[[#This Row],[Data nascimento]]&lt;=$M$2),"INICIADO",J86)</f>
        <v>JUVENIL</v>
      </c>
      <c r="J86" s="9" t="str">
        <f>IF(AND(Tabela1[[#This Row],[Data nascimento]]&gt;=$P$2,Tabela1[[#This Row],[Data nascimento]]&lt;=$O$2),"JUVENIL","JÚNIOR")</f>
        <v>JUVENIL</v>
      </c>
    </row>
    <row r="87" spans="1:10" ht="15" x14ac:dyDescent="0.4">
      <c r="A87" s="13" t="s">
        <v>1367</v>
      </c>
      <c r="B87" s="2" t="s">
        <v>1368</v>
      </c>
      <c r="C87" s="4" t="s">
        <v>21</v>
      </c>
      <c r="D87" s="11">
        <v>40365</v>
      </c>
      <c r="E87" s="7" t="s">
        <v>1369</v>
      </c>
      <c r="F87" s="4" t="s">
        <v>4719</v>
      </c>
      <c r="G87" s="12" t="str">
        <f>IF(AND(Tabela1[[#This Row],[Data nascimento]]&gt;=$J$2,Tabela1[[#This Row],[Data nascimento]]&lt;=$I$2),"INFANTIL A",H87)</f>
        <v>JUVENIL</v>
      </c>
      <c r="H87" s="3" t="str">
        <f>IF(AND(Tabela1[[#This Row],[Data nascimento]]&gt;=$L$2,Tabela1[[#This Row],[Data nascimento]]&lt;=$K$2),"INFANTIL B",I87)</f>
        <v>JUVENIL</v>
      </c>
      <c r="I87" s="9" t="str">
        <f>IF(AND(Tabela1[[#This Row],[Data nascimento]]&gt;=$N$2,Tabela1[[#This Row],[Data nascimento]]&lt;=$M$2),"INICIADO",J87)</f>
        <v>JUVENIL</v>
      </c>
      <c r="J87" s="9" t="str">
        <f>IF(AND(Tabela1[[#This Row],[Data nascimento]]&gt;=$P$2,Tabela1[[#This Row],[Data nascimento]]&lt;=$O$2),"JUVENIL","JÚNIOR")</f>
        <v>JUVENIL</v>
      </c>
    </row>
    <row r="88" spans="1:10" ht="15" x14ac:dyDescent="0.4">
      <c r="A88" s="13" t="s">
        <v>1370</v>
      </c>
      <c r="B88" s="2" t="s">
        <v>1371</v>
      </c>
      <c r="C88" s="4" t="s">
        <v>21</v>
      </c>
      <c r="D88" s="11">
        <v>39148</v>
      </c>
      <c r="E88" s="7" t="s">
        <v>1372</v>
      </c>
      <c r="F88" s="4" t="s">
        <v>4715</v>
      </c>
      <c r="G88" s="12" t="str">
        <f>IF(AND(Tabela1[[#This Row],[Data nascimento]]&gt;=$J$2,Tabela1[[#This Row],[Data nascimento]]&lt;=$I$2),"INFANTIL A",H88)</f>
        <v>JÚNIOR</v>
      </c>
      <c r="H88" s="3" t="str">
        <f>IF(AND(Tabela1[[#This Row],[Data nascimento]]&gt;=$L$2,Tabela1[[#This Row],[Data nascimento]]&lt;=$K$2),"INFANTIL B",I88)</f>
        <v>JÚNIOR</v>
      </c>
      <c r="I88" s="9" t="str">
        <f>IF(AND(Tabela1[[#This Row],[Data nascimento]]&gt;=$N$2,Tabela1[[#This Row],[Data nascimento]]&lt;=$M$2),"INICIADO",J88)</f>
        <v>JÚNIOR</v>
      </c>
      <c r="J88" s="9" t="str">
        <f>IF(AND(Tabela1[[#This Row],[Data nascimento]]&gt;=$P$2,Tabela1[[#This Row],[Data nascimento]]&lt;=$O$2),"JUVENIL","JÚNIOR")</f>
        <v>JÚNIOR</v>
      </c>
    </row>
    <row r="89" spans="1:10" ht="15" x14ac:dyDescent="0.4">
      <c r="A89" s="13" t="s">
        <v>4181</v>
      </c>
      <c r="B89" s="2" t="s">
        <v>4182</v>
      </c>
      <c r="C89" s="4" t="s">
        <v>8</v>
      </c>
      <c r="D89" s="11">
        <v>40359</v>
      </c>
      <c r="E89" s="7" t="s">
        <v>4183</v>
      </c>
      <c r="F89" s="4" t="s">
        <v>4725</v>
      </c>
      <c r="G89" s="12" t="str">
        <f>IF(AND(Tabela1[[#This Row],[Data nascimento]]&gt;=$J$2,Tabela1[[#This Row],[Data nascimento]]&lt;=$I$2),"INFANTIL A",H89)</f>
        <v>JUVENIL</v>
      </c>
      <c r="H89" s="3" t="str">
        <f>IF(AND(Tabela1[[#This Row],[Data nascimento]]&gt;=$L$2,Tabela1[[#This Row],[Data nascimento]]&lt;=$K$2),"INFANTIL B",I89)</f>
        <v>JUVENIL</v>
      </c>
      <c r="I89" s="9" t="str">
        <f>IF(AND(Tabela1[[#This Row],[Data nascimento]]&gt;=$N$2,Tabela1[[#This Row],[Data nascimento]]&lt;=$M$2),"INICIADO",J89)</f>
        <v>JUVENIL</v>
      </c>
      <c r="J89" s="9" t="str">
        <f>IF(AND(Tabela1[[#This Row],[Data nascimento]]&gt;=$P$2,Tabela1[[#This Row],[Data nascimento]]&lt;=$O$2),"JUVENIL","JÚNIOR")</f>
        <v>JUVENIL</v>
      </c>
    </row>
    <row r="90" spans="1:10" ht="15" x14ac:dyDescent="0.4">
      <c r="A90" s="13" t="s">
        <v>1376</v>
      </c>
      <c r="B90" s="2" t="s">
        <v>1377</v>
      </c>
      <c r="C90" s="4" t="s">
        <v>21</v>
      </c>
      <c r="D90" s="11">
        <v>39993</v>
      </c>
      <c r="E90" s="7" t="s">
        <v>1378</v>
      </c>
      <c r="F90" s="4" t="s">
        <v>4719</v>
      </c>
      <c r="G90" s="12" t="str">
        <f>IF(AND(Tabela1[[#This Row],[Data nascimento]]&gt;=$J$2,Tabela1[[#This Row],[Data nascimento]]&lt;=$I$2),"INFANTIL A",H90)</f>
        <v>JUVENIL</v>
      </c>
      <c r="H90" s="3" t="str">
        <f>IF(AND(Tabela1[[#This Row],[Data nascimento]]&gt;=$L$2,Tabela1[[#This Row],[Data nascimento]]&lt;=$K$2),"INFANTIL B",I90)</f>
        <v>JUVENIL</v>
      </c>
      <c r="I90" s="9" t="str">
        <f>IF(AND(Tabela1[[#This Row],[Data nascimento]]&gt;=$N$2,Tabela1[[#This Row],[Data nascimento]]&lt;=$M$2),"INICIADO",J90)</f>
        <v>JUVENIL</v>
      </c>
      <c r="J90" s="9" t="str">
        <f>IF(AND(Tabela1[[#This Row],[Data nascimento]]&gt;=$P$2,Tabela1[[#This Row],[Data nascimento]]&lt;=$O$2),"JUVENIL","JÚNIOR")</f>
        <v>JUVENIL</v>
      </c>
    </row>
    <row r="91" spans="1:10" ht="15" x14ac:dyDescent="0.4">
      <c r="A91" s="13" t="s">
        <v>4184</v>
      </c>
      <c r="B91" s="2" t="s">
        <v>4185</v>
      </c>
      <c r="C91" s="4" t="s">
        <v>8</v>
      </c>
      <c r="D91" s="11">
        <v>40355</v>
      </c>
      <c r="E91" s="7" t="s">
        <v>4186</v>
      </c>
      <c r="F91" s="4" t="s">
        <v>4725</v>
      </c>
      <c r="G91" s="12" t="str">
        <f>IF(AND(Tabela1[[#This Row],[Data nascimento]]&gt;=$J$2,Tabela1[[#This Row],[Data nascimento]]&lt;=$I$2),"INFANTIL A",H91)</f>
        <v>JUVENIL</v>
      </c>
      <c r="H91" s="3" t="str">
        <f>IF(AND(Tabela1[[#This Row],[Data nascimento]]&gt;=$L$2,Tabela1[[#This Row],[Data nascimento]]&lt;=$K$2),"INFANTIL B",I91)</f>
        <v>JUVENIL</v>
      </c>
      <c r="I91" s="9" t="str">
        <f>IF(AND(Tabela1[[#This Row],[Data nascimento]]&gt;=$N$2,Tabela1[[#This Row],[Data nascimento]]&lt;=$M$2),"INICIADO",J91)</f>
        <v>JUVENIL</v>
      </c>
      <c r="J91" s="9" t="str">
        <f>IF(AND(Tabela1[[#This Row],[Data nascimento]]&gt;=$P$2,Tabela1[[#This Row],[Data nascimento]]&lt;=$O$2),"JUVENIL","JÚNIOR")</f>
        <v>JUVENIL</v>
      </c>
    </row>
    <row r="92" spans="1:10" ht="15" x14ac:dyDescent="0.4">
      <c r="A92" s="13" t="s">
        <v>1382</v>
      </c>
      <c r="B92" s="2" t="s">
        <v>1383</v>
      </c>
      <c r="C92" s="4" t="s">
        <v>21</v>
      </c>
      <c r="D92" s="11">
        <v>39929</v>
      </c>
      <c r="E92" s="7" t="s">
        <v>1384</v>
      </c>
      <c r="F92" s="4" t="s">
        <v>4715</v>
      </c>
      <c r="G92" s="12" t="str">
        <f>IF(AND(Tabela1[[#This Row],[Data nascimento]]&gt;=$J$2,Tabela1[[#This Row],[Data nascimento]]&lt;=$I$2),"INFANTIL A",H92)</f>
        <v>JUVENIL</v>
      </c>
      <c r="H92" s="3" t="str">
        <f>IF(AND(Tabela1[[#This Row],[Data nascimento]]&gt;=$L$2,Tabela1[[#This Row],[Data nascimento]]&lt;=$K$2),"INFANTIL B",I92)</f>
        <v>JUVENIL</v>
      </c>
      <c r="I92" s="9" t="str">
        <f>IF(AND(Tabela1[[#This Row],[Data nascimento]]&gt;=$N$2,Tabela1[[#This Row],[Data nascimento]]&lt;=$M$2),"INICIADO",J92)</f>
        <v>JUVENIL</v>
      </c>
      <c r="J92" s="9" t="str">
        <f>IF(AND(Tabela1[[#This Row],[Data nascimento]]&gt;=$P$2,Tabela1[[#This Row],[Data nascimento]]&lt;=$O$2),"JUVENIL","JÚNIOR")</f>
        <v>JUVENIL</v>
      </c>
    </row>
    <row r="93" spans="1:10" ht="15" x14ac:dyDescent="0.4">
      <c r="A93" s="13" t="s">
        <v>1385</v>
      </c>
      <c r="B93" s="2" t="s">
        <v>1386</v>
      </c>
      <c r="C93" s="4" t="s">
        <v>21</v>
      </c>
      <c r="D93" s="11">
        <v>40479</v>
      </c>
      <c r="E93" s="7" t="s">
        <v>1387</v>
      </c>
      <c r="F93" s="4" t="s">
        <v>4714</v>
      </c>
      <c r="G93" s="12" t="str">
        <f>IF(AND(Tabela1[[#This Row],[Data nascimento]]&gt;=$J$2,Tabela1[[#This Row],[Data nascimento]]&lt;=$I$2),"INFANTIL A",H93)</f>
        <v>JUVENIL</v>
      </c>
      <c r="H93" s="3" t="str">
        <f>IF(AND(Tabela1[[#This Row],[Data nascimento]]&gt;=$L$2,Tabela1[[#This Row],[Data nascimento]]&lt;=$K$2),"INFANTIL B",I93)</f>
        <v>JUVENIL</v>
      </c>
      <c r="I93" s="9" t="str">
        <f>IF(AND(Tabela1[[#This Row],[Data nascimento]]&gt;=$N$2,Tabela1[[#This Row],[Data nascimento]]&lt;=$M$2),"INICIADO",J93)</f>
        <v>JUVENIL</v>
      </c>
      <c r="J93" s="9" t="str">
        <f>IF(AND(Tabela1[[#This Row],[Data nascimento]]&gt;=$P$2,Tabela1[[#This Row],[Data nascimento]]&lt;=$O$2),"JUVENIL","JÚNIOR")</f>
        <v>JUVENIL</v>
      </c>
    </row>
    <row r="94" spans="1:10" ht="15" x14ac:dyDescent="0.4">
      <c r="A94" s="13" t="s">
        <v>4190</v>
      </c>
      <c r="B94" s="2" t="s">
        <v>4191</v>
      </c>
      <c r="C94" s="4" t="s">
        <v>8</v>
      </c>
      <c r="D94" s="11">
        <v>40239</v>
      </c>
      <c r="E94" s="7" t="s">
        <v>4192</v>
      </c>
      <c r="F94" s="4" t="s">
        <v>4725</v>
      </c>
      <c r="G94" s="12" t="str">
        <f>IF(AND(Tabela1[[#This Row],[Data nascimento]]&gt;=$J$2,Tabela1[[#This Row],[Data nascimento]]&lt;=$I$2),"INFANTIL A",H94)</f>
        <v>JUVENIL</v>
      </c>
      <c r="H94" s="3" t="str">
        <f>IF(AND(Tabela1[[#This Row],[Data nascimento]]&gt;=$L$2,Tabela1[[#This Row],[Data nascimento]]&lt;=$K$2),"INFANTIL B",I94)</f>
        <v>JUVENIL</v>
      </c>
      <c r="I94" s="9" t="str">
        <f>IF(AND(Tabela1[[#This Row],[Data nascimento]]&gt;=$N$2,Tabela1[[#This Row],[Data nascimento]]&lt;=$M$2),"INICIADO",J94)</f>
        <v>JUVENIL</v>
      </c>
      <c r="J94" s="9" t="str">
        <f>IF(AND(Tabela1[[#This Row],[Data nascimento]]&gt;=$P$2,Tabela1[[#This Row],[Data nascimento]]&lt;=$O$2),"JUVENIL","JÚNIOR")</f>
        <v>JUVENIL</v>
      </c>
    </row>
    <row r="95" spans="1:10" ht="15" x14ac:dyDescent="0.4">
      <c r="A95" s="13" t="s">
        <v>4196</v>
      </c>
      <c r="B95" s="2" t="s">
        <v>4197</v>
      </c>
      <c r="C95" s="4" t="s">
        <v>8</v>
      </c>
      <c r="D95" s="11">
        <v>40227</v>
      </c>
      <c r="E95" s="7" t="s">
        <v>4198</v>
      </c>
      <c r="F95" s="4" t="s">
        <v>4725</v>
      </c>
      <c r="G95" s="12" t="str">
        <f>IF(AND(Tabela1[[#This Row],[Data nascimento]]&gt;=$J$2,Tabela1[[#This Row],[Data nascimento]]&lt;=$I$2),"INFANTIL A",H95)</f>
        <v>JUVENIL</v>
      </c>
      <c r="H95" s="3" t="str">
        <f>IF(AND(Tabela1[[#This Row],[Data nascimento]]&gt;=$L$2,Tabela1[[#This Row],[Data nascimento]]&lt;=$K$2),"INFANTIL B",I95)</f>
        <v>JUVENIL</v>
      </c>
      <c r="I95" s="9" t="str">
        <f>IF(AND(Tabela1[[#This Row],[Data nascimento]]&gt;=$N$2,Tabela1[[#This Row],[Data nascimento]]&lt;=$M$2),"INICIADO",J95)</f>
        <v>JUVENIL</v>
      </c>
      <c r="J95" s="9" t="str">
        <f>IF(AND(Tabela1[[#This Row],[Data nascimento]]&gt;=$P$2,Tabela1[[#This Row],[Data nascimento]]&lt;=$O$2),"JUVENIL","JÚNIOR")</f>
        <v>JUVENIL</v>
      </c>
    </row>
    <row r="96" spans="1:10" ht="15" x14ac:dyDescent="0.4">
      <c r="A96" s="13" t="s">
        <v>1394</v>
      </c>
      <c r="B96" s="2" t="s">
        <v>1395</v>
      </c>
      <c r="C96" s="4" t="s">
        <v>21</v>
      </c>
      <c r="D96" s="11">
        <v>40352</v>
      </c>
      <c r="E96" s="7" t="s">
        <v>1396</v>
      </c>
      <c r="F96" s="4" t="s">
        <v>4717</v>
      </c>
      <c r="G96" s="12" t="str">
        <f>IF(AND(Tabela1[[#This Row],[Data nascimento]]&gt;=$J$2,Tabela1[[#This Row],[Data nascimento]]&lt;=$I$2),"INFANTIL A",H96)</f>
        <v>JUVENIL</v>
      </c>
      <c r="H96" s="3" t="str">
        <f>IF(AND(Tabela1[[#This Row],[Data nascimento]]&gt;=$L$2,Tabela1[[#This Row],[Data nascimento]]&lt;=$K$2),"INFANTIL B",I96)</f>
        <v>JUVENIL</v>
      </c>
      <c r="I96" s="9" t="str">
        <f>IF(AND(Tabela1[[#This Row],[Data nascimento]]&gt;=$N$2,Tabela1[[#This Row],[Data nascimento]]&lt;=$M$2),"INICIADO",J96)</f>
        <v>JUVENIL</v>
      </c>
      <c r="J96" s="9" t="str">
        <f>IF(AND(Tabela1[[#This Row],[Data nascimento]]&gt;=$P$2,Tabela1[[#This Row],[Data nascimento]]&lt;=$O$2),"JUVENIL","JÚNIOR")</f>
        <v>JUVENIL</v>
      </c>
    </row>
    <row r="97" spans="1:10" ht="15" x14ac:dyDescent="0.4">
      <c r="A97" s="13" t="s">
        <v>4208</v>
      </c>
      <c r="B97" s="2" t="s">
        <v>4209</v>
      </c>
      <c r="C97" s="4" t="s">
        <v>8</v>
      </c>
      <c r="D97" s="11">
        <v>40463</v>
      </c>
      <c r="E97" s="7" t="s">
        <v>4210</v>
      </c>
      <c r="F97" s="4" t="s">
        <v>4725</v>
      </c>
      <c r="G97" s="12" t="str">
        <f>IF(AND(Tabela1[[#This Row],[Data nascimento]]&gt;=$J$2,Tabela1[[#This Row],[Data nascimento]]&lt;=$I$2),"INFANTIL A",H97)</f>
        <v>JUVENIL</v>
      </c>
      <c r="H97" s="3" t="str">
        <f>IF(AND(Tabela1[[#This Row],[Data nascimento]]&gt;=$L$2,Tabela1[[#This Row],[Data nascimento]]&lt;=$K$2),"INFANTIL B",I97)</f>
        <v>JUVENIL</v>
      </c>
      <c r="I97" s="9" t="str">
        <f>IF(AND(Tabela1[[#This Row],[Data nascimento]]&gt;=$N$2,Tabela1[[#This Row],[Data nascimento]]&lt;=$M$2),"INICIADO",J97)</f>
        <v>JUVENIL</v>
      </c>
      <c r="J97" s="9" t="str">
        <f>IF(AND(Tabela1[[#This Row],[Data nascimento]]&gt;=$P$2,Tabela1[[#This Row],[Data nascimento]]&lt;=$O$2),"JUVENIL","JÚNIOR")</f>
        <v>JUVENIL</v>
      </c>
    </row>
    <row r="98" spans="1:10" ht="15" x14ac:dyDescent="0.4">
      <c r="A98" s="13" t="s">
        <v>1400</v>
      </c>
      <c r="B98" s="2" t="s">
        <v>1401</v>
      </c>
      <c r="C98" s="4" t="s">
        <v>21</v>
      </c>
      <c r="D98" s="11">
        <v>40165</v>
      </c>
      <c r="E98" s="7" t="s">
        <v>1402</v>
      </c>
      <c r="F98" s="4" t="s">
        <v>4715</v>
      </c>
      <c r="G98" s="12" t="str">
        <f>IF(AND(Tabela1[[#This Row],[Data nascimento]]&gt;=$J$2,Tabela1[[#This Row],[Data nascimento]]&lt;=$I$2),"INFANTIL A",H98)</f>
        <v>JUVENIL</v>
      </c>
      <c r="H98" s="3" t="str">
        <f>IF(AND(Tabela1[[#This Row],[Data nascimento]]&gt;=$L$2,Tabela1[[#This Row],[Data nascimento]]&lt;=$K$2),"INFANTIL B",I98)</f>
        <v>JUVENIL</v>
      </c>
      <c r="I98" s="9" t="str">
        <f>IF(AND(Tabela1[[#This Row],[Data nascimento]]&gt;=$N$2,Tabela1[[#This Row],[Data nascimento]]&lt;=$M$2),"INICIADO",J98)</f>
        <v>JUVENIL</v>
      </c>
      <c r="J98" s="9" t="str">
        <f>IF(AND(Tabela1[[#This Row],[Data nascimento]]&gt;=$P$2,Tabela1[[#This Row],[Data nascimento]]&lt;=$O$2),"JUVENIL","JÚNIOR")</f>
        <v>JUVENIL</v>
      </c>
    </row>
    <row r="99" spans="1:10" ht="15" x14ac:dyDescent="0.4">
      <c r="A99" s="13" t="s">
        <v>1403</v>
      </c>
      <c r="B99" s="2" t="s">
        <v>1404</v>
      </c>
      <c r="C99" s="4" t="s">
        <v>21</v>
      </c>
      <c r="D99" s="11">
        <v>39986</v>
      </c>
      <c r="E99" s="7" t="s">
        <v>1405</v>
      </c>
      <c r="F99" s="4" t="s">
        <v>4715</v>
      </c>
      <c r="G99" s="12" t="str">
        <f>IF(AND(Tabela1[[#This Row],[Data nascimento]]&gt;=$J$2,Tabela1[[#This Row],[Data nascimento]]&lt;=$I$2),"INFANTIL A",H99)</f>
        <v>JUVENIL</v>
      </c>
      <c r="H99" s="3" t="str">
        <f>IF(AND(Tabela1[[#This Row],[Data nascimento]]&gt;=$L$2,Tabela1[[#This Row],[Data nascimento]]&lt;=$K$2),"INFANTIL B",I99)</f>
        <v>JUVENIL</v>
      </c>
      <c r="I99" s="9" t="str">
        <f>IF(AND(Tabela1[[#This Row],[Data nascimento]]&gt;=$N$2,Tabela1[[#This Row],[Data nascimento]]&lt;=$M$2),"INICIADO",J99)</f>
        <v>JUVENIL</v>
      </c>
      <c r="J99" s="9" t="str">
        <f>IF(AND(Tabela1[[#This Row],[Data nascimento]]&gt;=$P$2,Tabela1[[#This Row],[Data nascimento]]&lt;=$O$2),"JUVENIL","JÚNIOR")</f>
        <v>JUVENIL</v>
      </c>
    </row>
    <row r="100" spans="1:10" ht="15" x14ac:dyDescent="0.4">
      <c r="A100" s="13" t="s">
        <v>4211</v>
      </c>
      <c r="B100" s="2" t="s">
        <v>4212</v>
      </c>
      <c r="C100" s="4" t="s">
        <v>8</v>
      </c>
      <c r="D100" s="11">
        <v>40263</v>
      </c>
      <c r="E100" s="7" t="s">
        <v>4213</v>
      </c>
      <c r="F100" s="4" t="s">
        <v>4725</v>
      </c>
      <c r="G100" s="12" t="str">
        <f>IF(AND(Tabela1[[#This Row],[Data nascimento]]&gt;=$J$2,Tabela1[[#This Row],[Data nascimento]]&lt;=$I$2),"INFANTIL A",H100)</f>
        <v>JUVENIL</v>
      </c>
      <c r="H100" s="3" t="str">
        <f>IF(AND(Tabela1[[#This Row],[Data nascimento]]&gt;=$L$2,Tabela1[[#This Row],[Data nascimento]]&lt;=$K$2),"INFANTIL B",I100)</f>
        <v>JUVENIL</v>
      </c>
      <c r="I100" s="9" t="str">
        <f>IF(AND(Tabela1[[#This Row],[Data nascimento]]&gt;=$N$2,Tabela1[[#This Row],[Data nascimento]]&lt;=$M$2),"INICIADO",J100)</f>
        <v>JUVENIL</v>
      </c>
      <c r="J100" s="9" t="str">
        <f>IF(AND(Tabela1[[#This Row],[Data nascimento]]&gt;=$P$2,Tabela1[[#This Row],[Data nascimento]]&lt;=$O$2),"JUVENIL","JÚNIOR")</f>
        <v>JUVENIL</v>
      </c>
    </row>
    <row r="101" spans="1:10" ht="15" x14ac:dyDescent="0.4">
      <c r="A101" s="13" t="s">
        <v>1409</v>
      </c>
      <c r="B101" s="2" t="s">
        <v>1410</v>
      </c>
      <c r="C101" s="4" t="s">
        <v>21</v>
      </c>
      <c r="D101" s="11">
        <v>40331</v>
      </c>
      <c r="E101" s="7" t="s">
        <v>1411</v>
      </c>
      <c r="F101" s="4" t="s">
        <v>4720</v>
      </c>
      <c r="G101" s="12" t="str">
        <f>IF(AND(Tabela1[[#This Row],[Data nascimento]]&gt;=$J$2,Tabela1[[#This Row],[Data nascimento]]&lt;=$I$2),"INFANTIL A",H101)</f>
        <v>JUVENIL</v>
      </c>
      <c r="H101" s="3" t="str">
        <f>IF(AND(Tabela1[[#This Row],[Data nascimento]]&gt;=$L$2,Tabela1[[#This Row],[Data nascimento]]&lt;=$K$2),"INFANTIL B",I101)</f>
        <v>JUVENIL</v>
      </c>
      <c r="I101" s="9" t="str">
        <f>IF(AND(Tabela1[[#This Row],[Data nascimento]]&gt;=$N$2,Tabela1[[#This Row],[Data nascimento]]&lt;=$M$2),"INICIADO",J101)</f>
        <v>JUVENIL</v>
      </c>
      <c r="J101" s="9" t="str">
        <f>IF(AND(Tabela1[[#This Row],[Data nascimento]]&gt;=$P$2,Tabela1[[#This Row],[Data nascimento]]&lt;=$O$2),"JUVENIL","JÚNIOR")</f>
        <v>JUVENIL</v>
      </c>
    </row>
    <row r="102" spans="1:10" ht="15" x14ac:dyDescent="0.4">
      <c r="A102" s="13" t="s">
        <v>4217</v>
      </c>
      <c r="B102" s="2" t="s">
        <v>4218</v>
      </c>
      <c r="C102" s="4" t="s">
        <v>8</v>
      </c>
      <c r="D102" s="11">
        <v>39943</v>
      </c>
      <c r="E102" s="7" t="s">
        <v>4219</v>
      </c>
      <c r="F102" s="4" t="s">
        <v>4725</v>
      </c>
      <c r="G102" s="12" t="str">
        <f>IF(AND(Tabela1[[#This Row],[Data nascimento]]&gt;=$J$2,Tabela1[[#This Row],[Data nascimento]]&lt;=$I$2),"INFANTIL A",H102)</f>
        <v>JUVENIL</v>
      </c>
      <c r="H102" s="3" t="str">
        <f>IF(AND(Tabela1[[#This Row],[Data nascimento]]&gt;=$L$2,Tabela1[[#This Row],[Data nascimento]]&lt;=$K$2),"INFANTIL B",I102)</f>
        <v>JUVENIL</v>
      </c>
      <c r="I102" s="9" t="str">
        <f>IF(AND(Tabela1[[#This Row],[Data nascimento]]&gt;=$N$2,Tabela1[[#This Row],[Data nascimento]]&lt;=$M$2),"INICIADO",J102)</f>
        <v>JUVENIL</v>
      </c>
      <c r="J102" s="9" t="str">
        <f>IF(AND(Tabela1[[#This Row],[Data nascimento]]&gt;=$P$2,Tabela1[[#This Row],[Data nascimento]]&lt;=$O$2),"JUVENIL","JÚNIOR")</f>
        <v>JUVENIL</v>
      </c>
    </row>
    <row r="103" spans="1:10" ht="15" x14ac:dyDescent="0.4">
      <c r="A103" s="13" t="s">
        <v>4223</v>
      </c>
      <c r="B103" s="2" t="s">
        <v>4224</v>
      </c>
      <c r="C103" s="4" t="s">
        <v>8</v>
      </c>
      <c r="D103" s="11">
        <v>40301</v>
      </c>
      <c r="E103" s="7" t="s">
        <v>4225</v>
      </c>
      <c r="F103" s="4" t="s">
        <v>4725</v>
      </c>
      <c r="G103" s="12" t="str">
        <f>IF(AND(Tabela1[[#This Row],[Data nascimento]]&gt;=$J$2,Tabela1[[#This Row],[Data nascimento]]&lt;=$I$2),"INFANTIL A",H103)</f>
        <v>JUVENIL</v>
      </c>
      <c r="H103" s="3" t="str">
        <f>IF(AND(Tabela1[[#This Row],[Data nascimento]]&gt;=$L$2,Tabela1[[#This Row],[Data nascimento]]&lt;=$K$2),"INFANTIL B",I103)</f>
        <v>JUVENIL</v>
      </c>
      <c r="I103" s="9" t="str">
        <f>IF(AND(Tabela1[[#This Row],[Data nascimento]]&gt;=$N$2,Tabela1[[#This Row],[Data nascimento]]&lt;=$M$2),"INICIADO",J103)</f>
        <v>JUVENIL</v>
      </c>
      <c r="J103" s="9" t="str">
        <f>IF(AND(Tabela1[[#This Row],[Data nascimento]]&gt;=$P$2,Tabela1[[#This Row],[Data nascimento]]&lt;=$O$2),"JUVENIL","JÚNIOR")</f>
        <v>JUVENIL</v>
      </c>
    </row>
    <row r="104" spans="1:10" ht="15" x14ac:dyDescent="0.4">
      <c r="A104" s="13" t="s">
        <v>1418</v>
      </c>
      <c r="B104" s="2" t="s">
        <v>1419</v>
      </c>
      <c r="C104" s="4" t="s">
        <v>21</v>
      </c>
      <c r="D104" s="11">
        <v>40502</v>
      </c>
      <c r="E104" s="7" t="s">
        <v>1420</v>
      </c>
      <c r="F104" s="4" t="s">
        <v>4715</v>
      </c>
      <c r="G104" s="12" t="str">
        <f>IF(AND(Tabela1[[#This Row],[Data nascimento]]&gt;=$J$2,Tabela1[[#This Row],[Data nascimento]]&lt;=$I$2),"INFANTIL A",H104)</f>
        <v>JUVENIL</v>
      </c>
      <c r="H104" s="3" t="str">
        <f>IF(AND(Tabela1[[#This Row],[Data nascimento]]&gt;=$L$2,Tabela1[[#This Row],[Data nascimento]]&lt;=$K$2),"INFANTIL B",I104)</f>
        <v>JUVENIL</v>
      </c>
      <c r="I104" s="9" t="str">
        <f>IF(AND(Tabela1[[#This Row],[Data nascimento]]&gt;=$N$2,Tabela1[[#This Row],[Data nascimento]]&lt;=$M$2),"INICIADO",J104)</f>
        <v>JUVENIL</v>
      </c>
      <c r="J104" s="9" t="str">
        <f>IF(AND(Tabela1[[#This Row],[Data nascimento]]&gt;=$P$2,Tabela1[[#This Row],[Data nascimento]]&lt;=$O$2),"JUVENIL","JÚNIOR")</f>
        <v>JUVENIL</v>
      </c>
    </row>
    <row r="105" spans="1:10" ht="15" x14ac:dyDescent="0.4">
      <c r="A105" s="13" t="s">
        <v>4232</v>
      </c>
      <c r="B105" s="2" t="s">
        <v>4233</v>
      </c>
      <c r="C105" s="4" t="s">
        <v>8</v>
      </c>
      <c r="D105" s="11">
        <v>40030</v>
      </c>
      <c r="E105" s="7" t="s">
        <v>4234</v>
      </c>
      <c r="F105" s="4" t="s">
        <v>4725</v>
      </c>
      <c r="G105" s="12" t="str">
        <f>IF(AND(Tabela1[[#This Row],[Data nascimento]]&gt;=$J$2,Tabela1[[#This Row],[Data nascimento]]&lt;=$I$2),"INFANTIL A",H105)</f>
        <v>JUVENIL</v>
      </c>
      <c r="H105" s="3" t="str">
        <f>IF(AND(Tabela1[[#This Row],[Data nascimento]]&gt;=$L$2,Tabela1[[#This Row],[Data nascimento]]&lt;=$K$2),"INFANTIL B",I105)</f>
        <v>JUVENIL</v>
      </c>
      <c r="I105" s="9" t="str">
        <f>IF(AND(Tabela1[[#This Row],[Data nascimento]]&gt;=$N$2,Tabela1[[#This Row],[Data nascimento]]&lt;=$M$2),"INICIADO",J105)</f>
        <v>JUVENIL</v>
      </c>
      <c r="J105" s="9" t="str">
        <f>IF(AND(Tabela1[[#This Row],[Data nascimento]]&gt;=$P$2,Tabela1[[#This Row],[Data nascimento]]&lt;=$O$2),"JUVENIL","JÚNIOR")</f>
        <v>JUVENIL</v>
      </c>
    </row>
    <row r="106" spans="1:10" ht="15" x14ac:dyDescent="0.4">
      <c r="A106" s="13" t="s">
        <v>1424</v>
      </c>
      <c r="B106" s="2" t="s">
        <v>1425</v>
      </c>
      <c r="C106" s="4" t="s">
        <v>21</v>
      </c>
      <c r="D106" s="11">
        <v>40240</v>
      </c>
      <c r="E106" s="7" t="s">
        <v>1426</v>
      </c>
      <c r="F106" s="4" t="s">
        <v>4715</v>
      </c>
      <c r="G106" s="12" t="str">
        <f>IF(AND(Tabela1[[#This Row],[Data nascimento]]&gt;=$J$2,Tabela1[[#This Row],[Data nascimento]]&lt;=$I$2),"INFANTIL A",H106)</f>
        <v>JUVENIL</v>
      </c>
      <c r="H106" s="3" t="str">
        <f>IF(AND(Tabela1[[#This Row],[Data nascimento]]&gt;=$L$2,Tabela1[[#This Row],[Data nascimento]]&lt;=$K$2),"INFANTIL B",I106)</f>
        <v>JUVENIL</v>
      </c>
      <c r="I106" s="9" t="str">
        <f>IF(AND(Tabela1[[#This Row],[Data nascimento]]&gt;=$N$2,Tabela1[[#This Row],[Data nascimento]]&lt;=$M$2),"INICIADO",J106)</f>
        <v>JUVENIL</v>
      </c>
      <c r="J106" s="9" t="str">
        <f>IF(AND(Tabela1[[#This Row],[Data nascimento]]&gt;=$P$2,Tabela1[[#This Row],[Data nascimento]]&lt;=$O$2),"JUVENIL","JÚNIOR")</f>
        <v>JUVENIL</v>
      </c>
    </row>
    <row r="107" spans="1:10" ht="15" x14ac:dyDescent="0.4">
      <c r="A107" s="13" t="s">
        <v>1427</v>
      </c>
      <c r="B107" s="2" t="s">
        <v>1428</v>
      </c>
      <c r="C107" s="4" t="s">
        <v>21</v>
      </c>
      <c r="D107" s="11">
        <v>40207</v>
      </c>
      <c r="E107" s="7" t="s">
        <v>1429</v>
      </c>
      <c r="F107" s="4" t="s">
        <v>4715</v>
      </c>
      <c r="G107" s="12" t="str">
        <f>IF(AND(Tabela1[[#This Row],[Data nascimento]]&gt;=$J$2,Tabela1[[#This Row],[Data nascimento]]&lt;=$I$2),"INFANTIL A",H107)</f>
        <v>JUVENIL</v>
      </c>
      <c r="H107" s="3" t="str">
        <f>IF(AND(Tabela1[[#This Row],[Data nascimento]]&gt;=$L$2,Tabela1[[#This Row],[Data nascimento]]&lt;=$K$2),"INFANTIL B",I107)</f>
        <v>JUVENIL</v>
      </c>
      <c r="I107" s="9" t="str">
        <f>IF(AND(Tabela1[[#This Row],[Data nascimento]]&gt;=$N$2,Tabela1[[#This Row],[Data nascimento]]&lt;=$M$2),"INICIADO",J107)</f>
        <v>JUVENIL</v>
      </c>
      <c r="J107" s="9" t="str">
        <f>IF(AND(Tabela1[[#This Row],[Data nascimento]]&gt;=$P$2,Tabela1[[#This Row],[Data nascimento]]&lt;=$O$2),"JUVENIL","JÚNIOR")</f>
        <v>JUVENIL</v>
      </c>
    </row>
    <row r="108" spans="1:10" ht="15" x14ac:dyDescent="0.4">
      <c r="A108" s="13" t="s">
        <v>4244</v>
      </c>
      <c r="B108" s="2" t="s">
        <v>4245</v>
      </c>
      <c r="C108" s="4" t="s">
        <v>8</v>
      </c>
      <c r="D108" s="11">
        <v>40320</v>
      </c>
      <c r="E108" s="7" t="s">
        <v>4246</v>
      </c>
      <c r="F108" s="4" t="s">
        <v>4725</v>
      </c>
      <c r="G108" s="12" t="str">
        <f>IF(AND(Tabela1[[#This Row],[Data nascimento]]&gt;=$J$2,Tabela1[[#This Row],[Data nascimento]]&lt;=$I$2),"INFANTIL A",H108)</f>
        <v>JUVENIL</v>
      </c>
      <c r="H108" s="3" t="str">
        <f>IF(AND(Tabela1[[#This Row],[Data nascimento]]&gt;=$L$2,Tabela1[[#This Row],[Data nascimento]]&lt;=$K$2),"INFANTIL B",I108)</f>
        <v>JUVENIL</v>
      </c>
      <c r="I108" s="9" t="str">
        <f>IF(AND(Tabela1[[#This Row],[Data nascimento]]&gt;=$N$2,Tabela1[[#This Row],[Data nascimento]]&lt;=$M$2),"INICIADO",J108)</f>
        <v>JUVENIL</v>
      </c>
      <c r="J108" s="9" t="str">
        <f>IF(AND(Tabela1[[#This Row],[Data nascimento]]&gt;=$P$2,Tabela1[[#This Row],[Data nascimento]]&lt;=$O$2),"JUVENIL","JÚNIOR")</f>
        <v>JUVENIL</v>
      </c>
    </row>
    <row r="109" spans="1:10" ht="15" x14ac:dyDescent="0.4">
      <c r="A109" s="13" t="s">
        <v>4250</v>
      </c>
      <c r="B109" s="2" t="s">
        <v>4251</v>
      </c>
      <c r="C109" s="4" t="s">
        <v>8</v>
      </c>
      <c r="D109" s="11">
        <v>40175</v>
      </c>
      <c r="E109" s="7" t="s">
        <v>4252</v>
      </c>
      <c r="F109" s="4" t="s">
        <v>4725</v>
      </c>
      <c r="G109" s="12" t="str">
        <f>IF(AND(Tabela1[[#This Row],[Data nascimento]]&gt;=$J$2,Tabela1[[#This Row],[Data nascimento]]&lt;=$I$2),"INFANTIL A",H109)</f>
        <v>JUVENIL</v>
      </c>
      <c r="H109" s="3" t="str">
        <f>IF(AND(Tabela1[[#This Row],[Data nascimento]]&gt;=$L$2,Tabela1[[#This Row],[Data nascimento]]&lt;=$K$2),"INFANTIL B",I109)</f>
        <v>JUVENIL</v>
      </c>
      <c r="I109" s="9" t="str">
        <f>IF(AND(Tabela1[[#This Row],[Data nascimento]]&gt;=$N$2,Tabela1[[#This Row],[Data nascimento]]&lt;=$M$2),"INICIADO",J109)</f>
        <v>JUVENIL</v>
      </c>
      <c r="J109" s="9" t="str">
        <f>IF(AND(Tabela1[[#This Row],[Data nascimento]]&gt;=$P$2,Tabela1[[#This Row],[Data nascimento]]&lt;=$O$2),"JUVENIL","JÚNIOR")</f>
        <v>JUVENIL</v>
      </c>
    </row>
    <row r="110" spans="1:10" ht="15" x14ac:dyDescent="0.4">
      <c r="A110" s="13" t="s">
        <v>1436</v>
      </c>
      <c r="B110" s="2" t="s">
        <v>1437</v>
      </c>
      <c r="C110" s="4" t="s">
        <v>21</v>
      </c>
      <c r="D110" s="11">
        <v>40380</v>
      </c>
      <c r="E110" s="7" t="s">
        <v>1438</v>
      </c>
      <c r="F110" s="4" t="s">
        <v>4717</v>
      </c>
      <c r="G110" s="12" t="str">
        <f>IF(AND(Tabela1[[#This Row],[Data nascimento]]&gt;=$J$2,Tabela1[[#This Row],[Data nascimento]]&lt;=$I$2),"INFANTIL A",H110)</f>
        <v>JUVENIL</v>
      </c>
      <c r="H110" s="3" t="str">
        <f>IF(AND(Tabela1[[#This Row],[Data nascimento]]&gt;=$L$2,Tabela1[[#This Row],[Data nascimento]]&lt;=$K$2),"INFANTIL B",I110)</f>
        <v>JUVENIL</v>
      </c>
      <c r="I110" s="9" t="str">
        <f>IF(AND(Tabela1[[#This Row],[Data nascimento]]&gt;=$N$2,Tabela1[[#This Row],[Data nascimento]]&lt;=$M$2),"INICIADO",J110)</f>
        <v>JUVENIL</v>
      </c>
      <c r="J110" s="9" t="str">
        <f>IF(AND(Tabela1[[#This Row],[Data nascimento]]&gt;=$P$2,Tabela1[[#This Row],[Data nascimento]]&lt;=$O$2),"JUVENIL","JÚNIOR")</f>
        <v>JUVENIL</v>
      </c>
    </row>
    <row r="111" spans="1:10" ht="15" x14ac:dyDescent="0.4">
      <c r="A111" s="13" t="s">
        <v>1439</v>
      </c>
      <c r="B111" s="2" t="s">
        <v>1440</v>
      </c>
      <c r="C111" s="4" t="s">
        <v>21</v>
      </c>
      <c r="D111" s="11">
        <v>40418</v>
      </c>
      <c r="E111" s="7" t="s">
        <v>1441</v>
      </c>
      <c r="F111" s="4" t="s">
        <v>4715</v>
      </c>
      <c r="G111" s="12" t="str">
        <f>IF(AND(Tabela1[[#This Row],[Data nascimento]]&gt;=$J$2,Tabela1[[#This Row],[Data nascimento]]&lt;=$I$2),"INFANTIL A",H111)</f>
        <v>JUVENIL</v>
      </c>
      <c r="H111" s="3" t="str">
        <f>IF(AND(Tabela1[[#This Row],[Data nascimento]]&gt;=$L$2,Tabela1[[#This Row],[Data nascimento]]&lt;=$K$2),"INFANTIL B",I111)</f>
        <v>JUVENIL</v>
      </c>
      <c r="I111" s="9" t="str">
        <f>IF(AND(Tabela1[[#This Row],[Data nascimento]]&gt;=$N$2,Tabela1[[#This Row],[Data nascimento]]&lt;=$M$2),"INICIADO",J111)</f>
        <v>JUVENIL</v>
      </c>
      <c r="J111" s="9" t="str">
        <f>IF(AND(Tabela1[[#This Row],[Data nascimento]]&gt;=$P$2,Tabela1[[#This Row],[Data nascimento]]&lt;=$O$2),"JUVENIL","JÚNIOR")</f>
        <v>JUVENIL</v>
      </c>
    </row>
    <row r="112" spans="1:10" ht="15" x14ac:dyDescent="0.4">
      <c r="A112" s="13" t="s">
        <v>4256</v>
      </c>
      <c r="B112" s="2" t="s">
        <v>4257</v>
      </c>
      <c r="C112" s="4" t="s">
        <v>8</v>
      </c>
      <c r="D112" s="11">
        <v>40433</v>
      </c>
      <c r="E112" s="7" t="s">
        <v>4258</v>
      </c>
      <c r="F112" s="4" t="s">
        <v>4725</v>
      </c>
      <c r="G112" s="12" t="str">
        <f>IF(AND(Tabela1[[#This Row],[Data nascimento]]&gt;=$J$2,Tabela1[[#This Row],[Data nascimento]]&lt;=$I$2),"INFANTIL A",H112)</f>
        <v>JUVENIL</v>
      </c>
      <c r="H112" s="3" t="str">
        <f>IF(AND(Tabela1[[#This Row],[Data nascimento]]&gt;=$L$2,Tabela1[[#This Row],[Data nascimento]]&lt;=$K$2),"INFANTIL B",I112)</f>
        <v>JUVENIL</v>
      </c>
      <c r="I112" s="9" t="str">
        <f>IF(AND(Tabela1[[#This Row],[Data nascimento]]&gt;=$N$2,Tabela1[[#This Row],[Data nascimento]]&lt;=$M$2),"INICIADO",J112)</f>
        <v>JUVENIL</v>
      </c>
      <c r="J112" s="9" t="str">
        <f>IF(AND(Tabela1[[#This Row],[Data nascimento]]&gt;=$P$2,Tabela1[[#This Row],[Data nascimento]]&lt;=$O$2),"JUVENIL","JÚNIOR")</f>
        <v>JUVENIL</v>
      </c>
    </row>
    <row r="113" spans="1:10" ht="15" x14ac:dyDescent="0.4">
      <c r="A113" s="13" t="s">
        <v>1445</v>
      </c>
      <c r="B113" s="2" t="s">
        <v>1446</v>
      </c>
      <c r="C113" s="4" t="s">
        <v>21</v>
      </c>
      <c r="D113" s="11">
        <v>40211</v>
      </c>
      <c r="E113" s="7" t="s">
        <v>1447</v>
      </c>
      <c r="F113" s="4" t="s">
        <v>4720</v>
      </c>
      <c r="G113" s="12" t="str">
        <f>IF(AND(Tabela1[[#This Row],[Data nascimento]]&gt;=$J$2,Tabela1[[#This Row],[Data nascimento]]&lt;=$I$2),"INFANTIL A",H113)</f>
        <v>JUVENIL</v>
      </c>
      <c r="H113" s="3" t="str">
        <f>IF(AND(Tabela1[[#This Row],[Data nascimento]]&gt;=$L$2,Tabela1[[#This Row],[Data nascimento]]&lt;=$K$2),"INFANTIL B",I113)</f>
        <v>JUVENIL</v>
      </c>
      <c r="I113" s="9" t="str">
        <f>IF(AND(Tabela1[[#This Row],[Data nascimento]]&gt;=$N$2,Tabela1[[#This Row],[Data nascimento]]&lt;=$M$2),"INICIADO",J113)</f>
        <v>JUVENIL</v>
      </c>
      <c r="J113" s="9" t="str">
        <f>IF(AND(Tabela1[[#This Row],[Data nascimento]]&gt;=$P$2,Tabela1[[#This Row],[Data nascimento]]&lt;=$O$2),"JUVENIL","JÚNIOR")</f>
        <v>JUVENIL</v>
      </c>
    </row>
    <row r="114" spans="1:10" ht="15" x14ac:dyDescent="0.4">
      <c r="A114" s="13" t="s">
        <v>1448</v>
      </c>
      <c r="B114" s="2" t="s">
        <v>1449</v>
      </c>
      <c r="C114" s="4" t="s">
        <v>21</v>
      </c>
      <c r="D114" s="11">
        <v>40414</v>
      </c>
      <c r="E114" s="7" t="s">
        <v>1450</v>
      </c>
      <c r="F114" s="4" t="s">
        <v>4715</v>
      </c>
      <c r="G114" s="12" t="str">
        <f>IF(AND(Tabela1[[#This Row],[Data nascimento]]&gt;=$J$2,Tabela1[[#This Row],[Data nascimento]]&lt;=$I$2),"INFANTIL A",H114)</f>
        <v>JUVENIL</v>
      </c>
      <c r="H114" s="3" t="str">
        <f>IF(AND(Tabela1[[#This Row],[Data nascimento]]&gt;=$L$2,Tabela1[[#This Row],[Data nascimento]]&lt;=$K$2),"INFANTIL B",I114)</f>
        <v>JUVENIL</v>
      </c>
      <c r="I114" s="9" t="str">
        <f>IF(AND(Tabela1[[#This Row],[Data nascimento]]&gt;=$N$2,Tabela1[[#This Row],[Data nascimento]]&lt;=$M$2),"INICIADO",J114)</f>
        <v>JUVENIL</v>
      </c>
      <c r="J114" s="9" t="str">
        <f>IF(AND(Tabela1[[#This Row],[Data nascimento]]&gt;=$P$2,Tabela1[[#This Row],[Data nascimento]]&lt;=$O$2),"JUVENIL","JÚNIOR")</f>
        <v>JUVENIL</v>
      </c>
    </row>
    <row r="115" spans="1:10" ht="15" x14ac:dyDescent="0.4">
      <c r="A115" s="13" t="s">
        <v>4265</v>
      </c>
      <c r="B115" s="2" t="s">
        <v>4266</v>
      </c>
      <c r="C115" s="4" t="s">
        <v>8</v>
      </c>
      <c r="D115" s="11">
        <v>40369</v>
      </c>
      <c r="E115" s="7" t="s">
        <v>4267</v>
      </c>
      <c r="F115" s="4" t="s">
        <v>4725</v>
      </c>
      <c r="G115" s="12" t="str">
        <f>IF(AND(Tabela1[[#This Row],[Data nascimento]]&gt;=$J$2,Tabela1[[#This Row],[Data nascimento]]&lt;=$I$2),"INFANTIL A",H115)</f>
        <v>JUVENIL</v>
      </c>
      <c r="H115" s="3" t="str">
        <f>IF(AND(Tabela1[[#This Row],[Data nascimento]]&gt;=$L$2,Tabela1[[#This Row],[Data nascimento]]&lt;=$K$2),"INFANTIL B",I115)</f>
        <v>JUVENIL</v>
      </c>
      <c r="I115" s="9" t="str">
        <f>IF(AND(Tabela1[[#This Row],[Data nascimento]]&gt;=$N$2,Tabela1[[#This Row],[Data nascimento]]&lt;=$M$2),"INICIADO",J115)</f>
        <v>JUVENIL</v>
      </c>
      <c r="J115" s="9" t="str">
        <f>IF(AND(Tabela1[[#This Row],[Data nascimento]]&gt;=$P$2,Tabela1[[#This Row],[Data nascimento]]&lt;=$O$2),"JUVENIL","JÚNIOR")</f>
        <v>JUVENIL</v>
      </c>
    </row>
    <row r="116" spans="1:10" ht="15" x14ac:dyDescent="0.4">
      <c r="A116" s="13" t="s">
        <v>4268</v>
      </c>
      <c r="B116" s="2" t="s">
        <v>4269</v>
      </c>
      <c r="C116" s="4" t="s">
        <v>8</v>
      </c>
      <c r="D116" s="11">
        <v>40219</v>
      </c>
      <c r="E116" s="7" t="s">
        <v>4270</v>
      </c>
      <c r="F116" s="4" t="s">
        <v>4725</v>
      </c>
      <c r="G116" s="12" t="str">
        <f>IF(AND(Tabela1[[#This Row],[Data nascimento]]&gt;=$J$2,Tabela1[[#This Row],[Data nascimento]]&lt;=$I$2),"INFANTIL A",H116)</f>
        <v>JUVENIL</v>
      </c>
      <c r="H116" s="3" t="str">
        <f>IF(AND(Tabela1[[#This Row],[Data nascimento]]&gt;=$L$2,Tabela1[[#This Row],[Data nascimento]]&lt;=$K$2),"INFANTIL B",I116)</f>
        <v>JUVENIL</v>
      </c>
      <c r="I116" s="9" t="str">
        <f>IF(AND(Tabela1[[#This Row],[Data nascimento]]&gt;=$N$2,Tabela1[[#This Row],[Data nascimento]]&lt;=$M$2),"INICIADO",J116)</f>
        <v>JUVENIL</v>
      </c>
      <c r="J116" s="9" t="str">
        <f>IF(AND(Tabela1[[#This Row],[Data nascimento]]&gt;=$P$2,Tabela1[[#This Row],[Data nascimento]]&lt;=$O$2),"JUVENIL","JÚNIOR")</f>
        <v>JUVENIL</v>
      </c>
    </row>
    <row r="117" spans="1:10" ht="15" x14ac:dyDescent="0.4">
      <c r="A117" s="13" t="s">
        <v>1457</v>
      </c>
      <c r="B117" s="2" t="s">
        <v>1458</v>
      </c>
      <c r="C117" s="4" t="s">
        <v>21</v>
      </c>
      <c r="D117" s="11">
        <v>40529</v>
      </c>
      <c r="E117" s="7" t="s">
        <v>1459</v>
      </c>
      <c r="F117" s="4" t="s">
        <v>4720</v>
      </c>
      <c r="G117" s="12" t="str">
        <f>IF(AND(Tabela1[[#This Row],[Data nascimento]]&gt;=$J$2,Tabela1[[#This Row],[Data nascimento]]&lt;=$I$2),"INFANTIL A",H117)</f>
        <v>JUVENIL</v>
      </c>
      <c r="H117" s="3" t="str">
        <f>IF(AND(Tabela1[[#This Row],[Data nascimento]]&gt;=$L$2,Tabela1[[#This Row],[Data nascimento]]&lt;=$K$2),"INFANTIL B",I117)</f>
        <v>JUVENIL</v>
      </c>
      <c r="I117" s="9" t="str">
        <f>IF(AND(Tabela1[[#This Row],[Data nascimento]]&gt;=$N$2,Tabela1[[#This Row],[Data nascimento]]&lt;=$M$2),"INICIADO",J117)</f>
        <v>JUVENIL</v>
      </c>
      <c r="J117" s="9" t="str">
        <f>IF(AND(Tabela1[[#This Row],[Data nascimento]]&gt;=$P$2,Tabela1[[#This Row],[Data nascimento]]&lt;=$O$2),"JUVENIL","JÚNIOR")</f>
        <v>JUVENIL</v>
      </c>
    </row>
    <row r="118" spans="1:10" ht="15" x14ac:dyDescent="0.4">
      <c r="A118" s="13" t="s">
        <v>4397</v>
      </c>
      <c r="B118" s="2" t="s">
        <v>4398</v>
      </c>
      <c r="C118" s="4" t="s">
        <v>8</v>
      </c>
      <c r="D118" s="11">
        <v>39875</v>
      </c>
      <c r="E118" s="7" t="s">
        <v>4399</v>
      </c>
      <c r="F118" s="4" t="s">
        <v>4725</v>
      </c>
      <c r="G118" s="12" t="str">
        <f>IF(AND(Tabela1[[#This Row],[Data nascimento]]&gt;=$J$2,Tabela1[[#This Row],[Data nascimento]]&lt;=$I$2),"INFANTIL A",H118)</f>
        <v>JUVENIL</v>
      </c>
      <c r="H118" s="3" t="str">
        <f>IF(AND(Tabela1[[#This Row],[Data nascimento]]&gt;=$L$2,Tabela1[[#This Row],[Data nascimento]]&lt;=$K$2),"INFANTIL B",I118)</f>
        <v>JUVENIL</v>
      </c>
      <c r="I118" s="9" t="str">
        <f>IF(AND(Tabela1[[#This Row],[Data nascimento]]&gt;=$N$2,Tabela1[[#This Row],[Data nascimento]]&lt;=$M$2),"INICIADO",J118)</f>
        <v>JUVENIL</v>
      </c>
      <c r="J118" s="9" t="str">
        <f>IF(AND(Tabela1[[#This Row],[Data nascimento]]&gt;=$P$2,Tabela1[[#This Row],[Data nascimento]]&lt;=$O$2),"JUVENIL","JÚNIOR")</f>
        <v>JUVENIL</v>
      </c>
    </row>
    <row r="119" spans="1:10" ht="15" x14ac:dyDescent="0.4">
      <c r="A119" s="13" t="s">
        <v>4493</v>
      </c>
      <c r="B119" s="2" t="s">
        <v>4494</v>
      </c>
      <c r="C119" s="4" t="s">
        <v>8</v>
      </c>
      <c r="D119" s="11">
        <v>40238</v>
      </c>
      <c r="E119" s="7" t="s">
        <v>4495</v>
      </c>
      <c r="F119" s="4" t="s">
        <v>4725</v>
      </c>
      <c r="G119" s="12" t="str">
        <f>IF(AND(Tabela1[[#This Row],[Data nascimento]]&gt;=$J$2,Tabela1[[#This Row],[Data nascimento]]&lt;=$I$2),"INFANTIL A",H119)</f>
        <v>JUVENIL</v>
      </c>
      <c r="H119" s="3" t="str">
        <f>IF(AND(Tabela1[[#This Row],[Data nascimento]]&gt;=$L$2,Tabela1[[#This Row],[Data nascimento]]&lt;=$K$2),"INFANTIL B",I119)</f>
        <v>JUVENIL</v>
      </c>
      <c r="I119" s="9" t="str">
        <f>IF(AND(Tabela1[[#This Row],[Data nascimento]]&gt;=$N$2,Tabela1[[#This Row],[Data nascimento]]&lt;=$M$2),"INICIADO",J119)</f>
        <v>JUVENIL</v>
      </c>
      <c r="J119" s="9" t="str">
        <f>IF(AND(Tabela1[[#This Row],[Data nascimento]]&gt;=$P$2,Tabela1[[#This Row],[Data nascimento]]&lt;=$O$2),"JUVENIL","JÚNIOR")</f>
        <v>JUVENIL</v>
      </c>
    </row>
    <row r="120" spans="1:10" ht="15" x14ac:dyDescent="0.4">
      <c r="A120" s="13" t="s">
        <v>4496</v>
      </c>
      <c r="B120" s="2" t="s">
        <v>4497</v>
      </c>
      <c r="C120" s="4" t="s">
        <v>8</v>
      </c>
      <c r="D120" s="11">
        <v>40401</v>
      </c>
      <c r="E120" s="7" t="s">
        <v>4498</v>
      </c>
      <c r="F120" s="4" t="s">
        <v>4725</v>
      </c>
      <c r="G120" s="12" t="str">
        <f>IF(AND(Tabela1[[#This Row],[Data nascimento]]&gt;=$J$2,Tabela1[[#This Row],[Data nascimento]]&lt;=$I$2),"INFANTIL A",H120)</f>
        <v>JUVENIL</v>
      </c>
      <c r="H120" s="3" t="str">
        <f>IF(AND(Tabela1[[#This Row],[Data nascimento]]&gt;=$L$2,Tabela1[[#This Row],[Data nascimento]]&lt;=$K$2),"INFANTIL B",I120)</f>
        <v>JUVENIL</v>
      </c>
      <c r="I120" s="9" t="str">
        <f>IF(AND(Tabela1[[#This Row],[Data nascimento]]&gt;=$N$2,Tabela1[[#This Row],[Data nascimento]]&lt;=$M$2),"INICIADO",J120)</f>
        <v>JUVENIL</v>
      </c>
      <c r="J120" s="9" t="str">
        <f>IF(AND(Tabela1[[#This Row],[Data nascimento]]&gt;=$P$2,Tabela1[[#This Row],[Data nascimento]]&lt;=$O$2),"JUVENIL","JÚNIOR")</f>
        <v>JUVENIL</v>
      </c>
    </row>
    <row r="121" spans="1:10" ht="15" x14ac:dyDescent="0.4">
      <c r="A121" s="13" t="s">
        <v>4640</v>
      </c>
      <c r="B121" s="2" t="s">
        <v>4641</v>
      </c>
      <c r="C121" s="4" t="s">
        <v>8</v>
      </c>
      <c r="D121" s="11">
        <v>40521</v>
      </c>
      <c r="E121" s="7" t="s">
        <v>4642</v>
      </c>
      <c r="F121" s="4" t="s">
        <v>4725</v>
      </c>
      <c r="G121" s="12" t="str">
        <f>IF(AND(Tabela1[[#This Row],[Data nascimento]]&gt;=$J$2,Tabela1[[#This Row],[Data nascimento]]&lt;=$I$2),"INFANTIL A",H121)</f>
        <v>JUVENIL</v>
      </c>
      <c r="H121" s="3" t="str">
        <f>IF(AND(Tabela1[[#This Row],[Data nascimento]]&gt;=$L$2,Tabela1[[#This Row],[Data nascimento]]&lt;=$K$2),"INFANTIL B",I121)</f>
        <v>JUVENIL</v>
      </c>
      <c r="I121" s="9" t="str">
        <f>IF(AND(Tabela1[[#This Row],[Data nascimento]]&gt;=$N$2,Tabela1[[#This Row],[Data nascimento]]&lt;=$M$2),"INICIADO",J121)</f>
        <v>JUVENIL</v>
      </c>
      <c r="J121" s="9" t="str">
        <f>IF(AND(Tabela1[[#This Row],[Data nascimento]]&gt;=$P$2,Tabela1[[#This Row],[Data nascimento]]&lt;=$O$2),"JUVENIL","JÚNIOR")</f>
        <v>JUVENIL</v>
      </c>
    </row>
    <row r="122" spans="1:10" ht="15" x14ac:dyDescent="0.4">
      <c r="A122" s="13" t="s">
        <v>1598</v>
      </c>
      <c r="B122" s="2" t="s">
        <v>1599</v>
      </c>
      <c r="C122" s="4" t="s">
        <v>8</v>
      </c>
      <c r="D122" s="11">
        <v>40431</v>
      </c>
      <c r="E122" s="7" t="s">
        <v>1600</v>
      </c>
      <c r="F122" s="4" t="s">
        <v>4725</v>
      </c>
      <c r="G122" s="12" t="str">
        <f>IF(AND(Tabela1[[#This Row],[Data nascimento]]&gt;=$J$2,Tabela1[[#This Row],[Data nascimento]]&lt;=$I$2),"INFANTIL A",H122)</f>
        <v>JUVENIL</v>
      </c>
      <c r="H122" s="3" t="str">
        <f>IF(AND(Tabela1[[#This Row],[Data nascimento]]&gt;=$L$2,Tabela1[[#This Row],[Data nascimento]]&lt;=$K$2),"INFANTIL B",I122)</f>
        <v>JUVENIL</v>
      </c>
      <c r="I122" s="9" t="str">
        <f>IF(AND(Tabela1[[#This Row],[Data nascimento]]&gt;=$N$2,Tabela1[[#This Row],[Data nascimento]]&lt;=$M$2),"INICIADO",J122)</f>
        <v>JUVENIL</v>
      </c>
      <c r="J122" s="9" t="str">
        <f>IF(AND(Tabela1[[#This Row],[Data nascimento]]&gt;=$P$2,Tabela1[[#This Row],[Data nascimento]]&lt;=$O$2),"JUVENIL","JÚNIOR")</f>
        <v>JUVENIL</v>
      </c>
    </row>
    <row r="123" spans="1:10" ht="15" x14ac:dyDescent="0.4">
      <c r="A123" s="13" t="s">
        <v>1475</v>
      </c>
      <c r="B123" s="2" t="s">
        <v>1476</v>
      </c>
      <c r="C123" s="4" t="s">
        <v>21</v>
      </c>
      <c r="D123" s="11">
        <v>40014</v>
      </c>
      <c r="E123" s="7" t="s">
        <v>1477</v>
      </c>
      <c r="F123" s="4" t="s">
        <v>4713</v>
      </c>
      <c r="G123" s="12" t="str">
        <f>IF(AND(Tabela1[[#This Row],[Data nascimento]]&gt;=$J$2,Tabela1[[#This Row],[Data nascimento]]&lt;=$I$2),"INFANTIL A",H123)</f>
        <v>JUVENIL</v>
      </c>
      <c r="H123" s="3" t="str">
        <f>IF(AND(Tabela1[[#This Row],[Data nascimento]]&gt;=$L$2,Tabela1[[#This Row],[Data nascimento]]&lt;=$K$2),"INFANTIL B",I123)</f>
        <v>JUVENIL</v>
      </c>
      <c r="I123" s="9" t="str">
        <f>IF(AND(Tabela1[[#This Row],[Data nascimento]]&gt;=$N$2,Tabela1[[#This Row],[Data nascimento]]&lt;=$M$2),"INICIADO",J123)</f>
        <v>JUVENIL</v>
      </c>
      <c r="J123" s="9" t="str">
        <f>IF(AND(Tabela1[[#This Row],[Data nascimento]]&gt;=$P$2,Tabela1[[#This Row],[Data nascimento]]&lt;=$O$2),"JUVENIL","JÚNIOR")</f>
        <v>JUVENIL</v>
      </c>
    </row>
    <row r="124" spans="1:10" ht="15" x14ac:dyDescent="0.4">
      <c r="A124" s="13" t="s">
        <v>4094</v>
      </c>
      <c r="B124" s="2" t="s">
        <v>4095</v>
      </c>
      <c r="C124" s="4" t="s">
        <v>8</v>
      </c>
      <c r="D124" s="11">
        <v>39834</v>
      </c>
      <c r="E124" s="7" t="s">
        <v>4096</v>
      </c>
      <c r="F124" s="4" t="s">
        <v>4726</v>
      </c>
      <c r="G124" s="12" t="str">
        <f>IF(AND(Tabela1[[#This Row],[Data nascimento]]&gt;=$J$2,Tabela1[[#This Row],[Data nascimento]]&lt;=$I$2),"INFANTIL A",H124)</f>
        <v>JUVENIL</v>
      </c>
      <c r="H124" s="3" t="str">
        <f>IF(AND(Tabela1[[#This Row],[Data nascimento]]&gt;=$L$2,Tabela1[[#This Row],[Data nascimento]]&lt;=$K$2),"INFANTIL B",I124)</f>
        <v>JUVENIL</v>
      </c>
      <c r="I124" s="9" t="str">
        <f>IF(AND(Tabela1[[#This Row],[Data nascimento]]&gt;=$N$2,Tabela1[[#This Row],[Data nascimento]]&lt;=$M$2),"INICIADO",J124)</f>
        <v>JUVENIL</v>
      </c>
      <c r="J124" s="9" t="str">
        <f>IF(AND(Tabela1[[#This Row],[Data nascimento]]&gt;=$P$2,Tabela1[[#This Row],[Data nascimento]]&lt;=$O$2),"JUVENIL","JÚNIOR")</f>
        <v>JUVENIL</v>
      </c>
    </row>
    <row r="125" spans="1:10" ht="15" x14ac:dyDescent="0.4">
      <c r="A125" s="13" t="s">
        <v>1481</v>
      </c>
      <c r="B125" s="2" t="s">
        <v>1482</v>
      </c>
      <c r="C125" s="4" t="s">
        <v>21</v>
      </c>
      <c r="D125" s="11">
        <v>40293</v>
      </c>
      <c r="E125" s="7" t="s">
        <v>1483</v>
      </c>
      <c r="F125" s="4" t="s">
        <v>4714</v>
      </c>
      <c r="G125" s="12" t="str">
        <f>IF(AND(Tabela1[[#This Row],[Data nascimento]]&gt;=$J$2,Tabela1[[#This Row],[Data nascimento]]&lt;=$I$2),"INFANTIL A",H125)</f>
        <v>JUVENIL</v>
      </c>
      <c r="H125" s="3" t="str">
        <f>IF(AND(Tabela1[[#This Row],[Data nascimento]]&gt;=$L$2,Tabela1[[#This Row],[Data nascimento]]&lt;=$K$2),"INFANTIL B",I125)</f>
        <v>JUVENIL</v>
      </c>
      <c r="I125" s="9" t="str">
        <f>IF(AND(Tabela1[[#This Row],[Data nascimento]]&gt;=$N$2,Tabela1[[#This Row],[Data nascimento]]&lt;=$M$2),"INICIADO",J125)</f>
        <v>JUVENIL</v>
      </c>
      <c r="J125" s="9" t="str">
        <f>IF(AND(Tabela1[[#This Row],[Data nascimento]]&gt;=$P$2,Tabela1[[#This Row],[Data nascimento]]&lt;=$O$2),"JUVENIL","JÚNIOR")</f>
        <v>JUVENIL</v>
      </c>
    </row>
    <row r="126" spans="1:10" ht="15" x14ac:dyDescent="0.4">
      <c r="A126" s="13" t="s">
        <v>1484</v>
      </c>
      <c r="B126" s="2" t="s">
        <v>1485</v>
      </c>
      <c r="C126" s="4" t="s">
        <v>21</v>
      </c>
      <c r="D126" s="11">
        <v>39885</v>
      </c>
      <c r="E126" s="7" t="s">
        <v>1486</v>
      </c>
      <c r="F126" s="4" t="s">
        <v>4720</v>
      </c>
      <c r="G126" s="12" t="str">
        <f>IF(AND(Tabela1[[#This Row],[Data nascimento]]&gt;=$J$2,Tabela1[[#This Row],[Data nascimento]]&lt;=$I$2),"INFANTIL A",H126)</f>
        <v>JUVENIL</v>
      </c>
      <c r="H126" s="3" t="str">
        <f>IF(AND(Tabela1[[#This Row],[Data nascimento]]&gt;=$L$2,Tabela1[[#This Row],[Data nascimento]]&lt;=$K$2),"INFANTIL B",I126)</f>
        <v>JUVENIL</v>
      </c>
      <c r="I126" s="9" t="str">
        <f>IF(AND(Tabela1[[#This Row],[Data nascimento]]&gt;=$N$2,Tabela1[[#This Row],[Data nascimento]]&lt;=$M$2),"INICIADO",J126)</f>
        <v>JUVENIL</v>
      </c>
      <c r="J126" s="9" t="str">
        <f>IF(AND(Tabela1[[#This Row],[Data nascimento]]&gt;=$P$2,Tabela1[[#This Row],[Data nascimento]]&lt;=$O$2),"JUVENIL","JÚNIOR")</f>
        <v>JUVENIL</v>
      </c>
    </row>
    <row r="127" spans="1:10" ht="15" x14ac:dyDescent="0.4">
      <c r="A127" s="13" t="s">
        <v>4115</v>
      </c>
      <c r="B127" s="2" t="s">
        <v>4116</v>
      </c>
      <c r="C127" s="4" t="s">
        <v>8</v>
      </c>
      <c r="D127" s="11">
        <v>40330</v>
      </c>
      <c r="E127" s="7" t="s">
        <v>4117</v>
      </c>
      <c r="F127" s="4" t="s">
        <v>4726</v>
      </c>
      <c r="G127" s="12" t="str">
        <f>IF(AND(Tabela1[[#This Row],[Data nascimento]]&gt;=$J$2,Tabela1[[#This Row],[Data nascimento]]&lt;=$I$2),"INFANTIL A",H127)</f>
        <v>JUVENIL</v>
      </c>
      <c r="H127" s="3" t="str">
        <f>IF(AND(Tabela1[[#This Row],[Data nascimento]]&gt;=$L$2,Tabela1[[#This Row],[Data nascimento]]&lt;=$K$2),"INFANTIL B",I127)</f>
        <v>JUVENIL</v>
      </c>
      <c r="I127" s="9" t="str">
        <f>IF(AND(Tabela1[[#This Row],[Data nascimento]]&gt;=$N$2,Tabela1[[#This Row],[Data nascimento]]&lt;=$M$2),"INICIADO",J127)</f>
        <v>JUVENIL</v>
      </c>
      <c r="J127" s="9" t="str">
        <f>IF(AND(Tabela1[[#This Row],[Data nascimento]]&gt;=$P$2,Tabela1[[#This Row],[Data nascimento]]&lt;=$O$2),"JUVENIL","JÚNIOR")</f>
        <v>JUVENIL</v>
      </c>
    </row>
    <row r="128" spans="1:10" ht="15" x14ac:dyDescent="0.4">
      <c r="A128" s="13" t="s">
        <v>4121</v>
      </c>
      <c r="B128" s="2" t="s">
        <v>4122</v>
      </c>
      <c r="C128" s="4" t="s">
        <v>8</v>
      </c>
      <c r="D128" s="11">
        <v>40215</v>
      </c>
      <c r="E128" s="7" t="s">
        <v>4123</v>
      </c>
      <c r="F128" s="4" t="s">
        <v>4726</v>
      </c>
      <c r="G128" s="12" t="str">
        <f>IF(AND(Tabela1[[#This Row],[Data nascimento]]&gt;=$J$2,Tabela1[[#This Row],[Data nascimento]]&lt;=$I$2),"INFANTIL A",H128)</f>
        <v>JUVENIL</v>
      </c>
      <c r="H128" s="3" t="str">
        <f>IF(AND(Tabela1[[#This Row],[Data nascimento]]&gt;=$L$2,Tabela1[[#This Row],[Data nascimento]]&lt;=$K$2),"INFANTIL B",I128)</f>
        <v>JUVENIL</v>
      </c>
      <c r="I128" s="9" t="str">
        <f>IF(AND(Tabela1[[#This Row],[Data nascimento]]&gt;=$N$2,Tabela1[[#This Row],[Data nascimento]]&lt;=$M$2),"INICIADO",J128)</f>
        <v>JUVENIL</v>
      </c>
      <c r="J128" s="9" t="str">
        <f>IF(AND(Tabela1[[#This Row],[Data nascimento]]&gt;=$P$2,Tabela1[[#This Row],[Data nascimento]]&lt;=$O$2),"JUVENIL","JÚNIOR")</f>
        <v>JUVENIL</v>
      </c>
    </row>
    <row r="129" spans="1:10" ht="15" x14ac:dyDescent="0.4">
      <c r="A129" s="13" t="s">
        <v>4160</v>
      </c>
      <c r="B129" s="2" t="s">
        <v>4161</v>
      </c>
      <c r="C129" s="4" t="s">
        <v>8</v>
      </c>
      <c r="D129" s="11">
        <v>40514</v>
      </c>
      <c r="E129" s="7" t="s">
        <v>4162</v>
      </c>
      <c r="F129" s="4" t="s">
        <v>4726</v>
      </c>
      <c r="G129" s="12" t="str">
        <f>IF(AND(Tabela1[[#This Row],[Data nascimento]]&gt;=$J$2,Tabela1[[#This Row],[Data nascimento]]&lt;=$I$2),"INFANTIL A",H129)</f>
        <v>JUVENIL</v>
      </c>
      <c r="H129" s="3" t="str">
        <f>IF(AND(Tabela1[[#This Row],[Data nascimento]]&gt;=$L$2,Tabela1[[#This Row],[Data nascimento]]&lt;=$K$2),"INFANTIL B",I129)</f>
        <v>JUVENIL</v>
      </c>
      <c r="I129" s="9" t="str">
        <f>IF(AND(Tabela1[[#This Row],[Data nascimento]]&gt;=$N$2,Tabela1[[#This Row],[Data nascimento]]&lt;=$M$2),"INICIADO",J129)</f>
        <v>JUVENIL</v>
      </c>
      <c r="J129" s="9" t="str">
        <f>IF(AND(Tabela1[[#This Row],[Data nascimento]]&gt;=$P$2,Tabela1[[#This Row],[Data nascimento]]&lt;=$O$2),"JUVENIL","JÚNIOR")</f>
        <v>JUVENIL</v>
      </c>
    </row>
    <row r="130" spans="1:10" ht="15" x14ac:dyDescent="0.4">
      <c r="A130" s="13" t="s">
        <v>4646</v>
      </c>
      <c r="B130" s="2" t="s">
        <v>4647</v>
      </c>
      <c r="C130" s="4" t="s">
        <v>8</v>
      </c>
      <c r="D130" s="11">
        <v>40196</v>
      </c>
      <c r="E130" s="7" t="s">
        <v>4648</v>
      </c>
      <c r="F130" s="4" t="s">
        <v>4726</v>
      </c>
      <c r="G130" s="12" t="str">
        <f>IF(AND(Tabela1[[#This Row],[Data nascimento]]&gt;=$J$2,Tabela1[[#This Row],[Data nascimento]]&lt;=$I$2),"INFANTIL A",H130)</f>
        <v>JUVENIL</v>
      </c>
      <c r="H130" s="3" t="str">
        <f>IF(AND(Tabela1[[#This Row],[Data nascimento]]&gt;=$L$2,Tabela1[[#This Row],[Data nascimento]]&lt;=$K$2),"INFANTIL B",I130)</f>
        <v>JUVENIL</v>
      </c>
      <c r="I130" s="9" t="str">
        <f>IF(AND(Tabela1[[#This Row],[Data nascimento]]&gt;=$N$2,Tabela1[[#This Row],[Data nascimento]]&lt;=$M$2),"INICIADO",J130)</f>
        <v>JUVENIL</v>
      </c>
      <c r="J130" s="9" t="str">
        <f>IF(AND(Tabela1[[#This Row],[Data nascimento]]&gt;=$P$2,Tabela1[[#This Row],[Data nascimento]]&lt;=$O$2),"JUVENIL","JÚNIOR")</f>
        <v>JUVENIL</v>
      </c>
    </row>
    <row r="131" spans="1:10" ht="15" x14ac:dyDescent="0.4">
      <c r="A131" s="13" t="s">
        <v>1499</v>
      </c>
      <c r="B131" s="2" t="s">
        <v>1500</v>
      </c>
      <c r="C131" s="4" t="s">
        <v>21</v>
      </c>
      <c r="D131" s="11">
        <v>40423</v>
      </c>
      <c r="E131" s="7" t="s">
        <v>1501</v>
      </c>
      <c r="F131" s="4" t="s">
        <v>4717</v>
      </c>
      <c r="G131" s="12" t="str">
        <f>IF(AND(Tabela1[[#This Row],[Data nascimento]]&gt;=$J$2,Tabela1[[#This Row],[Data nascimento]]&lt;=$I$2),"INFANTIL A",H131)</f>
        <v>JUVENIL</v>
      </c>
      <c r="H131" s="3" t="str">
        <f>IF(AND(Tabela1[[#This Row],[Data nascimento]]&gt;=$L$2,Tabela1[[#This Row],[Data nascimento]]&lt;=$K$2),"INFANTIL B",I131)</f>
        <v>JUVENIL</v>
      </c>
      <c r="I131" s="9" t="str">
        <f>IF(AND(Tabela1[[#This Row],[Data nascimento]]&gt;=$N$2,Tabela1[[#This Row],[Data nascimento]]&lt;=$M$2),"INICIADO",J131)</f>
        <v>JUVENIL</v>
      </c>
      <c r="J131" s="9" t="str">
        <f>IF(AND(Tabela1[[#This Row],[Data nascimento]]&gt;=$P$2,Tabela1[[#This Row],[Data nascimento]]&lt;=$O$2),"JUVENIL","JÚNIOR")</f>
        <v>JUVENIL</v>
      </c>
    </row>
    <row r="132" spans="1:10" ht="15" x14ac:dyDescent="0.4">
      <c r="A132" s="13" t="s">
        <v>1502</v>
      </c>
      <c r="B132" s="2" t="s">
        <v>1503</v>
      </c>
      <c r="C132" s="4" t="s">
        <v>21</v>
      </c>
      <c r="D132" s="11">
        <v>40540</v>
      </c>
      <c r="E132" s="7" t="s">
        <v>1504</v>
      </c>
      <c r="F132" s="4" t="s">
        <v>4721</v>
      </c>
      <c r="G132" s="12" t="str">
        <f>IF(AND(Tabela1[[#This Row],[Data nascimento]]&gt;=$J$2,Tabela1[[#This Row],[Data nascimento]]&lt;=$I$2),"INFANTIL A",H132)</f>
        <v>JUVENIL</v>
      </c>
      <c r="H132" s="3" t="str">
        <f>IF(AND(Tabela1[[#This Row],[Data nascimento]]&gt;=$L$2,Tabela1[[#This Row],[Data nascimento]]&lt;=$K$2),"INFANTIL B",I132)</f>
        <v>JUVENIL</v>
      </c>
      <c r="I132" s="9" t="str">
        <f>IF(AND(Tabela1[[#This Row],[Data nascimento]]&gt;=$N$2,Tabela1[[#This Row],[Data nascimento]]&lt;=$M$2),"INICIADO",J132)</f>
        <v>JUVENIL</v>
      </c>
      <c r="J132" s="9" t="str">
        <f>IF(AND(Tabela1[[#This Row],[Data nascimento]]&gt;=$P$2,Tabela1[[#This Row],[Data nascimento]]&lt;=$O$2),"JUVENIL","JÚNIOR")</f>
        <v>JUVENIL</v>
      </c>
    </row>
    <row r="133" spans="1:10" ht="15" x14ac:dyDescent="0.4">
      <c r="A133" s="13" t="s">
        <v>1748</v>
      </c>
      <c r="B133" s="2" t="s">
        <v>1749</v>
      </c>
      <c r="C133" s="4" t="s">
        <v>8</v>
      </c>
      <c r="D133" s="11">
        <v>40003</v>
      </c>
      <c r="E133" s="7" t="s">
        <v>1750</v>
      </c>
      <c r="F133" s="4" t="s">
        <v>4726</v>
      </c>
      <c r="G133" s="12" t="str">
        <f>IF(AND(Tabela1[[#This Row],[Data nascimento]]&gt;=$J$2,Tabela1[[#This Row],[Data nascimento]]&lt;=$I$2),"INFANTIL A",H133)</f>
        <v>JUVENIL</v>
      </c>
      <c r="H133" s="3" t="str">
        <f>IF(AND(Tabela1[[#This Row],[Data nascimento]]&gt;=$L$2,Tabela1[[#This Row],[Data nascimento]]&lt;=$K$2),"INFANTIL B",I133)</f>
        <v>JUVENIL</v>
      </c>
      <c r="I133" s="9" t="str">
        <f>IF(AND(Tabela1[[#This Row],[Data nascimento]]&gt;=$N$2,Tabela1[[#This Row],[Data nascimento]]&lt;=$M$2),"INICIADO",J133)</f>
        <v>JUVENIL</v>
      </c>
      <c r="J133" s="9" t="str">
        <f>IF(AND(Tabela1[[#This Row],[Data nascimento]]&gt;=$P$2,Tabela1[[#This Row],[Data nascimento]]&lt;=$O$2),"JUVENIL","JÚNIOR")</f>
        <v>JUVENIL</v>
      </c>
    </row>
    <row r="134" spans="1:10" ht="15" x14ac:dyDescent="0.4">
      <c r="A134" s="13" t="s">
        <v>4688</v>
      </c>
      <c r="B134" s="2" t="s">
        <v>4689</v>
      </c>
      <c r="C134" s="4" t="s">
        <v>8</v>
      </c>
      <c r="D134" s="11">
        <v>39935</v>
      </c>
      <c r="E134" s="7" t="s">
        <v>4690</v>
      </c>
      <c r="F134" s="4" t="s">
        <v>4726</v>
      </c>
      <c r="G134" s="12" t="str">
        <f>IF(AND(Tabela1[[#This Row],[Data nascimento]]&gt;=$J$2,Tabela1[[#This Row],[Data nascimento]]&lt;=$I$2),"INFANTIL A",H134)</f>
        <v>JUVENIL</v>
      </c>
      <c r="H134" s="3" t="str">
        <f>IF(AND(Tabela1[[#This Row],[Data nascimento]]&gt;=$L$2,Tabela1[[#This Row],[Data nascimento]]&lt;=$K$2),"INFANTIL B",I134)</f>
        <v>JUVENIL</v>
      </c>
      <c r="I134" s="9" t="str">
        <f>IF(AND(Tabela1[[#This Row],[Data nascimento]]&gt;=$N$2,Tabela1[[#This Row],[Data nascimento]]&lt;=$M$2),"INICIADO",J134)</f>
        <v>JUVENIL</v>
      </c>
      <c r="J134" s="9" t="str">
        <f>IF(AND(Tabela1[[#This Row],[Data nascimento]]&gt;=$P$2,Tabela1[[#This Row],[Data nascimento]]&lt;=$O$2),"JUVENIL","JÚNIOR")</f>
        <v>JUVENIL</v>
      </c>
    </row>
    <row r="135" spans="1:10" ht="15" x14ac:dyDescent="0.4">
      <c r="A135" s="13" t="s">
        <v>4697</v>
      </c>
      <c r="B135" s="2" t="s">
        <v>4698</v>
      </c>
      <c r="C135" s="4" t="s">
        <v>8</v>
      </c>
      <c r="D135" s="11">
        <v>40125</v>
      </c>
      <c r="E135" s="7" t="s">
        <v>4699</v>
      </c>
      <c r="F135" s="4" t="s">
        <v>4726</v>
      </c>
      <c r="G135" s="12" t="str">
        <f>IF(AND(Tabela1[[#This Row],[Data nascimento]]&gt;=$J$2,Tabela1[[#This Row],[Data nascimento]]&lt;=$I$2),"INFANTIL A",H135)</f>
        <v>JUVENIL</v>
      </c>
      <c r="H135" s="3" t="str">
        <f>IF(AND(Tabela1[[#This Row],[Data nascimento]]&gt;=$L$2,Tabela1[[#This Row],[Data nascimento]]&lt;=$K$2),"INFANTIL B",I135)</f>
        <v>JUVENIL</v>
      </c>
      <c r="I135" s="9" t="str">
        <f>IF(AND(Tabela1[[#This Row],[Data nascimento]]&gt;=$N$2,Tabela1[[#This Row],[Data nascimento]]&lt;=$M$2),"INICIADO",J135)</f>
        <v>JUVENIL</v>
      </c>
      <c r="J135" s="9" t="str">
        <f>IF(AND(Tabela1[[#This Row],[Data nascimento]]&gt;=$P$2,Tabela1[[#This Row],[Data nascimento]]&lt;=$O$2),"JUVENIL","JÚNIOR")</f>
        <v>JUVENIL</v>
      </c>
    </row>
    <row r="136" spans="1:10" ht="15" x14ac:dyDescent="0.4">
      <c r="A136" s="13" t="s">
        <v>4133</v>
      </c>
      <c r="B136" s="2" t="s">
        <v>4134</v>
      </c>
      <c r="C136" s="4" t="s">
        <v>8</v>
      </c>
      <c r="D136" s="11">
        <v>39858</v>
      </c>
      <c r="E136" s="7" t="s">
        <v>4135</v>
      </c>
      <c r="F136" s="4" t="s">
        <v>4727</v>
      </c>
      <c r="G136" s="12" t="str">
        <f>IF(AND(Tabela1[[#This Row],[Data nascimento]]&gt;=$J$2,Tabela1[[#This Row],[Data nascimento]]&lt;=$I$2),"INFANTIL A",H136)</f>
        <v>JUVENIL</v>
      </c>
      <c r="H136" s="3" t="str">
        <f>IF(AND(Tabela1[[#This Row],[Data nascimento]]&gt;=$L$2,Tabela1[[#This Row],[Data nascimento]]&lt;=$K$2),"INFANTIL B",I136)</f>
        <v>JUVENIL</v>
      </c>
      <c r="I136" s="9" t="str">
        <f>IF(AND(Tabela1[[#This Row],[Data nascimento]]&gt;=$N$2,Tabela1[[#This Row],[Data nascimento]]&lt;=$M$2),"INICIADO",J136)</f>
        <v>JUVENIL</v>
      </c>
      <c r="J136" s="9" t="str">
        <f>IF(AND(Tabela1[[#This Row],[Data nascimento]]&gt;=$P$2,Tabela1[[#This Row],[Data nascimento]]&lt;=$O$2),"JUVENIL","JÚNIOR")</f>
        <v>JUVENIL</v>
      </c>
    </row>
    <row r="137" spans="1:10" ht="15" x14ac:dyDescent="0.4">
      <c r="A137" s="13" t="s">
        <v>1517</v>
      </c>
      <c r="B137" s="2" t="s">
        <v>1518</v>
      </c>
      <c r="C137" s="4" t="s">
        <v>21</v>
      </c>
      <c r="D137" s="11">
        <v>39643</v>
      </c>
      <c r="E137" s="7" t="s">
        <v>1519</v>
      </c>
      <c r="F137" s="4" t="s">
        <v>4715</v>
      </c>
      <c r="G137" s="12" t="str">
        <f>IF(AND(Tabela1[[#This Row],[Data nascimento]]&gt;=$J$2,Tabela1[[#This Row],[Data nascimento]]&lt;=$I$2),"INFANTIL A",H137)</f>
        <v>JUVENIL</v>
      </c>
      <c r="H137" s="3" t="str">
        <f>IF(AND(Tabela1[[#This Row],[Data nascimento]]&gt;=$L$2,Tabela1[[#This Row],[Data nascimento]]&lt;=$K$2),"INFANTIL B",I137)</f>
        <v>JUVENIL</v>
      </c>
      <c r="I137" s="9" t="str">
        <f>IF(AND(Tabela1[[#This Row],[Data nascimento]]&gt;=$N$2,Tabela1[[#This Row],[Data nascimento]]&lt;=$M$2),"INICIADO",J137)</f>
        <v>JUVENIL</v>
      </c>
      <c r="J137" s="9" t="str">
        <f>IF(AND(Tabela1[[#This Row],[Data nascimento]]&gt;=$P$2,Tabela1[[#This Row],[Data nascimento]]&lt;=$O$2),"JUVENIL","JÚNIOR")</f>
        <v>JUVENIL</v>
      </c>
    </row>
    <row r="138" spans="1:10" ht="15" x14ac:dyDescent="0.4">
      <c r="A138" s="13" t="s">
        <v>4247</v>
      </c>
      <c r="B138" s="3" t="s">
        <v>4248</v>
      </c>
      <c r="C138" s="4" t="s">
        <v>8</v>
      </c>
      <c r="D138" s="11">
        <v>40412</v>
      </c>
      <c r="E138" s="7" t="s">
        <v>4249</v>
      </c>
      <c r="F138" s="4" t="s">
        <v>4727</v>
      </c>
      <c r="G138" s="12" t="str">
        <f>IF(AND(Tabela1[[#This Row],[Data nascimento]]&gt;=$J$2,Tabela1[[#This Row],[Data nascimento]]&lt;=$I$2),"INFANTIL A",H138)</f>
        <v>JUVENIL</v>
      </c>
      <c r="H138" s="3" t="str">
        <f>IF(AND(Tabela1[[#This Row],[Data nascimento]]&gt;=$L$2,Tabela1[[#This Row],[Data nascimento]]&lt;=$K$2),"INFANTIL B",I138)</f>
        <v>JUVENIL</v>
      </c>
      <c r="I138" s="9" t="str">
        <f>IF(AND(Tabela1[[#This Row],[Data nascimento]]&gt;=$N$2,Tabela1[[#This Row],[Data nascimento]]&lt;=$M$2),"INICIADO",J138)</f>
        <v>JUVENIL</v>
      </c>
      <c r="J138" s="9" t="str">
        <f>IF(AND(Tabela1[[#This Row],[Data nascimento]]&gt;=$P$2,Tabela1[[#This Row],[Data nascimento]]&lt;=$O$2),"JUVENIL","JÚNIOR")</f>
        <v>JUVENIL</v>
      </c>
    </row>
    <row r="139" spans="1:10" ht="15" x14ac:dyDescent="0.4">
      <c r="A139" s="13" t="s">
        <v>4283</v>
      </c>
      <c r="B139" s="2" t="s">
        <v>4284</v>
      </c>
      <c r="C139" s="4" t="s">
        <v>8</v>
      </c>
      <c r="D139" s="11">
        <v>40332</v>
      </c>
      <c r="E139" s="7" t="s">
        <v>4285</v>
      </c>
      <c r="F139" s="4" t="s">
        <v>4727</v>
      </c>
      <c r="G139" s="12" t="str">
        <f>IF(AND(Tabela1[[#This Row],[Data nascimento]]&gt;=$J$2,Tabela1[[#This Row],[Data nascimento]]&lt;=$I$2),"INFANTIL A",H139)</f>
        <v>JUVENIL</v>
      </c>
      <c r="H139" s="3" t="str">
        <f>IF(AND(Tabela1[[#This Row],[Data nascimento]]&gt;=$L$2,Tabela1[[#This Row],[Data nascimento]]&lt;=$K$2),"INFANTIL B",I139)</f>
        <v>JUVENIL</v>
      </c>
      <c r="I139" s="9" t="str">
        <f>IF(AND(Tabela1[[#This Row],[Data nascimento]]&gt;=$N$2,Tabela1[[#This Row],[Data nascimento]]&lt;=$M$2),"INICIADO",J139)</f>
        <v>JUVENIL</v>
      </c>
      <c r="J139" s="9" t="str">
        <f>IF(AND(Tabela1[[#This Row],[Data nascimento]]&gt;=$P$2,Tabela1[[#This Row],[Data nascimento]]&lt;=$O$2),"JUVENIL","JÚNIOR")</f>
        <v>JUVENIL</v>
      </c>
    </row>
    <row r="140" spans="1:10" ht="15" x14ac:dyDescent="0.4">
      <c r="A140" s="13" t="s">
        <v>4331</v>
      </c>
      <c r="B140" s="2" t="s">
        <v>4332</v>
      </c>
      <c r="C140" s="4" t="s">
        <v>8</v>
      </c>
      <c r="D140" s="11">
        <v>40484</v>
      </c>
      <c r="E140" s="7" t="s">
        <v>4333</v>
      </c>
      <c r="F140" s="4" t="s">
        <v>4727</v>
      </c>
      <c r="G140" s="12" t="str">
        <f>IF(AND(Tabela1[[#This Row],[Data nascimento]]&gt;=$J$2,Tabela1[[#This Row],[Data nascimento]]&lt;=$I$2),"INFANTIL A",H140)</f>
        <v>JUVENIL</v>
      </c>
      <c r="H140" s="3" t="str">
        <f>IF(AND(Tabela1[[#This Row],[Data nascimento]]&gt;=$L$2,Tabela1[[#This Row],[Data nascimento]]&lt;=$K$2),"INFANTIL B",I140)</f>
        <v>JUVENIL</v>
      </c>
      <c r="I140" s="9" t="str">
        <f>IF(AND(Tabela1[[#This Row],[Data nascimento]]&gt;=$N$2,Tabela1[[#This Row],[Data nascimento]]&lt;=$M$2),"INICIADO",J140)</f>
        <v>JUVENIL</v>
      </c>
      <c r="J140" s="9" t="str">
        <f>IF(AND(Tabela1[[#This Row],[Data nascimento]]&gt;=$P$2,Tabela1[[#This Row],[Data nascimento]]&lt;=$O$2),"JUVENIL","JÚNIOR")</f>
        <v>JUVENIL</v>
      </c>
    </row>
    <row r="141" spans="1:10" ht="15" x14ac:dyDescent="0.4">
      <c r="A141" s="13" t="s">
        <v>4358</v>
      </c>
      <c r="B141" s="2" t="s">
        <v>4359</v>
      </c>
      <c r="C141" s="4" t="s">
        <v>8</v>
      </c>
      <c r="D141" s="11">
        <v>39601</v>
      </c>
      <c r="E141" s="7" t="s">
        <v>4360</v>
      </c>
      <c r="F141" s="4" t="s">
        <v>4727</v>
      </c>
      <c r="G141" s="12" t="str">
        <f>IF(AND(Tabela1[[#This Row],[Data nascimento]]&gt;=$J$2,Tabela1[[#This Row],[Data nascimento]]&lt;=$I$2),"INFANTIL A",H141)</f>
        <v>JUVENIL</v>
      </c>
      <c r="H141" s="3" t="str">
        <f>IF(AND(Tabela1[[#This Row],[Data nascimento]]&gt;=$L$2,Tabela1[[#This Row],[Data nascimento]]&lt;=$K$2),"INFANTIL B",I141)</f>
        <v>JUVENIL</v>
      </c>
      <c r="I141" s="9" t="str">
        <f>IF(AND(Tabela1[[#This Row],[Data nascimento]]&gt;=$N$2,Tabela1[[#This Row],[Data nascimento]]&lt;=$M$2),"INICIADO",J141)</f>
        <v>JUVENIL</v>
      </c>
      <c r="J141" s="9" t="str">
        <f>IF(AND(Tabela1[[#This Row],[Data nascimento]]&gt;=$P$2,Tabela1[[#This Row],[Data nascimento]]&lt;=$O$2),"JUVENIL","JÚNIOR")</f>
        <v>JUVENIL</v>
      </c>
    </row>
    <row r="142" spans="1:10" ht="15" x14ac:dyDescent="0.4">
      <c r="A142" s="13" t="s">
        <v>1532</v>
      </c>
      <c r="B142" s="2" t="s">
        <v>1533</v>
      </c>
      <c r="C142" s="4" t="s">
        <v>21</v>
      </c>
      <c r="D142" s="11">
        <v>40248</v>
      </c>
      <c r="E142" s="7" t="s">
        <v>1534</v>
      </c>
      <c r="F142" s="4" t="s">
        <v>4715</v>
      </c>
      <c r="G142" s="12" t="str">
        <f>IF(AND(Tabela1[[#This Row],[Data nascimento]]&gt;=$J$2,Tabela1[[#This Row],[Data nascimento]]&lt;=$I$2),"INFANTIL A",H142)</f>
        <v>JUVENIL</v>
      </c>
      <c r="H142" s="3" t="str">
        <f>IF(AND(Tabela1[[#This Row],[Data nascimento]]&gt;=$L$2,Tabela1[[#This Row],[Data nascimento]]&lt;=$K$2),"INFANTIL B",I142)</f>
        <v>JUVENIL</v>
      </c>
      <c r="I142" s="9" t="str">
        <f>IF(AND(Tabela1[[#This Row],[Data nascimento]]&gt;=$N$2,Tabela1[[#This Row],[Data nascimento]]&lt;=$M$2),"INICIADO",J142)</f>
        <v>JUVENIL</v>
      </c>
      <c r="J142" s="9" t="str">
        <f>IF(AND(Tabela1[[#This Row],[Data nascimento]]&gt;=$P$2,Tabela1[[#This Row],[Data nascimento]]&lt;=$O$2),"JUVENIL","JÚNIOR")</f>
        <v>JUVENIL</v>
      </c>
    </row>
    <row r="143" spans="1:10" ht="15" x14ac:dyDescent="0.4">
      <c r="A143" s="13" t="s">
        <v>1535</v>
      </c>
      <c r="B143" s="2" t="s">
        <v>1536</v>
      </c>
      <c r="C143" s="4" t="s">
        <v>21</v>
      </c>
      <c r="D143" s="11">
        <v>39942</v>
      </c>
      <c r="E143" s="7" t="s">
        <v>1537</v>
      </c>
      <c r="F143" s="4" t="s">
        <v>4715</v>
      </c>
      <c r="G143" s="12" t="str">
        <f>IF(AND(Tabela1[[#This Row],[Data nascimento]]&gt;=$J$2,Tabela1[[#This Row],[Data nascimento]]&lt;=$I$2),"INFANTIL A",H143)</f>
        <v>JUVENIL</v>
      </c>
      <c r="H143" s="3" t="str">
        <f>IF(AND(Tabela1[[#This Row],[Data nascimento]]&gt;=$L$2,Tabela1[[#This Row],[Data nascimento]]&lt;=$K$2),"INFANTIL B",I143)</f>
        <v>JUVENIL</v>
      </c>
      <c r="I143" s="9" t="str">
        <f>IF(AND(Tabela1[[#This Row],[Data nascimento]]&gt;=$N$2,Tabela1[[#This Row],[Data nascimento]]&lt;=$M$2),"INICIADO",J143)</f>
        <v>JUVENIL</v>
      </c>
      <c r="J143" s="9" t="str">
        <f>IF(AND(Tabela1[[#This Row],[Data nascimento]]&gt;=$P$2,Tabela1[[#This Row],[Data nascimento]]&lt;=$O$2),"JUVENIL","JÚNIOR")</f>
        <v>JUVENIL</v>
      </c>
    </row>
    <row r="144" spans="1:10" ht="15" x14ac:dyDescent="0.4">
      <c r="A144" s="13" t="s">
        <v>1538</v>
      </c>
      <c r="B144" s="2" t="s">
        <v>1539</v>
      </c>
      <c r="C144" s="4" t="s">
        <v>21</v>
      </c>
      <c r="D144" s="11">
        <v>40520</v>
      </c>
      <c r="E144" s="7" t="s">
        <v>1540</v>
      </c>
      <c r="F144" s="4" t="s">
        <v>4719</v>
      </c>
      <c r="G144" s="12" t="str">
        <f>IF(AND(Tabela1[[#This Row],[Data nascimento]]&gt;=$J$2,Tabela1[[#This Row],[Data nascimento]]&lt;=$I$2),"INFANTIL A",H144)</f>
        <v>JUVENIL</v>
      </c>
      <c r="H144" s="3" t="str">
        <f>IF(AND(Tabela1[[#This Row],[Data nascimento]]&gt;=$L$2,Tabela1[[#This Row],[Data nascimento]]&lt;=$K$2),"INFANTIL B",I144)</f>
        <v>JUVENIL</v>
      </c>
      <c r="I144" s="9" t="str">
        <f>IF(AND(Tabela1[[#This Row],[Data nascimento]]&gt;=$N$2,Tabela1[[#This Row],[Data nascimento]]&lt;=$M$2),"INICIADO",J144)</f>
        <v>JUVENIL</v>
      </c>
      <c r="J144" s="9" t="str">
        <f>IF(AND(Tabela1[[#This Row],[Data nascimento]]&gt;=$P$2,Tabela1[[#This Row],[Data nascimento]]&lt;=$O$2),"JUVENIL","JÚNIOR")</f>
        <v>JUVENIL</v>
      </c>
    </row>
    <row r="145" spans="1:10" ht="15" x14ac:dyDescent="0.4">
      <c r="A145" s="13" t="s">
        <v>4688</v>
      </c>
      <c r="B145" s="2" t="s">
        <v>4689</v>
      </c>
      <c r="C145" s="4" t="s">
        <v>8</v>
      </c>
      <c r="D145" s="11">
        <v>39935</v>
      </c>
      <c r="E145" s="7" t="s">
        <v>4690</v>
      </c>
      <c r="F145" s="4" t="s">
        <v>4727</v>
      </c>
      <c r="G145" s="12" t="str">
        <f>IF(AND(Tabela1[[#This Row],[Data nascimento]]&gt;=$J$2,Tabela1[[#This Row],[Data nascimento]]&lt;=$I$2),"INFANTIL A",H145)</f>
        <v>JUVENIL</v>
      </c>
      <c r="H145" s="3" t="str">
        <f>IF(AND(Tabela1[[#This Row],[Data nascimento]]&gt;=$L$2,Tabela1[[#This Row],[Data nascimento]]&lt;=$K$2),"INFANTIL B",I145)</f>
        <v>JUVENIL</v>
      </c>
      <c r="I145" s="9" t="str">
        <f>IF(AND(Tabela1[[#This Row],[Data nascimento]]&gt;=$N$2,Tabela1[[#This Row],[Data nascimento]]&lt;=$M$2),"INICIADO",J145)</f>
        <v>JUVENIL</v>
      </c>
      <c r="J145" s="9" t="str">
        <f>IF(AND(Tabela1[[#This Row],[Data nascimento]]&gt;=$P$2,Tabela1[[#This Row],[Data nascimento]]&lt;=$O$2),"JUVENIL","JÚNIOR")</f>
        <v>JUVENIL</v>
      </c>
    </row>
    <row r="146" spans="1:10" ht="15" x14ac:dyDescent="0.4">
      <c r="A146" s="13" t="s">
        <v>1544</v>
      </c>
      <c r="B146" s="2" t="s">
        <v>1545</v>
      </c>
      <c r="C146" s="4" t="s">
        <v>21</v>
      </c>
      <c r="D146" s="11">
        <v>39673</v>
      </c>
      <c r="E146" s="7" t="s">
        <v>1546</v>
      </c>
      <c r="F146" s="4" t="s">
        <v>4715</v>
      </c>
      <c r="G146" s="12" t="str">
        <f>IF(AND(Tabela1[[#This Row],[Data nascimento]]&gt;=$J$2,Tabela1[[#This Row],[Data nascimento]]&lt;=$I$2),"INFANTIL A",H146)</f>
        <v>JUVENIL</v>
      </c>
      <c r="H146" s="3" t="str">
        <f>IF(AND(Tabela1[[#This Row],[Data nascimento]]&gt;=$L$2,Tabela1[[#This Row],[Data nascimento]]&lt;=$K$2),"INFANTIL B",I146)</f>
        <v>JUVENIL</v>
      </c>
      <c r="I146" s="9" t="str">
        <f>IF(AND(Tabela1[[#This Row],[Data nascimento]]&gt;=$N$2,Tabela1[[#This Row],[Data nascimento]]&lt;=$M$2),"INICIADO",J146)</f>
        <v>JUVENIL</v>
      </c>
      <c r="J146" s="9" t="str">
        <f>IF(AND(Tabela1[[#This Row],[Data nascimento]]&gt;=$P$2,Tabela1[[#This Row],[Data nascimento]]&lt;=$O$2),"JUVENIL","JÚNIOR")</f>
        <v>JUVENIL</v>
      </c>
    </row>
    <row r="147" spans="1:10" ht="15" x14ac:dyDescent="0.4">
      <c r="A147" s="13" t="s">
        <v>1547</v>
      </c>
      <c r="B147" s="2" t="s">
        <v>1548</v>
      </c>
      <c r="C147" s="4" t="s">
        <v>21</v>
      </c>
      <c r="D147" s="11">
        <v>39578</v>
      </c>
      <c r="E147" s="7" t="s">
        <v>1549</v>
      </c>
      <c r="F147" s="4" t="s">
        <v>4715</v>
      </c>
      <c r="G147" s="12" t="str">
        <f>IF(AND(Tabela1[[#This Row],[Data nascimento]]&gt;=$J$2,Tabela1[[#This Row],[Data nascimento]]&lt;=$I$2),"INFANTIL A",H147)</f>
        <v>JUVENIL</v>
      </c>
      <c r="H147" s="3" t="str">
        <f>IF(AND(Tabela1[[#This Row],[Data nascimento]]&gt;=$L$2,Tabela1[[#This Row],[Data nascimento]]&lt;=$K$2),"INFANTIL B",I147)</f>
        <v>JUVENIL</v>
      </c>
      <c r="I147" s="9" t="str">
        <f>IF(AND(Tabela1[[#This Row],[Data nascimento]]&gt;=$N$2,Tabela1[[#This Row],[Data nascimento]]&lt;=$M$2),"INICIADO",J147)</f>
        <v>JUVENIL</v>
      </c>
      <c r="J147" s="9" t="str">
        <f>IF(AND(Tabela1[[#This Row],[Data nascimento]]&gt;=$P$2,Tabela1[[#This Row],[Data nascimento]]&lt;=$O$2),"JUVENIL","JÚNIOR")</f>
        <v>JUVENIL</v>
      </c>
    </row>
    <row r="148" spans="1:10" ht="15" x14ac:dyDescent="0.4">
      <c r="A148" s="13" t="s">
        <v>4127</v>
      </c>
      <c r="B148" s="2" t="s">
        <v>4128</v>
      </c>
      <c r="C148" s="4" t="s">
        <v>8</v>
      </c>
      <c r="D148" s="11">
        <v>40105</v>
      </c>
      <c r="E148" s="7" t="s">
        <v>4129</v>
      </c>
      <c r="F148" s="4" t="s">
        <v>4728</v>
      </c>
      <c r="G148" s="12" t="str">
        <f>IF(AND(Tabela1[[#This Row],[Data nascimento]]&gt;=$J$2,Tabela1[[#This Row],[Data nascimento]]&lt;=$I$2),"INFANTIL A",H148)</f>
        <v>JUVENIL</v>
      </c>
      <c r="H148" s="3" t="str">
        <f>IF(AND(Tabela1[[#This Row],[Data nascimento]]&gt;=$L$2,Tabela1[[#This Row],[Data nascimento]]&lt;=$K$2),"INFANTIL B",I148)</f>
        <v>JUVENIL</v>
      </c>
      <c r="I148" s="9" t="str">
        <f>IF(AND(Tabela1[[#This Row],[Data nascimento]]&gt;=$N$2,Tabela1[[#This Row],[Data nascimento]]&lt;=$M$2),"INICIADO",J148)</f>
        <v>JUVENIL</v>
      </c>
      <c r="J148" s="9" t="str">
        <f>IF(AND(Tabela1[[#This Row],[Data nascimento]]&gt;=$P$2,Tabela1[[#This Row],[Data nascimento]]&lt;=$O$2),"JUVENIL","JÚNIOR")</f>
        <v>JUVENIL</v>
      </c>
    </row>
    <row r="149" spans="1:10" ht="15" x14ac:dyDescent="0.4">
      <c r="A149" s="13" t="s">
        <v>4142</v>
      </c>
      <c r="B149" s="2" t="s">
        <v>4143</v>
      </c>
      <c r="C149" s="4" t="s">
        <v>8</v>
      </c>
      <c r="D149" s="11">
        <v>39778</v>
      </c>
      <c r="E149" s="7" t="s">
        <v>4144</v>
      </c>
      <c r="F149" s="4" t="s">
        <v>4728</v>
      </c>
      <c r="G149" s="12" t="str">
        <f>IF(AND(Tabela1[[#This Row],[Data nascimento]]&gt;=$J$2,Tabela1[[#This Row],[Data nascimento]]&lt;=$I$2),"INFANTIL A",H149)</f>
        <v>JUVENIL</v>
      </c>
      <c r="H149" s="3" t="str">
        <f>IF(AND(Tabela1[[#This Row],[Data nascimento]]&gt;=$L$2,Tabela1[[#This Row],[Data nascimento]]&lt;=$K$2),"INFANTIL B",I149)</f>
        <v>JUVENIL</v>
      </c>
      <c r="I149" s="9" t="str">
        <f>IF(AND(Tabela1[[#This Row],[Data nascimento]]&gt;=$N$2,Tabela1[[#This Row],[Data nascimento]]&lt;=$M$2),"INICIADO",J149)</f>
        <v>JUVENIL</v>
      </c>
      <c r="J149" s="9" t="str">
        <f>IF(AND(Tabela1[[#This Row],[Data nascimento]]&gt;=$P$2,Tabela1[[#This Row],[Data nascimento]]&lt;=$O$2),"JUVENIL","JÚNIOR")</f>
        <v>JUVENIL</v>
      </c>
    </row>
    <row r="150" spans="1:10" ht="15" x14ac:dyDescent="0.4">
      <c r="A150" s="13" t="s">
        <v>4352</v>
      </c>
      <c r="B150" s="2" t="s">
        <v>4353</v>
      </c>
      <c r="C150" s="4" t="s">
        <v>8</v>
      </c>
      <c r="D150" s="11">
        <v>40453</v>
      </c>
      <c r="E150" s="7" t="s">
        <v>4354</v>
      </c>
      <c r="F150" s="4" t="s">
        <v>4728</v>
      </c>
      <c r="G150" s="12" t="str">
        <f>IF(AND(Tabela1[[#This Row],[Data nascimento]]&gt;=$J$2,Tabela1[[#This Row],[Data nascimento]]&lt;=$I$2),"INFANTIL A",H150)</f>
        <v>JUVENIL</v>
      </c>
      <c r="H150" s="3" t="str">
        <f>IF(AND(Tabela1[[#This Row],[Data nascimento]]&gt;=$L$2,Tabela1[[#This Row],[Data nascimento]]&lt;=$K$2),"INFANTIL B",I150)</f>
        <v>JUVENIL</v>
      </c>
      <c r="I150" s="9" t="str">
        <f>IF(AND(Tabela1[[#This Row],[Data nascimento]]&gt;=$N$2,Tabela1[[#This Row],[Data nascimento]]&lt;=$M$2),"INICIADO",J150)</f>
        <v>JUVENIL</v>
      </c>
      <c r="J150" s="9" t="str">
        <f>IF(AND(Tabela1[[#This Row],[Data nascimento]]&gt;=$P$2,Tabela1[[#This Row],[Data nascimento]]&lt;=$O$2),"JUVENIL","JÚNIOR")</f>
        <v>JUVENIL</v>
      </c>
    </row>
    <row r="151" spans="1:10" ht="15" x14ac:dyDescent="0.4">
      <c r="A151" s="13" t="s">
        <v>4529</v>
      </c>
      <c r="B151" s="2" t="s">
        <v>4530</v>
      </c>
      <c r="C151" s="4" t="s">
        <v>8</v>
      </c>
      <c r="D151" s="11">
        <v>40194</v>
      </c>
      <c r="E151" s="7" t="s">
        <v>4531</v>
      </c>
      <c r="F151" s="4" t="s">
        <v>4728</v>
      </c>
      <c r="G151" s="12" t="str">
        <f>IF(AND(Tabela1[[#This Row],[Data nascimento]]&gt;=$J$2,Tabela1[[#This Row],[Data nascimento]]&lt;=$I$2),"INFANTIL A",H151)</f>
        <v>JUVENIL</v>
      </c>
      <c r="H151" s="3" t="str">
        <f>IF(AND(Tabela1[[#This Row],[Data nascimento]]&gt;=$L$2,Tabela1[[#This Row],[Data nascimento]]&lt;=$K$2),"INFANTIL B",I151)</f>
        <v>JUVENIL</v>
      </c>
      <c r="I151" s="9" t="str">
        <f>IF(AND(Tabela1[[#This Row],[Data nascimento]]&gt;=$N$2,Tabela1[[#This Row],[Data nascimento]]&lt;=$M$2),"INICIADO",J151)</f>
        <v>JUVENIL</v>
      </c>
      <c r="J151" s="9" t="str">
        <f>IF(AND(Tabela1[[#This Row],[Data nascimento]]&gt;=$P$2,Tabela1[[#This Row],[Data nascimento]]&lt;=$O$2),"JUVENIL","JÚNIOR")</f>
        <v>JUVENIL</v>
      </c>
    </row>
    <row r="152" spans="1:10" ht="15" x14ac:dyDescent="0.4">
      <c r="A152" s="13" t="s">
        <v>1562</v>
      </c>
      <c r="B152" s="2" t="s">
        <v>1563</v>
      </c>
      <c r="C152" s="4" t="s">
        <v>21</v>
      </c>
      <c r="D152" s="11">
        <v>40353</v>
      </c>
      <c r="E152" s="7" t="s">
        <v>1564</v>
      </c>
      <c r="F152" s="4" t="s">
        <v>4721</v>
      </c>
      <c r="G152" s="12" t="str">
        <f>IF(AND(Tabela1[[#This Row],[Data nascimento]]&gt;=$J$2,Tabela1[[#This Row],[Data nascimento]]&lt;=$I$2),"INFANTIL A",H152)</f>
        <v>JUVENIL</v>
      </c>
      <c r="H152" s="3" t="str">
        <f>IF(AND(Tabela1[[#This Row],[Data nascimento]]&gt;=$L$2,Tabela1[[#This Row],[Data nascimento]]&lt;=$K$2),"INFANTIL B",I152)</f>
        <v>JUVENIL</v>
      </c>
      <c r="I152" s="9" t="str">
        <f>IF(AND(Tabela1[[#This Row],[Data nascimento]]&gt;=$N$2,Tabela1[[#This Row],[Data nascimento]]&lt;=$M$2),"INICIADO",J152)</f>
        <v>JUVENIL</v>
      </c>
      <c r="J152" s="9" t="str">
        <f>IF(AND(Tabela1[[#This Row],[Data nascimento]]&gt;=$P$2,Tabela1[[#This Row],[Data nascimento]]&lt;=$O$2),"JUVENIL","JÚNIOR")</f>
        <v>JUVENIL</v>
      </c>
    </row>
    <row r="153" spans="1:10" ht="15" x14ac:dyDescent="0.4">
      <c r="A153" s="13" t="s">
        <v>4565</v>
      </c>
      <c r="B153" s="2" t="s">
        <v>4566</v>
      </c>
      <c r="C153" s="4" t="s">
        <v>8</v>
      </c>
      <c r="D153" s="11">
        <v>40341</v>
      </c>
      <c r="E153" s="7" t="s">
        <v>4567</v>
      </c>
      <c r="F153" s="4" t="s">
        <v>4728</v>
      </c>
      <c r="G153" s="12" t="str">
        <f>IF(AND(Tabela1[[#This Row],[Data nascimento]]&gt;=$J$2,Tabela1[[#This Row],[Data nascimento]]&lt;=$I$2),"INFANTIL A",H153)</f>
        <v>JUVENIL</v>
      </c>
      <c r="H153" s="3" t="str">
        <f>IF(AND(Tabela1[[#This Row],[Data nascimento]]&gt;=$L$2,Tabela1[[#This Row],[Data nascimento]]&lt;=$K$2),"INFANTIL B",I153)</f>
        <v>JUVENIL</v>
      </c>
      <c r="I153" s="9" t="str">
        <f>IF(AND(Tabela1[[#This Row],[Data nascimento]]&gt;=$N$2,Tabela1[[#This Row],[Data nascimento]]&lt;=$M$2),"INICIADO",J153)</f>
        <v>JUVENIL</v>
      </c>
      <c r="J153" s="9" t="str">
        <f>IF(AND(Tabela1[[#This Row],[Data nascimento]]&gt;=$P$2,Tabela1[[#This Row],[Data nascimento]]&lt;=$O$2),"JUVENIL","JÚNIOR")</f>
        <v>JUVENIL</v>
      </c>
    </row>
    <row r="154" spans="1:10" ht="15" x14ac:dyDescent="0.4">
      <c r="A154" s="13" t="s">
        <v>1568</v>
      </c>
      <c r="B154" s="2" t="s">
        <v>1569</v>
      </c>
      <c r="C154" s="4" t="s">
        <v>21</v>
      </c>
      <c r="D154" s="11">
        <v>40126</v>
      </c>
      <c r="E154" s="7" t="s">
        <v>1570</v>
      </c>
      <c r="F154" s="4" t="s">
        <v>4729</v>
      </c>
      <c r="G154" s="12" t="str">
        <f>IF(AND(Tabela1[[#This Row],[Data nascimento]]&gt;=$J$2,Tabela1[[#This Row],[Data nascimento]]&lt;=$I$2),"INFANTIL A",H154)</f>
        <v>JUVENIL</v>
      </c>
      <c r="H154" s="3" t="str">
        <f>IF(AND(Tabela1[[#This Row],[Data nascimento]]&gt;=$L$2,Tabela1[[#This Row],[Data nascimento]]&lt;=$K$2),"INFANTIL B",I154)</f>
        <v>JUVENIL</v>
      </c>
      <c r="I154" s="9" t="str">
        <f>IF(AND(Tabela1[[#This Row],[Data nascimento]]&gt;=$N$2,Tabela1[[#This Row],[Data nascimento]]&lt;=$M$2),"INICIADO",J154)</f>
        <v>JUVENIL</v>
      </c>
      <c r="J154" s="9" t="str">
        <f>IF(AND(Tabela1[[#This Row],[Data nascimento]]&gt;=$P$2,Tabela1[[#This Row],[Data nascimento]]&lt;=$O$2),"JUVENIL","JÚNIOR")</f>
        <v>JUVENIL</v>
      </c>
    </row>
    <row r="155" spans="1:10" ht="15" x14ac:dyDescent="0.4">
      <c r="A155" s="13" t="s">
        <v>4175</v>
      </c>
      <c r="B155" s="2" t="s">
        <v>4176</v>
      </c>
      <c r="C155" s="4" t="s">
        <v>8</v>
      </c>
      <c r="D155" s="11">
        <v>40488</v>
      </c>
      <c r="E155" s="7" t="s">
        <v>4177</v>
      </c>
      <c r="F155" s="4" t="s">
        <v>4730</v>
      </c>
      <c r="G155" s="12" t="str">
        <f>IF(AND(Tabela1[[#This Row],[Data nascimento]]&gt;=$J$2,Tabela1[[#This Row],[Data nascimento]]&lt;=$I$2),"INFANTIL A",H155)</f>
        <v>JUVENIL</v>
      </c>
      <c r="H155" s="3" t="str">
        <f>IF(AND(Tabela1[[#This Row],[Data nascimento]]&gt;=$L$2,Tabela1[[#This Row],[Data nascimento]]&lt;=$K$2),"INFANTIL B",I155)</f>
        <v>JUVENIL</v>
      </c>
      <c r="I155" s="9" t="str">
        <f>IF(AND(Tabela1[[#This Row],[Data nascimento]]&gt;=$N$2,Tabela1[[#This Row],[Data nascimento]]&lt;=$M$2),"INICIADO",J155)</f>
        <v>JUVENIL</v>
      </c>
      <c r="J155" s="9" t="str">
        <f>IF(AND(Tabela1[[#This Row],[Data nascimento]]&gt;=$P$2,Tabela1[[#This Row],[Data nascimento]]&lt;=$O$2),"JUVENIL","JÚNIOR")</f>
        <v>JUVENIL</v>
      </c>
    </row>
    <row r="156" spans="1:10" ht="15" x14ac:dyDescent="0.4">
      <c r="A156" s="13" t="s">
        <v>4178</v>
      </c>
      <c r="B156" s="2" t="s">
        <v>4179</v>
      </c>
      <c r="C156" s="4" t="s">
        <v>8</v>
      </c>
      <c r="D156" s="11">
        <v>40143</v>
      </c>
      <c r="E156" s="7" t="s">
        <v>4180</v>
      </c>
      <c r="F156" s="4" t="s">
        <v>4730</v>
      </c>
      <c r="G156" s="12" t="str">
        <f>IF(AND(Tabela1[[#This Row],[Data nascimento]]&gt;=$J$2,Tabela1[[#This Row],[Data nascimento]]&lt;=$I$2),"INFANTIL A",H156)</f>
        <v>JUVENIL</v>
      </c>
      <c r="H156" s="3" t="str">
        <f>IF(AND(Tabela1[[#This Row],[Data nascimento]]&gt;=$L$2,Tabela1[[#This Row],[Data nascimento]]&lt;=$K$2),"INFANTIL B",I156)</f>
        <v>JUVENIL</v>
      </c>
      <c r="I156" s="9" t="str">
        <f>IF(AND(Tabela1[[#This Row],[Data nascimento]]&gt;=$N$2,Tabela1[[#This Row],[Data nascimento]]&lt;=$M$2),"INICIADO",J156)</f>
        <v>JUVENIL</v>
      </c>
      <c r="J156" s="9" t="str">
        <f>IF(AND(Tabela1[[#This Row],[Data nascimento]]&gt;=$P$2,Tabela1[[#This Row],[Data nascimento]]&lt;=$O$2),"JUVENIL","JÚNIOR")</f>
        <v>JUVENIL</v>
      </c>
    </row>
    <row r="157" spans="1:10" ht="15" x14ac:dyDescent="0.4">
      <c r="A157" s="13" t="s">
        <v>4448</v>
      </c>
      <c r="B157" s="2" t="s">
        <v>4449</v>
      </c>
      <c r="C157" s="4" t="s">
        <v>8</v>
      </c>
      <c r="D157" s="11">
        <v>40284</v>
      </c>
      <c r="E157" s="7" t="s">
        <v>4450</v>
      </c>
      <c r="F157" s="4" t="s">
        <v>4730</v>
      </c>
      <c r="G157" s="12" t="str">
        <f>IF(AND(Tabela1[[#This Row],[Data nascimento]]&gt;=$J$2,Tabela1[[#This Row],[Data nascimento]]&lt;=$I$2),"INFANTIL A",H157)</f>
        <v>JUVENIL</v>
      </c>
      <c r="H157" s="3" t="str">
        <f>IF(AND(Tabela1[[#This Row],[Data nascimento]]&gt;=$L$2,Tabela1[[#This Row],[Data nascimento]]&lt;=$K$2),"INFANTIL B",I157)</f>
        <v>JUVENIL</v>
      </c>
      <c r="I157" s="9" t="str">
        <f>IF(AND(Tabela1[[#This Row],[Data nascimento]]&gt;=$N$2,Tabela1[[#This Row],[Data nascimento]]&lt;=$M$2),"INICIADO",J157)</f>
        <v>JUVENIL</v>
      </c>
      <c r="J157" s="9" t="str">
        <f>IF(AND(Tabela1[[#This Row],[Data nascimento]]&gt;=$P$2,Tabela1[[#This Row],[Data nascimento]]&lt;=$O$2),"JUVENIL","JÚNIOR")</f>
        <v>JUVENIL</v>
      </c>
    </row>
    <row r="158" spans="1:10" ht="15" x14ac:dyDescent="0.4">
      <c r="A158" s="13" t="s">
        <v>1679</v>
      </c>
      <c r="B158" s="2" t="s">
        <v>1680</v>
      </c>
      <c r="C158" s="4" t="s">
        <v>8</v>
      </c>
      <c r="D158" s="11">
        <v>40240</v>
      </c>
      <c r="E158" s="7" t="s">
        <v>1681</v>
      </c>
      <c r="F158" s="4" t="s">
        <v>4730</v>
      </c>
      <c r="G158" s="12" t="str">
        <f>IF(AND(Tabela1[[#This Row],[Data nascimento]]&gt;=$J$2,Tabela1[[#This Row],[Data nascimento]]&lt;=$I$2),"INFANTIL A",H158)</f>
        <v>JUVENIL</v>
      </c>
      <c r="H158" s="3" t="str">
        <f>IF(AND(Tabela1[[#This Row],[Data nascimento]]&gt;=$L$2,Tabela1[[#This Row],[Data nascimento]]&lt;=$K$2),"INFANTIL B",I158)</f>
        <v>JUVENIL</v>
      </c>
      <c r="I158" s="9" t="str">
        <f>IF(AND(Tabela1[[#This Row],[Data nascimento]]&gt;=$N$2,Tabela1[[#This Row],[Data nascimento]]&lt;=$M$2),"INICIADO",J158)</f>
        <v>JUVENIL</v>
      </c>
      <c r="J158" s="9" t="str">
        <f>IF(AND(Tabela1[[#This Row],[Data nascimento]]&gt;=$P$2,Tabela1[[#This Row],[Data nascimento]]&lt;=$O$2),"JUVENIL","JÚNIOR")</f>
        <v>JUVENIL</v>
      </c>
    </row>
    <row r="159" spans="1:10" ht="15" x14ac:dyDescent="0.4">
      <c r="A159" s="13" t="s">
        <v>1706</v>
      </c>
      <c r="B159" s="2" t="s">
        <v>1707</v>
      </c>
      <c r="C159" s="4" t="s">
        <v>8</v>
      </c>
      <c r="D159" s="11">
        <v>40180</v>
      </c>
      <c r="E159" s="7" t="s">
        <v>1708</v>
      </c>
      <c r="F159" s="4" t="s">
        <v>4720</v>
      </c>
      <c r="G159" s="12" t="str">
        <f>IF(AND(Tabela1[[#This Row],[Data nascimento]]&gt;=$J$2,Tabela1[[#This Row],[Data nascimento]]&lt;=$I$2),"INFANTIL A",H159)</f>
        <v>JUVENIL</v>
      </c>
      <c r="H159" s="3" t="str">
        <f>IF(AND(Tabela1[[#This Row],[Data nascimento]]&gt;=$L$2,Tabela1[[#This Row],[Data nascimento]]&lt;=$K$2),"INFANTIL B",I159)</f>
        <v>JUVENIL</v>
      </c>
      <c r="I159" s="9" t="str">
        <f>IF(AND(Tabela1[[#This Row],[Data nascimento]]&gt;=$N$2,Tabela1[[#This Row],[Data nascimento]]&lt;=$M$2),"INICIADO",J159)</f>
        <v>JUVENIL</v>
      </c>
      <c r="J159" s="9" t="str">
        <f>IF(AND(Tabela1[[#This Row],[Data nascimento]]&gt;=$P$2,Tabela1[[#This Row],[Data nascimento]]&lt;=$O$2),"JUVENIL","JÚNIOR")</f>
        <v>JUVENIL</v>
      </c>
    </row>
    <row r="160" spans="1:10" ht="15" x14ac:dyDescent="0.4">
      <c r="A160" s="13" t="s">
        <v>1157</v>
      </c>
      <c r="B160" s="2" t="s">
        <v>1158</v>
      </c>
      <c r="C160" s="4" t="s">
        <v>8</v>
      </c>
      <c r="D160" s="11">
        <v>40265</v>
      </c>
      <c r="E160" s="7" t="s">
        <v>1159</v>
      </c>
      <c r="F160" s="4" t="s">
        <v>4715</v>
      </c>
      <c r="G160" s="12" t="str">
        <f>IF(AND(Tabela1[[#This Row],[Data nascimento]]&gt;=$J$2,Tabela1[[#This Row],[Data nascimento]]&lt;=$I$2),"INFANTIL A",H160)</f>
        <v>JUVENIL</v>
      </c>
      <c r="H160" s="3" t="str">
        <f>IF(AND(Tabela1[[#This Row],[Data nascimento]]&gt;=$L$2,Tabela1[[#This Row],[Data nascimento]]&lt;=$K$2),"INFANTIL B",I160)</f>
        <v>JUVENIL</v>
      </c>
      <c r="I160" s="9" t="str">
        <f>IF(AND(Tabela1[[#This Row],[Data nascimento]]&gt;=$N$2,Tabela1[[#This Row],[Data nascimento]]&lt;=$M$2),"INICIADO",J160)</f>
        <v>JUVENIL</v>
      </c>
      <c r="J160" s="9" t="str">
        <f>IF(AND(Tabela1[[#This Row],[Data nascimento]]&gt;=$P$2,Tabela1[[#This Row],[Data nascimento]]&lt;=$O$2),"JUVENIL","JÚNIOR")</f>
        <v>JUVENIL</v>
      </c>
    </row>
    <row r="161" spans="1:10" ht="15" x14ac:dyDescent="0.4">
      <c r="A161" s="13" t="s">
        <v>1490</v>
      </c>
      <c r="B161" s="2" t="s">
        <v>1491</v>
      </c>
      <c r="C161" s="4" t="s">
        <v>8</v>
      </c>
      <c r="D161" s="11">
        <v>40189</v>
      </c>
      <c r="E161" s="7" t="s">
        <v>1492</v>
      </c>
      <c r="F161" s="4" t="s">
        <v>4715</v>
      </c>
      <c r="G161" s="12" t="str">
        <f>IF(AND(Tabela1[[#This Row],[Data nascimento]]&gt;=$J$2,Tabela1[[#This Row],[Data nascimento]]&lt;=$I$2),"INFANTIL A",H161)</f>
        <v>JUVENIL</v>
      </c>
      <c r="H161" s="3" t="str">
        <f>IF(AND(Tabela1[[#This Row],[Data nascimento]]&gt;=$L$2,Tabela1[[#This Row],[Data nascimento]]&lt;=$K$2),"INFANTIL B",I161)</f>
        <v>JUVENIL</v>
      </c>
      <c r="I161" s="9" t="str">
        <f>IF(AND(Tabela1[[#This Row],[Data nascimento]]&gt;=$N$2,Tabela1[[#This Row],[Data nascimento]]&lt;=$M$2),"INICIADO",J161)</f>
        <v>JUVENIL</v>
      </c>
      <c r="J161" s="9" t="str">
        <f>IF(AND(Tabela1[[#This Row],[Data nascimento]]&gt;=$P$2,Tabela1[[#This Row],[Data nascimento]]&lt;=$O$2),"JUVENIL","JÚNIOR")</f>
        <v>JUVENIL</v>
      </c>
    </row>
    <row r="162" spans="1:10" ht="15" x14ac:dyDescent="0.4">
      <c r="A162" s="13" t="s">
        <v>1127</v>
      </c>
      <c r="B162" s="2" t="s">
        <v>1128</v>
      </c>
      <c r="C162" s="4" t="s">
        <v>8</v>
      </c>
      <c r="D162" s="11">
        <v>40321</v>
      </c>
      <c r="E162" s="7" t="s">
        <v>1129</v>
      </c>
      <c r="F162" s="4" t="s">
        <v>4719</v>
      </c>
      <c r="G162" s="12" t="str">
        <f>IF(AND(Tabela1[[#This Row],[Data nascimento]]&gt;=$J$2,Tabela1[[#This Row],[Data nascimento]]&lt;=$I$2),"INFANTIL A",H162)</f>
        <v>JUVENIL</v>
      </c>
      <c r="H162" s="3" t="str">
        <f>IF(AND(Tabela1[[#This Row],[Data nascimento]]&gt;=$L$2,Tabela1[[#This Row],[Data nascimento]]&lt;=$K$2),"INFANTIL B",I162)</f>
        <v>JUVENIL</v>
      </c>
      <c r="I162" s="9" t="str">
        <f>IF(AND(Tabela1[[#This Row],[Data nascimento]]&gt;=$N$2,Tabela1[[#This Row],[Data nascimento]]&lt;=$M$2),"INICIADO",J162)</f>
        <v>JUVENIL</v>
      </c>
      <c r="J162" s="9" t="str">
        <f>IF(AND(Tabela1[[#This Row],[Data nascimento]]&gt;=$P$2,Tabela1[[#This Row],[Data nascimento]]&lt;=$O$2),"JUVENIL","JÚNIOR")</f>
        <v>JUVENIL</v>
      </c>
    </row>
    <row r="163" spans="1:10" ht="15" x14ac:dyDescent="0.4">
      <c r="A163" s="13" t="s">
        <v>1304</v>
      </c>
      <c r="B163" s="2" t="s">
        <v>1305</v>
      </c>
      <c r="C163" s="4" t="s">
        <v>8</v>
      </c>
      <c r="D163" s="11">
        <v>40491</v>
      </c>
      <c r="E163" s="7" t="s">
        <v>1306</v>
      </c>
      <c r="F163" s="4" t="s">
        <v>4719</v>
      </c>
      <c r="G163" s="12" t="str">
        <f>IF(AND(Tabela1[[#This Row],[Data nascimento]]&gt;=$J$2,Tabela1[[#This Row],[Data nascimento]]&lt;=$I$2),"INFANTIL A",H163)</f>
        <v>JUVENIL</v>
      </c>
      <c r="H163" s="3" t="str">
        <f>IF(AND(Tabela1[[#This Row],[Data nascimento]]&gt;=$L$2,Tabela1[[#This Row],[Data nascimento]]&lt;=$K$2),"INFANTIL B",I163)</f>
        <v>JUVENIL</v>
      </c>
      <c r="I163" s="9" t="str">
        <f>IF(AND(Tabela1[[#This Row],[Data nascimento]]&gt;=$N$2,Tabela1[[#This Row],[Data nascimento]]&lt;=$M$2),"INICIADO",J163)</f>
        <v>JUVENIL</v>
      </c>
      <c r="J163" s="9" t="str">
        <f>IF(AND(Tabela1[[#This Row],[Data nascimento]]&gt;=$P$2,Tabela1[[#This Row],[Data nascimento]]&lt;=$O$2),"JUVENIL","JÚNIOR")</f>
        <v>JUVENIL</v>
      </c>
    </row>
    <row r="164" spans="1:10" ht="15" x14ac:dyDescent="0.4">
      <c r="A164" s="13" t="s">
        <v>1322</v>
      </c>
      <c r="B164" s="2" t="s">
        <v>1323</v>
      </c>
      <c r="C164" s="4" t="s">
        <v>8</v>
      </c>
      <c r="D164" s="11">
        <v>40276</v>
      </c>
      <c r="E164" s="7" t="s">
        <v>1324</v>
      </c>
      <c r="F164" s="4" t="s">
        <v>4719</v>
      </c>
      <c r="G164" s="12" t="str">
        <f>IF(AND(Tabela1[[#This Row],[Data nascimento]]&gt;=$J$2,Tabela1[[#This Row],[Data nascimento]]&lt;=$I$2),"INFANTIL A",H164)</f>
        <v>JUVENIL</v>
      </c>
      <c r="H164" s="3" t="str">
        <f>IF(AND(Tabela1[[#This Row],[Data nascimento]]&gt;=$L$2,Tabela1[[#This Row],[Data nascimento]]&lt;=$K$2),"INFANTIL B",I164)</f>
        <v>JUVENIL</v>
      </c>
      <c r="I164" s="9" t="str">
        <f>IF(AND(Tabela1[[#This Row],[Data nascimento]]&gt;=$N$2,Tabela1[[#This Row],[Data nascimento]]&lt;=$M$2),"INICIADO",J164)</f>
        <v>JUVENIL</v>
      </c>
      <c r="J164" s="9" t="str">
        <f>IF(AND(Tabela1[[#This Row],[Data nascimento]]&gt;=$P$2,Tabela1[[#This Row],[Data nascimento]]&lt;=$O$2),"JUVENIL","JÚNIOR")</f>
        <v>JUVENIL</v>
      </c>
    </row>
    <row r="165" spans="1:10" ht="15" x14ac:dyDescent="0.4">
      <c r="A165" s="13" t="s">
        <v>1421</v>
      </c>
      <c r="B165" s="2" t="s">
        <v>1422</v>
      </c>
      <c r="C165" s="4" t="s">
        <v>8</v>
      </c>
      <c r="D165" s="11">
        <v>40558</v>
      </c>
      <c r="E165" s="7" t="s">
        <v>1423</v>
      </c>
      <c r="F165" s="4" t="s">
        <v>4719</v>
      </c>
      <c r="G165" s="12" t="str">
        <f>IF(AND(Tabela1[[#This Row],[Data nascimento]]&gt;=$J$2,Tabela1[[#This Row],[Data nascimento]]&lt;=$I$2),"INFANTIL A",H165)</f>
        <v>INICIADO</v>
      </c>
      <c r="H165" s="3" t="str">
        <f>IF(AND(Tabela1[[#This Row],[Data nascimento]]&gt;=$L$2,Tabela1[[#This Row],[Data nascimento]]&lt;=$K$2),"INFANTIL B",I165)</f>
        <v>INICIADO</v>
      </c>
      <c r="I165" s="9" t="str">
        <f>IF(AND(Tabela1[[#This Row],[Data nascimento]]&gt;=$N$2,Tabela1[[#This Row],[Data nascimento]]&lt;=$M$2),"INICIADO",J165)</f>
        <v>INICIADO</v>
      </c>
      <c r="J165" s="9" t="str">
        <f>IF(AND(Tabela1[[#This Row],[Data nascimento]]&gt;=$P$2,Tabela1[[#This Row],[Data nascimento]]&lt;=$O$2),"JUVENIL","JÚNIOR")</f>
        <v>JÚNIOR</v>
      </c>
    </row>
    <row r="166" spans="1:10" ht="15" x14ac:dyDescent="0.4">
      <c r="A166" s="13" t="s">
        <v>1673</v>
      </c>
      <c r="B166" s="2" t="s">
        <v>1674</v>
      </c>
      <c r="C166" s="4" t="s">
        <v>8</v>
      </c>
      <c r="D166" s="11">
        <v>40441</v>
      </c>
      <c r="E166" s="7" t="s">
        <v>1675</v>
      </c>
      <c r="F166" s="4" t="s">
        <v>4719</v>
      </c>
      <c r="G166" s="12" t="str">
        <f>IF(AND(Tabela1[[#This Row],[Data nascimento]]&gt;=$J$2,Tabela1[[#This Row],[Data nascimento]]&lt;=$I$2),"INFANTIL A",H166)</f>
        <v>JUVENIL</v>
      </c>
      <c r="H166" s="3" t="str">
        <f>IF(AND(Tabela1[[#This Row],[Data nascimento]]&gt;=$L$2,Tabela1[[#This Row],[Data nascimento]]&lt;=$K$2),"INFANTIL B",I166)</f>
        <v>JUVENIL</v>
      </c>
      <c r="I166" s="9" t="str">
        <f>IF(AND(Tabela1[[#This Row],[Data nascimento]]&gt;=$N$2,Tabela1[[#This Row],[Data nascimento]]&lt;=$M$2),"INICIADO",J166)</f>
        <v>JUVENIL</v>
      </c>
      <c r="J166" s="9" t="str">
        <f>IF(AND(Tabela1[[#This Row],[Data nascimento]]&gt;=$P$2,Tabela1[[#This Row],[Data nascimento]]&lt;=$O$2),"JUVENIL","JÚNIOR")</f>
        <v>JUVENIL</v>
      </c>
    </row>
    <row r="167" spans="1:10" ht="15" x14ac:dyDescent="0.4">
      <c r="A167" s="13" t="s">
        <v>1679</v>
      </c>
      <c r="B167" s="2" t="s">
        <v>1680</v>
      </c>
      <c r="C167" s="4" t="s">
        <v>8</v>
      </c>
      <c r="D167" s="11">
        <v>40240</v>
      </c>
      <c r="E167" s="7" t="s">
        <v>1681</v>
      </c>
      <c r="F167" s="4" t="s">
        <v>4719</v>
      </c>
      <c r="G167" s="12" t="str">
        <f>IF(AND(Tabela1[[#This Row],[Data nascimento]]&gt;=$J$2,Tabela1[[#This Row],[Data nascimento]]&lt;=$I$2),"INFANTIL A",H167)</f>
        <v>JUVENIL</v>
      </c>
      <c r="H167" s="3" t="str">
        <f>IF(AND(Tabela1[[#This Row],[Data nascimento]]&gt;=$L$2,Tabela1[[#This Row],[Data nascimento]]&lt;=$K$2),"INFANTIL B",I167)</f>
        <v>JUVENIL</v>
      </c>
      <c r="I167" s="9" t="str">
        <f>IF(AND(Tabela1[[#This Row],[Data nascimento]]&gt;=$N$2,Tabela1[[#This Row],[Data nascimento]]&lt;=$M$2),"INICIADO",J167)</f>
        <v>JUVENIL</v>
      </c>
      <c r="J167" s="9" t="str">
        <f>IF(AND(Tabela1[[#This Row],[Data nascimento]]&gt;=$P$2,Tabela1[[#This Row],[Data nascimento]]&lt;=$O$2),"JUVENIL","JÚNIOR")</f>
        <v>JUVENIL</v>
      </c>
    </row>
    <row r="168" spans="1:10" ht="15" x14ac:dyDescent="0.4">
      <c r="A168" s="13" t="s">
        <v>1724</v>
      </c>
      <c r="B168" s="2" t="s">
        <v>1725</v>
      </c>
      <c r="C168" s="4" t="s">
        <v>8</v>
      </c>
      <c r="D168" s="11">
        <v>40151</v>
      </c>
      <c r="E168" s="7" t="s">
        <v>1726</v>
      </c>
      <c r="F168" s="4" t="s">
        <v>4719</v>
      </c>
      <c r="G168" s="12" t="str">
        <f>IF(AND(Tabela1[[#This Row],[Data nascimento]]&gt;=$J$2,Tabela1[[#This Row],[Data nascimento]]&lt;=$I$2),"INFANTIL A",H168)</f>
        <v>JUVENIL</v>
      </c>
      <c r="H168" s="3" t="str">
        <f>IF(AND(Tabela1[[#This Row],[Data nascimento]]&gt;=$L$2,Tabela1[[#This Row],[Data nascimento]]&lt;=$K$2),"INFANTIL B",I168)</f>
        <v>JUVENIL</v>
      </c>
      <c r="I168" s="9" t="str">
        <f>IF(AND(Tabela1[[#This Row],[Data nascimento]]&gt;=$N$2,Tabela1[[#This Row],[Data nascimento]]&lt;=$M$2),"INICIADO",J168)</f>
        <v>JUVENIL</v>
      </c>
      <c r="J168" s="9" t="str">
        <f>IF(AND(Tabela1[[#This Row],[Data nascimento]]&gt;=$P$2,Tabela1[[#This Row],[Data nascimento]]&lt;=$O$2),"JUVENIL","JÚNIOR")</f>
        <v>JUVENIL</v>
      </c>
    </row>
    <row r="169" spans="1:10" ht="15" x14ac:dyDescent="0.4">
      <c r="A169" s="13" t="s">
        <v>1202</v>
      </c>
      <c r="B169" s="2" t="s">
        <v>1203</v>
      </c>
      <c r="C169" s="4" t="s">
        <v>8</v>
      </c>
      <c r="D169" s="11">
        <v>40236</v>
      </c>
      <c r="E169" s="7" t="s">
        <v>1204</v>
      </c>
      <c r="F169" s="4" t="s">
        <v>4731</v>
      </c>
      <c r="G169" s="12" t="str">
        <f>IF(AND(Tabela1[[#This Row],[Data nascimento]]&gt;=$J$2,Tabela1[[#This Row],[Data nascimento]]&lt;=$I$2),"INFANTIL A",H169)</f>
        <v>JUVENIL</v>
      </c>
      <c r="H169" s="3" t="str">
        <f>IF(AND(Tabela1[[#This Row],[Data nascimento]]&gt;=$L$2,Tabela1[[#This Row],[Data nascimento]]&lt;=$K$2),"INFANTIL B",I169)</f>
        <v>JUVENIL</v>
      </c>
      <c r="I169" s="9" t="str">
        <f>IF(AND(Tabela1[[#This Row],[Data nascimento]]&gt;=$N$2,Tabela1[[#This Row],[Data nascimento]]&lt;=$M$2),"INICIADO",J169)</f>
        <v>JUVENIL</v>
      </c>
      <c r="J169" s="9" t="str">
        <f>IF(AND(Tabela1[[#This Row],[Data nascimento]]&gt;=$P$2,Tabela1[[#This Row],[Data nascimento]]&lt;=$O$2),"JUVENIL","JÚNIOR")</f>
        <v>JUVENIL</v>
      </c>
    </row>
    <row r="170" spans="1:10" ht="15" x14ac:dyDescent="0.4">
      <c r="A170" s="13" t="s">
        <v>1271</v>
      </c>
      <c r="B170" s="2" t="s">
        <v>1272</v>
      </c>
      <c r="C170" s="4" t="s">
        <v>8</v>
      </c>
      <c r="D170" s="11">
        <v>40155</v>
      </c>
      <c r="E170" s="7" t="s">
        <v>1273</v>
      </c>
      <c r="F170" s="4" t="s">
        <v>4731</v>
      </c>
      <c r="G170" s="12" t="str">
        <f>IF(AND(Tabela1[[#This Row],[Data nascimento]]&gt;=$J$2,Tabela1[[#This Row],[Data nascimento]]&lt;=$I$2),"INFANTIL A",H170)</f>
        <v>JUVENIL</v>
      </c>
      <c r="H170" s="3" t="str">
        <f>IF(AND(Tabela1[[#This Row],[Data nascimento]]&gt;=$L$2,Tabela1[[#This Row],[Data nascimento]]&lt;=$K$2),"INFANTIL B",I170)</f>
        <v>JUVENIL</v>
      </c>
      <c r="I170" s="9" t="str">
        <f>IF(AND(Tabela1[[#This Row],[Data nascimento]]&gt;=$N$2,Tabela1[[#This Row],[Data nascimento]]&lt;=$M$2),"INICIADO",J170)</f>
        <v>JUVENIL</v>
      </c>
      <c r="J170" s="9" t="str">
        <f>IF(AND(Tabela1[[#This Row],[Data nascimento]]&gt;=$P$2,Tabela1[[#This Row],[Data nascimento]]&lt;=$O$2),"JUVENIL","JÚNIOR")</f>
        <v>JUVENIL</v>
      </c>
    </row>
    <row r="171" spans="1:10" ht="15" x14ac:dyDescent="0.4">
      <c r="A171" s="13" t="s">
        <v>1298</v>
      </c>
      <c r="B171" s="2" t="s">
        <v>1299</v>
      </c>
      <c r="C171" s="4" t="s">
        <v>8</v>
      </c>
      <c r="D171" s="11">
        <v>40216</v>
      </c>
      <c r="E171" s="7" t="s">
        <v>1300</v>
      </c>
      <c r="F171" s="4" t="s">
        <v>4731</v>
      </c>
      <c r="G171" s="12" t="str">
        <f>IF(AND(Tabela1[[#This Row],[Data nascimento]]&gt;=$J$2,Tabela1[[#This Row],[Data nascimento]]&lt;=$I$2),"INFANTIL A",H171)</f>
        <v>JUVENIL</v>
      </c>
      <c r="H171" s="3" t="str">
        <f>IF(AND(Tabela1[[#This Row],[Data nascimento]]&gt;=$L$2,Tabela1[[#This Row],[Data nascimento]]&lt;=$K$2),"INFANTIL B",I171)</f>
        <v>JUVENIL</v>
      </c>
      <c r="I171" s="9" t="str">
        <f>IF(AND(Tabela1[[#This Row],[Data nascimento]]&gt;=$N$2,Tabela1[[#This Row],[Data nascimento]]&lt;=$M$2),"INICIADO",J171)</f>
        <v>JUVENIL</v>
      </c>
      <c r="J171" s="9" t="str">
        <f>IF(AND(Tabela1[[#This Row],[Data nascimento]]&gt;=$P$2,Tabela1[[#This Row],[Data nascimento]]&lt;=$O$2),"JUVENIL","JÚNIOR")</f>
        <v>JUVENIL</v>
      </c>
    </row>
    <row r="172" spans="1:10" ht="15" x14ac:dyDescent="0.4">
      <c r="A172" s="13" t="s">
        <v>1316</v>
      </c>
      <c r="B172" s="2" t="s">
        <v>1317</v>
      </c>
      <c r="C172" s="4" t="s">
        <v>8</v>
      </c>
      <c r="D172" s="11">
        <v>40330</v>
      </c>
      <c r="E172" s="7" t="s">
        <v>1318</v>
      </c>
      <c r="F172" s="4" t="s">
        <v>4731</v>
      </c>
      <c r="G172" s="12" t="str">
        <f>IF(AND(Tabela1[[#This Row],[Data nascimento]]&gt;=$J$2,Tabela1[[#This Row],[Data nascimento]]&lt;=$I$2),"INFANTIL A",H172)</f>
        <v>JUVENIL</v>
      </c>
      <c r="H172" s="3" t="str">
        <f>IF(AND(Tabela1[[#This Row],[Data nascimento]]&gt;=$L$2,Tabela1[[#This Row],[Data nascimento]]&lt;=$K$2),"INFANTIL B",I172)</f>
        <v>JUVENIL</v>
      </c>
      <c r="I172" s="9" t="str">
        <f>IF(AND(Tabela1[[#This Row],[Data nascimento]]&gt;=$N$2,Tabela1[[#This Row],[Data nascimento]]&lt;=$M$2),"INICIADO",J172)</f>
        <v>JUVENIL</v>
      </c>
      <c r="J172" s="9" t="str">
        <f>IF(AND(Tabela1[[#This Row],[Data nascimento]]&gt;=$P$2,Tabela1[[#This Row],[Data nascimento]]&lt;=$O$2),"JUVENIL","JÚNIOR")</f>
        <v>JUVENIL</v>
      </c>
    </row>
    <row r="173" spans="1:10" ht="15" x14ac:dyDescent="0.4">
      <c r="A173" s="13" t="s">
        <v>1391</v>
      </c>
      <c r="B173" s="2" t="s">
        <v>1392</v>
      </c>
      <c r="C173" s="4" t="s">
        <v>8</v>
      </c>
      <c r="D173" s="11">
        <v>40496</v>
      </c>
      <c r="E173" s="7" t="s">
        <v>1393</v>
      </c>
      <c r="F173" s="4" t="s">
        <v>4731</v>
      </c>
      <c r="G173" s="12" t="str">
        <f>IF(AND(Tabela1[[#This Row],[Data nascimento]]&gt;=$J$2,Tabela1[[#This Row],[Data nascimento]]&lt;=$I$2),"INFANTIL A",H173)</f>
        <v>JUVENIL</v>
      </c>
      <c r="H173" s="3" t="str">
        <f>IF(AND(Tabela1[[#This Row],[Data nascimento]]&gt;=$L$2,Tabela1[[#This Row],[Data nascimento]]&lt;=$K$2),"INFANTIL B",I173)</f>
        <v>JUVENIL</v>
      </c>
      <c r="I173" s="9" t="str">
        <f>IF(AND(Tabela1[[#This Row],[Data nascimento]]&gt;=$N$2,Tabela1[[#This Row],[Data nascimento]]&lt;=$M$2),"INICIADO",J173)</f>
        <v>JUVENIL</v>
      </c>
      <c r="J173" s="9" t="str">
        <f>IF(AND(Tabela1[[#This Row],[Data nascimento]]&gt;=$P$2,Tabela1[[#This Row],[Data nascimento]]&lt;=$O$2),"JUVENIL","JÚNIOR")</f>
        <v>JUVENIL</v>
      </c>
    </row>
    <row r="174" spans="1:10" ht="15" x14ac:dyDescent="0.4">
      <c r="A174" s="13" t="s">
        <v>1412</v>
      </c>
      <c r="B174" s="2" t="s">
        <v>1413</v>
      </c>
      <c r="C174" s="4" t="s">
        <v>8</v>
      </c>
      <c r="D174" s="11">
        <v>40261</v>
      </c>
      <c r="E174" s="7" t="s">
        <v>1414</v>
      </c>
      <c r="F174" s="4" t="s">
        <v>4731</v>
      </c>
      <c r="G174" s="12" t="str">
        <f>IF(AND(Tabela1[[#This Row],[Data nascimento]]&gt;=$J$2,Tabela1[[#This Row],[Data nascimento]]&lt;=$I$2),"INFANTIL A",H174)</f>
        <v>JUVENIL</v>
      </c>
      <c r="H174" s="3" t="str">
        <f>IF(AND(Tabela1[[#This Row],[Data nascimento]]&gt;=$L$2,Tabela1[[#This Row],[Data nascimento]]&lt;=$K$2),"INFANTIL B",I174)</f>
        <v>JUVENIL</v>
      </c>
      <c r="I174" s="9" t="str">
        <f>IF(AND(Tabela1[[#This Row],[Data nascimento]]&gt;=$N$2,Tabela1[[#This Row],[Data nascimento]]&lt;=$M$2),"INICIADO",J174)</f>
        <v>JUVENIL</v>
      </c>
      <c r="J174" s="9" t="str">
        <f>IF(AND(Tabela1[[#This Row],[Data nascimento]]&gt;=$P$2,Tabela1[[#This Row],[Data nascimento]]&lt;=$O$2),"JUVENIL","JÚNIOR")</f>
        <v>JUVENIL</v>
      </c>
    </row>
    <row r="175" spans="1:10" ht="15" x14ac:dyDescent="0.4">
      <c r="A175" s="13" t="s">
        <v>1454</v>
      </c>
      <c r="B175" s="2" t="s">
        <v>1455</v>
      </c>
      <c r="C175" s="4" t="s">
        <v>8</v>
      </c>
      <c r="D175" s="11">
        <v>40303</v>
      </c>
      <c r="E175" s="7" t="s">
        <v>1456</v>
      </c>
      <c r="F175" s="4" t="s">
        <v>4731</v>
      </c>
      <c r="G175" s="12" t="str">
        <f>IF(AND(Tabela1[[#This Row],[Data nascimento]]&gt;=$J$2,Tabela1[[#This Row],[Data nascimento]]&lt;=$I$2),"INFANTIL A",H175)</f>
        <v>JUVENIL</v>
      </c>
      <c r="H175" s="3" t="str">
        <f>IF(AND(Tabela1[[#This Row],[Data nascimento]]&gt;=$L$2,Tabela1[[#This Row],[Data nascimento]]&lt;=$K$2),"INFANTIL B",I175)</f>
        <v>JUVENIL</v>
      </c>
      <c r="I175" s="9" t="str">
        <f>IF(AND(Tabela1[[#This Row],[Data nascimento]]&gt;=$N$2,Tabela1[[#This Row],[Data nascimento]]&lt;=$M$2),"INICIADO",J175)</f>
        <v>JUVENIL</v>
      </c>
      <c r="J175" s="9" t="str">
        <f>IF(AND(Tabela1[[#This Row],[Data nascimento]]&gt;=$P$2,Tabela1[[#This Row],[Data nascimento]]&lt;=$O$2),"JUVENIL","JÚNIOR")</f>
        <v>JUVENIL</v>
      </c>
    </row>
    <row r="176" spans="1:10" ht="15" x14ac:dyDescent="0.4">
      <c r="A176" s="13" t="s">
        <v>1508</v>
      </c>
      <c r="B176" s="2" t="s">
        <v>1509</v>
      </c>
      <c r="C176" s="4" t="s">
        <v>8</v>
      </c>
      <c r="D176" s="11">
        <v>39707</v>
      </c>
      <c r="E176" s="7" t="s">
        <v>1510</v>
      </c>
      <c r="F176" s="4" t="s">
        <v>4731</v>
      </c>
      <c r="G176" s="12" t="str">
        <f>IF(AND(Tabela1[[#This Row],[Data nascimento]]&gt;=$J$2,Tabela1[[#This Row],[Data nascimento]]&lt;=$I$2),"INFANTIL A",H176)</f>
        <v>JUVENIL</v>
      </c>
      <c r="H176" s="3" t="str">
        <f>IF(AND(Tabela1[[#This Row],[Data nascimento]]&gt;=$L$2,Tabela1[[#This Row],[Data nascimento]]&lt;=$K$2),"INFANTIL B",I176)</f>
        <v>JUVENIL</v>
      </c>
      <c r="I176" s="9" t="str">
        <f>IF(AND(Tabela1[[#This Row],[Data nascimento]]&gt;=$N$2,Tabela1[[#This Row],[Data nascimento]]&lt;=$M$2),"INICIADO",J176)</f>
        <v>JUVENIL</v>
      </c>
      <c r="J176" s="9" t="str">
        <f>IF(AND(Tabela1[[#This Row],[Data nascimento]]&gt;=$P$2,Tabela1[[#This Row],[Data nascimento]]&lt;=$O$2),"JUVENIL","JÚNIOR")</f>
        <v>JUVENIL</v>
      </c>
    </row>
    <row r="177" spans="1:10" ht="15" x14ac:dyDescent="0.4">
      <c r="A177" s="13" t="s">
        <v>1541</v>
      </c>
      <c r="B177" s="2" t="s">
        <v>1542</v>
      </c>
      <c r="C177" s="4" t="s">
        <v>8</v>
      </c>
      <c r="D177" s="11">
        <v>40407</v>
      </c>
      <c r="E177" s="7" t="s">
        <v>1543</v>
      </c>
      <c r="F177" s="4" t="s">
        <v>4731</v>
      </c>
      <c r="G177" s="12" t="str">
        <f>IF(AND(Tabela1[[#This Row],[Data nascimento]]&gt;=$J$2,Tabela1[[#This Row],[Data nascimento]]&lt;=$I$2),"INFANTIL A",H177)</f>
        <v>JUVENIL</v>
      </c>
      <c r="H177" s="3" t="str">
        <f>IF(AND(Tabela1[[#This Row],[Data nascimento]]&gt;=$L$2,Tabela1[[#This Row],[Data nascimento]]&lt;=$K$2),"INFANTIL B",I177)</f>
        <v>JUVENIL</v>
      </c>
      <c r="I177" s="9" t="str">
        <f>IF(AND(Tabela1[[#This Row],[Data nascimento]]&gt;=$N$2,Tabela1[[#This Row],[Data nascimento]]&lt;=$M$2),"INICIADO",J177)</f>
        <v>JUVENIL</v>
      </c>
      <c r="J177" s="9" t="str">
        <f>IF(AND(Tabela1[[#This Row],[Data nascimento]]&gt;=$P$2,Tabela1[[#This Row],[Data nascimento]]&lt;=$O$2),"JUVENIL","JÚNIOR")</f>
        <v>JUVENIL</v>
      </c>
    </row>
    <row r="178" spans="1:10" ht="15" x14ac:dyDescent="0.4">
      <c r="A178" s="13" t="s">
        <v>1646</v>
      </c>
      <c r="B178" s="2" t="s">
        <v>1647</v>
      </c>
      <c r="C178" s="4" t="s">
        <v>21</v>
      </c>
      <c r="D178" s="11">
        <v>40465</v>
      </c>
      <c r="E178" s="7" t="s">
        <v>1648</v>
      </c>
      <c r="F178" s="4" t="s">
        <v>4715</v>
      </c>
      <c r="G178" s="12" t="str">
        <f>IF(AND(Tabela1[[#This Row],[Data nascimento]]&gt;=$J$2,Tabela1[[#This Row],[Data nascimento]]&lt;=$I$2),"INFANTIL A",H178)</f>
        <v>JUVENIL</v>
      </c>
      <c r="H178" s="3" t="str">
        <f>IF(AND(Tabela1[[#This Row],[Data nascimento]]&gt;=$L$2,Tabela1[[#This Row],[Data nascimento]]&lt;=$K$2),"INFANTIL B",I178)</f>
        <v>JUVENIL</v>
      </c>
      <c r="I178" s="9" t="str">
        <f>IF(AND(Tabela1[[#This Row],[Data nascimento]]&gt;=$N$2,Tabela1[[#This Row],[Data nascimento]]&lt;=$M$2),"INICIADO",J178)</f>
        <v>JUVENIL</v>
      </c>
      <c r="J178" s="9" t="str">
        <f>IF(AND(Tabela1[[#This Row],[Data nascimento]]&gt;=$P$2,Tabela1[[#This Row],[Data nascimento]]&lt;=$O$2),"JUVENIL","JÚNIOR")</f>
        <v>JUVENIL</v>
      </c>
    </row>
    <row r="179" spans="1:10" ht="15" x14ac:dyDescent="0.4">
      <c r="A179" s="13" t="s">
        <v>1556</v>
      </c>
      <c r="B179" s="2" t="s">
        <v>1557</v>
      </c>
      <c r="C179" s="4" t="s">
        <v>8</v>
      </c>
      <c r="D179" s="11">
        <v>39881</v>
      </c>
      <c r="E179" s="7" t="s">
        <v>1558</v>
      </c>
      <c r="F179" s="4" t="s">
        <v>4731</v>
      </c>
      <c r="G179" s="12" t="str">
        <f>IF(AND(Tabela1[[#This Row],[Data nascimento]]&gt;=$J$2,Tabela1[[#This Row],[Data nascimento]]&lt;=$I$2),"INFANTIL A",H179)</f>
        <v>JUVENIL</v>
      </c>
      <c r="H179" s="3" t="str">
        <f>IF(AND(Tabela1[[#This Row],[Data nascimento]]&gt;=$L$2,Tabela1[[#This Row],[Data nascimento]]&lt;=$K$2),"INFANTIL B",I179)</f>
        <v>JUVENIL</v>
      </c>
      <c r="I179" s="9" t="str">
        <f>IF(AND(Tabela1[[#This Row],[Data nascimento]]&gt;=$N$2,Tabela1[[#This Row],[Data nascimento]]&lt;=$M$2),"INICIADO",J179)</f>
        <v>JUVENIL</v>
      </c>
      <c r="J179" s="9" t="str">
        <f>IF(AND(Tabela1[[#This Row],[Data nascimento]]&gt;=$P$2,Tabela1[[#This Row],[Data nascimento]]&lt;=$O$2),"JUVENIL","JÚNIOR")</f>
        <v>JUVENIL</v>
      </c>
    </row>
    <row r="180" spans="1:10" ht="15" x14ac:dyDescent="0.4">
      <c r="A180" s="13" t="s">
        <v>1661</v>
      </c>
      <c r="B180" s="2" t="s">
        <v>1662</v>
      </c>
      <c r="C180" s="4" t="s">
        <v>8</v>
      </c>
      <c r="D180" s="11">
        <v>39851</v>
      </c>
      <c r="E180" s="7" t="s">
        <v>1663</v>
      </c>
      <c r="F180" s="4" t="s">
        <v>4731</v>
      </c>
      <c r="G180" s="12" t="str">
        <f>IF(AND(Tabela1[[#This Row],[Data nascimento]]&gt;=$J$2,Tabela1[[#This Row],[Data nascimento]]&lt;=$I$2),"INFANTIL A",H180)</f>
        <v>JUVENIL</v>
      </c>
      <c r="H180" s="3" t="str">
        <f>IF(AND(Tabela1[[#This Row],[Data nascimento]]&gt;=$L$2,Tabela1[[#This Row],[Data nascimento]]&lt;=$K$2),"INFANTIL B",I180)</f>
        <v>JUVENIL</v>
      </c>
      <c r="I180" s="9" t="str">
        <f>IF(AND(Tabela1[[#This Row],[Data nascimento]]&gt;=$N$2,Tabela1[[#This Row],[Data nascimento]]&lt;=$M$2),"INICIADO",J180)</f>
        <v>JUVENIL</v>
      </c>
      <c r="J180" s="9" t="str">
        <f>IF(AND(Tabela1[[#This Row],[Data nascimento]]&gt;=$P$2,Tabela1[[#This Row],[Data nascimento]]&lt;=$O$2),"JUVENIL","JÚNIOR")</f>
        <v>JUVENIL</v>
      </c>
    </row>
    <row r="181" spans="1:10" ht="15" x14ac:dyDescent="0.4">
      <c r="A181" s="13" t="s">
        <v>1655</v>
      </c>
      <c r="B181" s="2" t="s">
        <v>1656</v>
      </c>
      <c r="C181" s="4" t="s">
        <v>21</v>
      </c>
      <c r="D181" s="11">
        <v>39609</v>
      </c>
      <c r="E181" s="7" t="s">
        <v>1657</v>
      </c>
      <c r="F181" s="4" t="s">
        <v>4720</v>
      </c>
      <c r="G181" s="12" t="str">
        <f>IF(AND(Tabela1[[#This Row],[Data nascimento]]&gt;=$J$2,Tabela1[[#This Row],[Data nascimento]]&lt;=$I$2),"INFANTIL A",H181)</f>
        <v>JUVENIL</v>
      </c>
      <c r="H181" s="3" t="str">
        <f>IF(AND(Tabela1[[#This Row],[Data nascimento]]&gt;=$L$2,Tabela1[[#This Row],[Data nascimento]]&lt;=$K$2),"INFANTIL B",I181)</f>
        <v>JUVENIL</v>
      </c>
      <c r="I181" s="9" t="str">
        <f>IF(AND(Tabela1[[#This Row],[Data nascimento]]&gt;=$N$2,Tabela1[[#This Row],[Data nascimento]]&lt;=$M$2),"INICIADO",J181)</f>
        <v>JUVENIL</v>
      </c>
      <c r="J181" s="9" t="str">
        <f>IF(AND(Tabela1[[#This Row],[Data nascimento]]&gt;=$P$2,Tabela1[[#This Row],[Data nascimento]]&lt;=$O$2),"JUVENIL","JÚNIOR")</f>
        <v>JUVENIL</v>
      </c>
    </row>
    <row r="182" spans="1:10" ht="15" x14ac:dyDescent="0.4">
      <c r="A182" s="13" t="s">
        <v>1736</v>
      </c>
      <c r="B182" s="2" t="s">
        <v>1737</v>
      </c>
      <c r="C182" s="4" t="s">
        <v>8</v>
      </c>
      <c r="D182" s="11">
        <v>39996</v>
      </c>
      <c r="E182" s="7" t="s">
        <v>1738</v>
      </c>
      <c r="F182" s="4" t="s">
        <v>4731</v>
      </c>
      <c r="G182" s="12" t="str">
        <f>IF(AND(Tabela1[[#This Row],[Data nascimento]]&gt;=$J$2,Tabela1[[#This Row],[Data nascimento]]&lt;=$I$2),"INFANTIL A",H182)</f>
        <v>JUVENIL</v>
      </c>
      <c r="H182" s="3" t="str">
        <f>IF(AND(Tabela1[[#This Row],[Data nascimento]]&gt;=$L$2,Tabela1[[#This Row],[Data nascimento]]&lt;=$K$2),"INFANTIL B",I182)</f>
        <v>JUVENIL</v>
      </c>
      <c r="I182" s="9" t="str">
        <f>IF(AND(Tabela1[[#This Row],[Data nascimento]]&gt;=$N$2,Tabela1[[#This Row],[Data nascimento]]&lt;=$M$2),"INICIADO",J182)</f>
        <v>JUVENIL</v>
      </c>
      <c r="J182" s="9" t="str">
        <f>IF(AND(Tabela1[[#This Row],[Data nascimento]]&gt;=$P$2,Tabela1[[#This Row],[Data nascimento]]&lt;=$O$2),"JUVENIL","JÚNIOR")</f>
        <v>JUVENIL</v>
      </c>
    </row>
    <row r="183" spans="1:10" ht="15" x14ac:dyDescent="0.4">
      <c r="A183" s="13" t="s">
        <v>1115</v>
      </c>
      <c r="B183" s="2" t="s">
        <v>1116</v>
      </c>
      <c r="C183" s="4" t="s">
        <v>8</v>
      </c>
      <c r="D183" s="11">
        <v>39748</v>
      </c>
      <c r="E183" s="7" t="s">
        <v>1117</v>
      </c>
      <c r="F183" s="4" t="s">
        <v>4721</v>
      </c>
      <c r="G183" s="12" t="str">
        <f>IF(AND(Tabela1[[#This Row],[Data nascimento]]&gt;=$J$2,Tabela1[[#This Row],[Data nascimento]]&lt;=$I$2),"INFANTIL A",H183)</f>
        <v>JUVENIL</v>
      </c>
      <c r="H183" s="3" t="str">
        <f>IF(AND(Tabela1[[#This Row],[Data nascimento]]&gt;=$L$2,Tabela1[[#This Row],[Data nascimento]]&lt;=$K$2),"INFANTIL B",I183)</f>
        <v>JUVENIL</v>
      </c>
      <c r="I183" s="9" t="str">
        <f>IF(AND(Tabela1[[#This Row],[Data nascimento]]&gt;=$N$2,Tabela1[[#This Row],[Data nascimento]]&lt;=$M$2),"INICIADO",J183)</f>
        <v>JUVENIL</v>
      </c>
      <c r="J183" s="9" t="str">
        <f>IF(AND(Tabela1[[#This Row],[Data nascimento]]&gt;=$P$2,Tabela1[[#This Row],[Data nascimento]]&lt;=$O$2),"JUVENIL","JÚNIOR")</f>
        <v>JUVENIL</v>
      </c>
    </row>
    <row r="184" spans="1:10" ht="15" x14ac:dyDescent="0.4">
      <c r="A184" s="13" t="s">
        <v>1118</v>
      </c>
      <c r="B184" s="2" t="s">
        <v>1119</v>
      </c>
      <c r="C184" s="4" t="s">
        <v>8</v>
      </c>
      <c r="D184" s="11">
        <v>39489</v>
      </c>
      <c r="E184" s="7" t="s">
        <v>1120</v>
      </c>
      <c r="F184" s="4" t="s">
        <v>4721</v>
      </c>
      <c r="G184" s="12" t="str">
        <f>IF(AND(Tabela1[[#This Row],[Data nascimento]]&gt;=$J$2,Tabela1[[#This Row],[Data nascimento]]&lt;=$I$2),"INFANTIL A",H184)</f>
        <v>JUVENIL</v>
      </c>
      <c r="H184" s="3" t="str">
        <f>IF(AND(Tabela1[[#This Row],[Data nascimento]]&gt;=$L$2,Tabela1[[#This Row],[Data nascimento]]&lt;=$K$2),"INFANTIL B",I184)</f>
        <v>JUVENIL</v>
      </c>
      <c r="I184" s="9" t="str">
        <f>IF(AND(Tabela1[[#This Row],[Data nascimento]]&gt;=$N$2,Tabela1[[#This Row],[Data nascimento]]&lt;=$M$2),"INICIADO",J184)</f>
        <v>JUVENIL</v>
      </c>
      <c r="J184" s="9" t="str">
        <f>IF(AND(Tabela1[[#This Row],[Data nascimento]]&gt;=$P$2,Tabela1[[#This Row],[Data nascimento]]&lt;=$O$2),"JUVENIL","JÚNIOR")</f>
        <v>JUVENIL</v>
      </c>
    </row>
    <row r="185" spans="1:10" ht="15" x14ac:dyDescent="0.4">
      <c r="A185" s="13" t="s">
        <v>1148</v>
      </c>
      <c r="B185" s="2" t="s">
        <v>1149</v>
      </c>
      <c r="C185" s="4" t="s">
        <v>8</v>
      </c>
      <c r="D185" s="11">
        <v>40334</v>
      </c>
      <c r="E185" s="7" t="s">
        <v>1150</v>
      </c>
      <c r="F185" s="4" t="s">
        <v>4721</v>
      </c>
      <c r="G185" s="12" t="str">
        <f>IF(AND(Tabela1[[#This Row],[Data nascimento]]&gt;=$J$2,Tabela1[[#This Row],[Data nascimento]]&lt;=$I$2),"INFANTIL A",H185)</f>
        <v>JUVENIL</v>
      </c>
      <c r="H185" s="3" t="str">
        <f>IF(AND(Tabela1[[#This Row],[Data nascimento]]&gt;=$L$2,Tabela1[[#This Row],[Data nascimento]]&lt;=$K$2),"INFANTIL B",I185)</f>
        <v>JUVENIL</v>
      </c>
      <c r="I185" s="9" t="str">
        <f>IF(AND(Tabela1[[#This Row],[Data nascimento]]&gt;=$N$2,Tabela1[[#This Row],[Data nascimento]]&lt;=$M$2),"INICIADO",J185)</f>
        <v>JUVENIL</v>
      </c>
      <c r="J185" s="9" t="str">
        <f>IF(AND(Tabela1[[#This Row],[Data nascimento]]&gt;=$P$2,Tabela1[[#This Row],[Data nascimento]]&lt;=$O$2),"JUVENIL","JÚNIOR")</f>
        <v>JUVENIL</v>
      </c>
    </row>
    <row r="186" spans="1:10" ht="15" x14ac:dyDescent="0.4">
      <c r="A186" s="13" t="s">
        <v>1208</v>
      </c>
      <c r="B186" s="2" t="s">
        <v>1209</v>
      </c>
      <c r="C186" s="4" t="s">
        <v>8</v>
      </c>
      <c r="D186" s="11">
        <v>40465</v>
      </c>
      <c r="E186" s="7" t="s">
        <v>1210</v>
      </c>
      <c r="F186" s="4" t="s">
        <v>4721</v>
      </c>
      <c r="G186" s="12" t="str">
        <f>IF(AND(Tabela1[[#This Row],[Data nascimento]]&gt;=$J$2,Tabela1[[#This Row],[Data nascimento]]&lt;=$I$2),"INFANTIL A",H186)</f>
        <v>JUVENIL</v>
      </c>
      <c r="H186" s="3" t="str">
        <f>IF(AND(Tabela1[[#This Row],[Data nascimento]]&gt;=$L$2,Tabela1[[#This Row],[Data nascimento]]&lt;=$K$2),"INFANTIL B",I186)</f>
        <v>JUVENIL</v>
      </c>
      <c r="I186" s="9" t="str">
        <f>IF(AND(Tabela1[[#This Row],[Data nascimento]]&gt;=$N$2,Tabela1[[#This Row],[Data nascimento]]&lt;=$M$2),"INICIADO",J186)</f>
        <v>JUVENIL</v>
      </c>
      <c r="J186" s="9" t="str">
        <f>IF(AND(Tabela1[[#This Row],[Data nascimento]]&gt;=$P$2,Tabela1[[#This Row],[Data nascimento]]&lt;=$O$2),"JUVENIL","JÚNIOR")</f>
        <v>JUVENIL</v>
      </c>
    </row>
    <row r="187" spans="1:10" ht="15" x14ac:dyDescent="0.4">
      <c r="A187" s="13" t="s">
        <v>1214</v>
      </c>
      <c r="B187" s="2" t="s">
        <v>1215</v>
      </c>
      <c r="C187" s="4" t="s">
        <v>8</v>
      </c>
      <c r="D187" s="11">
        <v>40407</v>
      </c>
      <c r="E187" s="7" t="s">
        <v>1216</v>
      </c>
      <c r="F187" s="4" t="s">
        <v>4721</v>
      </c>
      <c r="G187" s="12" t="str">
        <f>IF(AND(Tabela1[[#This Row],[Data nascimento]]&gt;=$J$2,Tabela1[[#This Row],[Data nascimento]]&lt;=$I$2),"INFANTIL A",H187)</f>
        <v>JUVENIL</v>
      </c>
      <c r="H187" s="3" t="str">
        <f>IF(AND(Tabela1[[#This Row],[Data nascimento]]&gt;=$L$2,Tabela1[[#This Row],[Data nascimento]]&lt;=$K$2),"INFANTIL B",I187)</f>
        <v>JUVENIL</v>
      </c>
      <c r="I187" s="9" t="str">
        <f>IF(AND(Tabela1[[#This Row],[Data nascimento]]&gt;=$N$2,Tabela1[[#This Row],[Data nascimento]]&lt;=$M$2),"INICIADO",J187)</f>
        <v>JUVENIL</v>
      </c>
      <c r="J187" s="9" t="str">
        <f>IF(AND(Tabela1[[#This Row],[Data nascimento]]&gt;=$P$2,Tabela1[[#This Row],[Data nascimento]]&lt;=$O$2),"JUVENIL","JÚNIOR")</f>
        <v>JUVENIL</v>
      </c>
    </row>
    <row r="188" spans="1:10" ht="15" x14ac:dyDescent="0.4">
      <c r="A188" s="13" t="s">
        <v>1286</v>
      </c>
      <c r="B188" s="2" t="s">
        <v>1287</v>
      </c>
      <c r="C188" s="4" t="s">
        <v>8</v>
      </c>
      <c r="D188" s="11">
        <v>40253</v>
      </c>
      <c r="E188" s="7" t="s">
        <v>1288</v>
      </c>
      <c r="F188" s="4" t="s">
        <v>4721</v>
      </c>
      <c r="G188" s="12" t="str">
        <f>IF(AND(Tabela1[[#This Row],[Data nascimento]]&gt;=$J$2,Tabela1[[#This Row],[Data nascimento]]&lt;=$I$2),"INFANTIL A",H188)</f>
        <v>JUVENIL</v>
      </c>
      <c r="H188" s="3" t="str">
        <f>IF(AND(Tabela1[[#This Row],[Data nascimento]]&gt;=$L$2,Tabela1[[#This Row],[Data nascimento]]&lt;=$K$2),"INFANTIL B",I188)</f>
        <v>JUVENIL</v>
      </c>
      <c r="I188" s="9" t="str">
        <f>IF(AND(Tabela1[[#This Row],[Data nascimento]]&gt;=$N$2,Tabela1[[#This Row],[Data nascimento]]&lt;=$M$2),"INICIADO",J188)</f>
        <v>JUVENIL</v>
      </c>
      <c r="J188" s="9" t="str">
        <f>IF(AND(Tabela1[[#This Row],[Data nascimento]]&gt;=$P$2,Tabela1[[#This Row],[Data nascimento]]&lt;=$O$2),"JUVENIL","JÚNIOR")</f>
        <v>JUVENIL</v>
      </c>
    </row>
    <row r="189" spans="1:10" ht="15" x14ac:dyDescent="0.4">
      <c r="A189" s="13" t="s">
        <v>1406</v>
      </c>
      <c r="B189" s="2" t="s">
        <v>1407</v>
      </c>
      <c r="C189" s="4" t="s">
        <v>8</v>
      </c>
      <c r="D189" s="11">
        <v>40235</v>
      </c>
      <c r="E189" s="7" t="s">
        <v>1408</v>
      </c>
      <c r="F189" s="4" t="s">
        <v>4721</v>
      </c>
      <c r="G189" s="12" t="str">
        <f>IF(AND(Tabela1[[#This Row],[Data nascimento]]&gt;=$J$2,Tabela1[[#This Row],[Data nascimento]]&lt;=$I$2),"INFANTIL A",H189)</f>
        <v>JUVENIL</v>
      </c>
      <c r="H189" s="3" t="str">
        <f>IF(AND(Tabela1[[#This Row],[Data nascimento]]&gt;=$L$2,Tabela1[[#This Row],[Data nascimento]]&lt;=$K$2),"INFANTIL B",I189)</f>
        <v>JUVENIL</v>
      </c>
      <c r="I189" s="9" t="str">
        <f>IF(AND(Tabela1[[#This Row],[Data nascimento]]&gt;=$N$2,Tabela1[[#This Row],[Data nascimento]]&lt;=$M$2),"INICIADO",J189)</f>
        <v>JUVENIL</v>
      </c>
      <c r="J189" s="9" t="str">
        <f>IF(AND(Tabela1[[#This Row],[Data nascimento]]&gt;=$P$2,Tabela1[[#This Row],[Data nascimento]]&lt;=$O$2),"JUVENIL","JÚNIOR")</f>
        <v>JUVENIL</v>
      </c>
    </row>
    <row r="190" spans="1:10" ht="15" x14ac:dyDescent="0.4">
      <c r="A190" s="13" t="s">
        <v>1415</v>
      </c>
      <c r="B190" s="2" t="s">
        <v>1416</v>
      </c>
      <c r="C190" s="4" t="s">
        <v>8</v>
      </c>
      <c r="D190" s="11">
        <v>39985</v>
      </c>
      <c r="E190" s="7" t="s">
        <v>1417</v>
      </c>
      <c r="F190" s="4" t="s">
        <v>4721</v>
      </c>
      <c r="G190" s="12" t="str">
        <f>IF(AND(Tabela1[[#This Row],[Data nascimento]]&gt;=$J$2,Tabela1[[#This Row],[Data nascimento]]&lt;=$I$2),"INFANTIL A",H190)</f>
        <v>JUVENIL</v>
      </c>
      <c r="H190" s="3" t="str">
        <f>IF(AND(Tabela1[[#This Row],[Data nascimento]]&gt;=$L$2,Tabela1[[#This Row],[Data nascimento]]&lt;=$K$2),"INFANTIL B",I190)</f>
        <v>JUVENIL</v>
      </c>
      <c r="I190" s="9" t="str">
        <f>IF(AND(Tabela1[[#This Row],[Data nascimento]]&gt;=$N$2,Tabela1[[#This Row],[Data nascimento]]&lt;=$M$2),"INICIADO",J190)</f>
        <v>JUVENIL</v>
      </c>
      <c r="J190" s="9" t="str">
        <f>IF(AND(Tabela1[[#This Row],[Data nascimento]]&gt;=$P$2,Tabela1[[#This Row],[Data nascimento]]&lt;=$O$2),"JUVENIL","JÚNIOR")</f>
        <v>JUVENIL</v>
      </c>
    </row>
    <row r="191" spans="1:10" ht="15" x14ac:dyDescent="0.4">
      <c r="A191" s="13" t="s">
        <v>1430</v>
      </c>
      <c r="B191" s="2" t="s">
        <v>1431</v>
      </c>
      <c r="C191" s="4" t="s">
        <v>8</v>
      </c>
      <c r="D191" s="11">
        <v>39930</v>
      </c>
      <c r="E191" s="7" t="s">
        <v>1432</v>
      </c>
      <c r="F191" s="4" t="s">
        <v>4721</v>
      </c>
      <c r="G191" s="12" t="str">
        <f>IF(AND(Tabela1[[#This Row],[Data nascimento]]&gt;=$J$2,Tabela1[[#This Row],[Data nascimento]]&lt;=$I$2),"INFANTIL A",H191)</f>
        <v>JUVENIL</v>
      </c>
      <c r="H191" s="3" t="str">
        <f>IF(AND(Tabela1[[#This Row],[Data nascimento]]&gt;=$L$2,Tabela1[[#This Row],[Data nascimento]]&lt;=$K$2),"INFANTIL B",I191)</f>
        <v>JUVENIL</v>
      </c>
      <c r="I191" s="9" t="str">
        <f>IF(AND(Tabela1[[#This Row],[Data nascimento]]&gt;=$N$2,Tabela1[[#This Row],[Data nascimento]]&lt;=$M$2),"INICIADO",J191)</f>
        <v>JUVENIL</v>
      </c>
      <c r="J191" s="9" t="str">
        <f>IF(AND(Tabela1[[#This Row],[Data nascimento]]&gt;=$P$2,Tabela1[[#This Row],[Data nascimento]]&lt;=$O$2),"JUVENIL","JÚNIOR")</f>
        <v>JUVENIL</v>
      </c>
    </row>
    <row r="192" spans="1:10" ht="15" x14ac:dyDescent="0.4">
      <c r="A192" s="13" t="s">
        <v>1688</v>
      </c>
      <c r="B192" s="2" t="s">
        <v>1689</v>
      </c>
      <c r="C192" s="4" t="s">
        <v>21</v>
      </c>
      <c r="D192" s="11">
        <v>40050</v>
      </c>
      <c r="E192" s="7" t="s">
        <v>1690</v>
      </c>
      <c r="F192" s="4" t="s">
        <v>4715</v>
      </c>
      <c r="G192" s="12" t="str">
        <f>IF(AND(Tabela1[[#This Row],[Data nascimento]]&gt;=$J$2,Tabela1[[#This Row],[Data nascimento]]&lt;=$I$2),"INFANTIL A",H192)</f>
        <v>JUVENIL</v>
      </c>
      <c r="H192" s="3" t="str">
        <f>IF(AND(Tabela1[[#This Row],[Data nascimento]]&gt;=$L$2,Tabela1[[#This Row],[Data nascimento]]&lt;=$K$2),"INFANTIL B",I192)</f>
        <v>JUVENIL</v>
      </c>
      <c r="I192" s="9" t="str">
        <f>IF(AND(Tabela1[[#This Row],[Data nascimento]]&gt;=$N$2,Tabela1[[#This Row],[Data nascimento]]&lt;=$M$2),"INICIADO",J192)</f>
        <v>JUVENIL</v>
      </c>
      <c r="J192" s="9" t="str">
        <f>IF(AND(Tabela1[[#This Row],[Data nascimento]]&gt;=$P$2,Tabela1[[#This Row],[Data nascimento]]&lt;=$O$2),"JUVENIL","JÚNIOR")</f>
        <v>JUVENIL</v>
      </c>
    </row>
    <row r="193" spans="1:10" ht="15" x14ac:dyDescent="0.4">
      <c r="A193" s="13" t="s">
        <v>1442</v>
      </c>
      <c r="B193" s="2" t="s">
        <v>1443</v>
      </c>
      <c r="C193" s="4" t="s">
        <v>8</v>
      </c>
      <c r="D193" s="11">
        <v>39508</v>
      </c>
      <c r="E193" s="7" t="s">
        <v>1444</v>
      </c>
      <c r="F193" s="4" t="s">
        <v>4721</v>
      </c>
      <c r="G193" s="12" t="str">
        <f>IF(AND(Tabela1[[#This Row],[Data nascimento]]&gt;=$J$2,Tabela1[[#This Row],[Data nascimento]]&lt;=$I$2),"INFANTIL A",H193)</f>
        <v>JUVENIL</v>
      </c>
      <c r="H193" s="3" t="str">
        <f>IF(AND(Tabela1[[#This Row],[Data nascimento]]&gt;=$L$2,Tabela1[[#This Row],[Data nascimento]]&lt;=$K$2),"INFANTIL B",I193)</f>
        <v>JUVENIL</v>
      </c>
      <c r="I193" s="9" t="str">
        <f>IF(AND(Tabela1[[#This Row],[Data nascimento]]&gt;=$N$2,Tabela1[[#This Row],[Data nascimento]]&lt;=$M$2),"INICIADO",J193)</f>
        <v>JUVENIL</v>
      </c>
      <c r="J193" s="9" t="str">
        <f>IF(AND(Tabela1[[#This Row],[Data nascimento]]&gt;=$P$2,Tabela1[[#This Row],[Data nascimento]]&lt;=$O$2),"JUVENIL","JÚNIOR")</f>
        <v>JUVENIL</v>
      </c>
    </row>
    <row r="194" spans="1:10" ht="15" x14ac:dyDescent="0.4">
      <c r="A194" s="13" t="s">
        <v>1694</v>
      </c>
      <c r="B194" s="2" t="s">
        <v>1695</v>
      </c>
      <c r="C194" s="4" t="s">
        <v>21</v>
      </c>
      <c r="D194" s="11">
        <v>40300</v>
      </c>
      <c r="E194" s="7" t="s">
        <v>1696</v>
      </c>
      <c r="F194" s="4" t="s">
        <v>4717</v>
      </c>
      <c r="G194" s="12" t="str">
        <f>IF(AND(Tabela1[[#This Row],[Data nascimento]]&gt;=$J$2,Tabela1[[#This Row],[Data nascimento]]&lt;=$I$2),"INFANTIL A",H194)</f>
        <v>JUVENIL</v>
      </c>
      <c r="H194" s="3" t="str">
        <f>IF(AND(Tabela1[[#This Row],[Data nascimento]]&gt;=$L$2,Tabela1[[#This Row],[Data nascimento]]&lt;=$K$2),"INFANTIL B",I194)</f>
        <v>JUVENIL</v>
      </c>
      <c r="I194" s="9" t="str">
        <f>IF(AND(Tabela1[[#This Row],[Data nascimento]]&gt;=$N$2,Tabela1[[#This Row],[Data nascimento]]&lt;=$M$2),"INICIADO",J194)</f>
        <v>JUVENIL</v>
      </c>
      <c r="J194" s="9" t="str">
        <f>IF(AND(Tabela1[[#This Row],[Data nascimento]]&gt;=$P$2,Tabela1[[#This Row],[Data nascimento]]&lt;=$O$2),"JUVENIL","JÚNIOR")</f>
        <v>JUVENIL</v>
      </c>
    </row>
    <row r="195" spans="1:10" ht="15" x14ac:dyDescent="0.4">
      <c r="A195" s="13" t="s">
        <v>1496</v>
      </c>
      <c r="B195" s="2" t="s">
        <v>1497</v>
      </c>
      <c r="C195" s="4" t="s">
        <v>8</v>
      </c>
      <c r="D195" s="11">
        <v>40357</v>
      </c>
      <c r="E195" s="7" t="s">
        <v>1498</v>
      </c>
      <c r="F195" s="4" t="s">
        <v>4721</v>
      </c>
      <c r="G195" s="12" t="str">
        <f>IF(AND(Tabela1[[#This Row],[Data nascimento]]&gt;=$J$2,Tabela1[[#This Row],[Data nascimento]]&lt;=$I$2),"INFANTIL A",H195)</f>
        <v>JUVENIL</v>
      </c>
      <c r="H195" s="3" t="str">
        <f>IF(AND(Tabela1[[#This Row],[Data nascimento]]&gt;=$L$2,Tabela1[[#This Row],[Data nascimento]]&lt;=$K$2),"INFANTIL B",I195)</f>
        <v>JUVENIL</v>
      </c>
      <c r="I195" s="9" t="str">
        <f>IF(AND(Tabela1[[#This Row],[Data nascimento]]&gt;=$N$2,Tabela1[[#This Row],[Data nascimento]]&lt;=$M$2),"INICIADO",J195)</f>
        <v>JUVENIL</v>
      </c>
      <c r="J195" s="9" t="str">
        <f>IF(AND(Tabela1[[#This Row],[Data nascimento]]&gt;=$P$2,Tabela1[[#This Row],[Data nascimento]]&lt;=$O$2),"JUVENIL","JÚNIOR")</f>
        <v>JUVENIL</v>
      </c>
    </row>
    <row r="196" spans="1:10" ht="15" x14ac:dyDescent="0.4">
      <c r="A196" s="13" t="s">
        <v>1511</v>
      </c>
      <c r="B196" s="2" t="s">
        <v>1512</v>
      </c>
      <c r="C196" s="4" t="s">
        <v>8</v>
      </c>
      <c r="D196" s="11">
        <v>40352</v>
      </c>
      <c r="E196" s="7" t="s">
        <v>1513</v>
      </c>
      <c r="F196" s="4" t="s">
        <v>4721</v>
      </c>
      <c r="G196" s="12" t="str">
        <f>IF(AND(Tabela1[[#This Row],[Data nascimento]]&gt;=$J$2,Tabela1[[#This Row],[Data nascimento]]&lt;=$I$2),"INFANTIL A",H196)</f>
        <v>JUVENIL</v>
      </c>
      <c r="H196" s="3" t="str">
        <f>IF(AND(Tabela1[[#This Row],[Data nascimento]]&gt;=$L$2,Tabela1[[#This Row],[Data nascimento]]&lt;=$K$2),"INFANTIL B",I196)</f>
        <v>JUVENIL</v>
      </c>
      <c r="I196" s="9" t="str">
        <f>IF(AND(Tabela1[[#This Row],[Data nascimento]]&gt;=$N$2,Tabela1[[#This Row],[Data nascimento]]&lt;=$M$2),"INICIADO",J196)</f>
        <v>JUVENIL</v>
      </c>
      <c r="J196" s="9" t="str">
        <f>IF(AND(Tabela1[[#This Row],[Data nascimento]]&gt;=$P$2,Tabela1[[#This Row],[Data nascimento]]&lt;=$O$2),"JUVENIL","JÚNIOR")</f>
        <v>JUVENIL</v>
      </c>
    </row>
    <row r="197" spans="1:10" ht="15" x14ac:dyDescent="0.4">
      <c r="A197" s="13" t="s">
        <v>1703</v>
      </c>
      <c r="B197" s="2" t="s">
        <v>1704</v>
      </c>
      <c r="C197" s="4" t="s">
        <v>21</v>
      </c>
      <c r="D197" s="11">
        <v>39963</v>
      </c>
      <c r="E197" s="7" t="s">
        <v>1705</v>
      </c>
      <c r="F197" s="4" t="s">
        <v>4720</v>
      </c>
      <c r="G197" s="12" t="str">
        <f>IF(AND(Tabela1[[#This Row],[Data nascimento]]&gt;=$J$2,Tabela1[[#This Row],[Data nascimento]]&lt;=$I$2),"INFANTIL A",H197)</f>
        <v>JUVENIL</v>
      </c>
      <c r="H197" s="3" t="str">
        <f>IF(AND(Tabela1[[#This Row],[Data nascimento]]&gt;=$L$2,Tabela1[[#This Row],[Data nascimento]]&lt;=$K$2),"INFANTIL B",I197)</f>
        <v>JUVENIL</v>
      </c>
      <c r="I197" s="9" t="str">
        <f>IF(AND(Tabela1[[#This Row],[Data nascimento]]&gt;=$N$2,Tabela1[[#This Row],[Data nascimento]]&lt;=$M$2),"INICIADO",J197)</f>
        <v>JUVENIL</v>
      </c>
      <c r="J197" s="9" t="str">
        <f>IF(AND(Tabela1[[#This Row],[Data nascimento]]&gt;=$P$2,Tabela1[[#This Row],[Data nascimento]]&lt;=$O$2),"JUVENIL","JÚNIOR")</f>
        <v>JUVENIL</v>
      </c>
    </row>
    <row r="198" spans="1:10" ht="15" x14ac:dyDescent="0.4">
      <c r="A198" s="13" t="s">
        <v>1559</v>
      </c>
      <c r="B198" s="2" t="s">
        <v>1560</v>
      </c>
      <c r="C198" s="4" t="s">
        <v>8</v>
      </c>
      <c r="D198" s="11">
        <v>39561</v>
      </c>
      <c r="E198" s="7" t="s">
        <v>1561</v>
      </c>
      <c r="F198" s="4" t="s">
        <v>4721</v>
      </c>
      <c r="G198" s="12" t="str">
        <f>IF(AND(Tabela1[[#This Row],[Data nascimento]]&gt;=$J$2,Tabela1[[#This Row],[Data nascimento]]&lt;=$I$2),"INFANTIL A",H198)</f>
        <v>JUVENIL</v>
      </c>
      <c r="H198" s="3" t="str">
        <f>IF(AND(Tabela1[[#This Row],[Data nascimento]]&gt;=$L$2,Tabela1[[#This Row],[Data nascimento]]&lt;=$K$2),"INFANTIL B",I198)</f>
        <v>JUVENIL</v>
      </c>
      <c r="I198" s="9" t="str">
        <f>IF(AND(Tabela1[[#This Row],[Data nascimento]]&gt;=$N$2,Tabela1[[#This Row],[Data nascimento]]&lt;=$M$2),"INICIADO",J198)</f>
        <v>JUVENIL</v>
      </c>
      <c r="J198" s="9" t="str">
        <f>IF(AND(Tabela1[[#This Row],[Data nascimento]]&gt;=$P$2,Tabela1[[#This Row],[Data nascimento]]&lt;=$O$2),"JUVENIL","JÚNIOR")</f>
        <v>JUVENIL</v>
      </c>
    </row>
    <row r="199" spans="1:10" ht="15" x14ac:dyDescent="0.4">
      <c r="A199" s="13" t="s">
        <v>1715</v>
      </c>
      <c r="B199" s="2" t="s">
        <v>1716</v>
      </c>
      <c r="C199" s="4" t="s">
        <v>21</v>
      </c>
      <c r="D199" s="11">
        <v>40328</v>
      </c>
      <c r="E199" s="7" t="s">
        <v>1717</v>
      </c>
      <c r="F199" s="4" t="s">
        <v>4721</v>
      </c>
      <c r="G199" s="12" t="str">
        <f>IF(AND(Tabela1[[#This Row],[Data nascimento]]&gt;=$J$2,Tabela1[[#This Row],[Data nascimento]]&lt;=$I$2),"INFANTIL A",H199)</f>
        <v>JUVENIL</v>
      </c>
      <c r="H199" s="3" t="str">
        <f>IF(AND(Tabela1[[#This Row],[Data nascimento]]&gt;=$L$2,Tabela1[[#This Row],[Data nascimento]]&lt;=$K$2),"INFANTIL B",I199)</f>
        <v>JUVENIL</v>
      </c>
      <c r="I199" s="9" t="str">
        <f>IF(AND(Tabela1[[#This Row],[Data nascimento]]&gt;=$N$2,Tabela1[[#This Row],[Data nascimento]]&lt;=$M$2),"INICIADO",J199)</f>
        <v>JUVENIL</v>
      </c>
      <c r="J199" s="9" t="str">
        <f>IF(AND(Tabela1[[#This Row],[Data nascimento]]&gt;=$P$2,Tabela1[[#This Row],[Data nascimento]]&lt;=$O$2),"JUVENIL","JÚNIOR")</f>
        <v>JUVENIL</v>
      </c>
    </row>
    <row r="200" spans="1:10" ht="15" x14ac:dyDescent="0.4">
      <c r="A200" s="13" t="s">
        <v>1718</v>
      </c>
      <c r="B200" s="2" t="s">
        <v>1719</v>
      </c>
      <c r="C200" s="4" t="s">
        <v>21</v>
      </c>
      <c r="D200" s="11">
        <v>39849</v>
      </c>
      <c r="E200" s="7" t="s">
        <v>1720</v>
      </c>
      <c r="F200" s="4" t="s">
        <v>4720</v>
      </c>
      <c r="G200" s="12" t="str">
        <f>IF(AND(Tabela1[[#This Row],[Data nascimento]]&gt;=$J$2,Tabela1[[#This Row],[Data nascimento]]&lt;=$I$2),"INFANTIL A",H200)</f>
        <v>JUVENIL</v>
      </c>
      <c r="H200" s="3" t="str">
        <f>IF(AND(Tabela1[[#This Row],[Data nascimento]]&gt;=$L$2,Tabela1[[#This Row],[Data nascimento]]&lt;=$K$2),"INFANTIL B",I200)</f>
        <v>JUVENIL</v>
      </c>
      <c r="I200" s="9" t="str">
        <f>IF(AND(Tabela1[[#This Row],[Data nascimento]]&gt;=$N$2,Tabela1[[#This Row],[Data nascimento]]&lt;=$M$2),"INICIADO",J200)</f>
        <v>JUVENIL</v>
      </c>
      <c r="J200" s="9" t="str">
        <f>IF(AND(Tabela1[[#This Row],[Data nascimento]]&gt;=$P$2,Tabela1[[#This Row],[Data nascimento]]&lt;=$O$2),"JUVENIL","JÚNIOR")</f>
        <v>JUVENIL</v>
      </c>
    </row>
    <row r="201" spans="1:10" ht="15" x14ac:dyDescent="0.4">
      <c r="A201" s="13" t="s">
        <v>1685</v>
      </c>
      <c r="B201" s="2" t="s">
        <v>1686</v>
      </c>
      <c r="C201" s="4" t="s">
        <v>8</v>
      </c>
      <c r="D201" s="11">
        <v>40302</v>
      </c>
      <c r="E201" s="7" t="s">
        <v>1687</v>
      </c>
      <c r="F201" s="4" t="s">
        <v>4721</v>
      </c>
      <c r="G201" s="12" t="str">
        <f>IF(AND(Tabela1[[#This Row],[Data nascimento]]&gt;=$J$2,Tabela1[[#This Row],[Data nascimento]]&lt;=$I$2),"INFANTIL A",H201)</f>
        <v>JUVENIL</v>
      </c>
      <c r="H201" s="3" t="str">
        <f>IF(AND(Tabela1[[#This Row],[Data nascimento]]&gt;=$L$2,Tabela1[[#This Row],[Data nascimento]]&lt;=$K$2),"INFANTIL B",I201)</f>
        <v>JUVENIL</v>
      </c>
      <c r="I201" s="9" t="str">
        <f>IF(AND(Tabela1[[#This Row],[Data nascimento]]&gt;=$N$2,Tabela1[[#This Row],[Data nascimento]]&lt;=$M$2),"INICIADO",J201)</f>
        <v>JUVENIL</v>
      </c>
      <c r="J201" s="9" t="str">
        <f>IF(AND(Tabela1[[#This Row],[Data nascimento]]&gt;=$P$2,Tabela1[[#This Row],[Data nascimento]]&lt;=$O$2),"JUVENIL","JÚNIOR")</f>
        <v>JUVENIL</v>
      </c>
    </row>
    <row r="202" spans="1:10" ht="15" x14ac:dyDescent="0.4">
      <c r="A202" s="13" t="s">
        <v>1691</v>
      </c>
      <c r="B202" s="2" t="s">
        <v>1692</v>
      </c>
      <c r="C202" s="4" t="s">
        <v>8</v>
      </c>
      <c r="D202" s="11">
        <v>40191</v>
      </c>
      <c r="E202" s="7" t="s">
        <v>1693</v>
      </c>
      <c r="F202" s="4" t="s">
        <v>4721</v>
      </c>
      <c r="G202" s="12" t="str">
        <f>IF(AND(Tabela1[[#This Row],[Data nascimento]]&gt;=$J$2,Tabela1[[#This Row],[Data nascimento]]&lt;=$I$2),"INFANTIL A",H202)</f>
        <v>JUVENIL</v>
      </c>
      <c r="H202" s="3" t="str">
        <f>IF(AND(Tabela1[[#This Row],[Data nascimento]]&gt;=$L$2,Tabela1[[#This Row],[Data nascimento]]&lt;=$K$2),"INFANTIL B",I202)</f>
        <v>JUVENIL</v>
      </c>
      <c r="I202" s="9" t="str">
        <f>IF(AND(Tabela1[[#This Row],[Data nascimento]]&gt;=$N$2,Tabela1[[#This Row],[Data nascimento]]&lt;=$M$2),"INICIADO",J202)</f>
        <v>JUVENIL</v>
      </c>
      <c r="J202" s="9" t="str">
        <f>IF(AND(Tabela1[[#This Row],[Data nascimento]]&gt;=$P$2,Tabela1[[#This Row],[Data nascimento]]&lt;=$O$2),"JUVENIL","JÚNIOR")</f>
        <v>JUVENIL</v>
      </c>
    </row>
    <row r="203" spans="1:10" ht="15" x14ac:dyDescent="0.4">
      <c r="A203" s="13" t="s">
        <v>1727</v>
      </c>
      <c r="B203" s="2" t="s">
        <v>1728</v>
      </c>
      <c r="C203" s="4" t="s">
        <v>21</v>
      </c>
      <c r="D203" s="11">
        <v>40425</v>
      </c>
      <c r="E203" s="7" t="s">
        <v>1729</v>
      </c>
      <c r="F203" s="4" t="s">
        <v>4721</v>
      </c>
      <c r="G203" s="12" t="str">
        <f>IF(AND(Tabela1[[#This Row],[Data nascimento]]&gt;=$J$2,Tabela1[[#This Row],[Data nascimento]]&lt;=$I$2),"INFANTIL A",H203)</f>
        <v>JUVENIL</v>
      </c>
      <c r="H203" s="3" t="str">
        <f>IF(AND(Tabela1[[#This Row],[Data nascimento]]&gt;=$L$2,Tabela1[[#This Row],[Data nascimento]]&lt;=$K$2),"INFANTIL B",I203)</f>
        <v>JUVENIL</v>
      </c>
      <c r="I203" s="9" t="str">
        <f>IF(AND(Tabela1[[#This Row],[Data nascimento]]&gt;=$N$2,Tabela1[[#This Row],[Data nascimento]]&lt;=$M$2),"INICIADO",J203)</f>
        <v>JUVENIL</v>
      </c>
      <c r="J203" s="9" t="str">
        <f>IF(AND(Tabela1[[#This Row],[Data nascimento]]&gt;=$P$2,Tabela1[[#This Row],[Data nascimento]]&lt;=$O$2),"JUVENIL","JÚNIOR")</f>
        <v>JUVENIL</v>
      </c>
    </row>
    <row r="204" spans="1:10" ht="15" x14ac:dyDescent="0.4">
      <c r="A204" s="13" t="s">
        <v>1730</v>
      </c>
      <c r="B204" s="2" t="s">
        <v>1731</v>
      </c>
      <c r="C204" s="4" t="s">
        <v>21</v>
      </c>
      <c r="D204" s="11">
        <v>39800</v>
      </c>
      <c r="E204" s="7" t="s">
        <v>1732</v>
      </c>
      <c r="F204" s="4" t="s">
        <v>4714</v>
      </c>
      <c r="G204" s="12" t="str">
        <f>IF(AND(Tabela1[[#This Row],[Data nascimento]]&gt;=$J$2,Tabela1[[#This Row],[Data nascimento]]&lt;=$I$2),"INFANTIL A",H204)</f>
        <v>JUVENIL</v>
      </c>
      <c r="H204" s="3" t="str">
        <f>IF(AND(Tabela1[[#This Row],[Data nascimento]]&gt;=$L$2,Tabela1[[#This Row],[Data nascimento]]&lt;=$K$2),"INFANTIL B",I204)</f>
        <v>JUVENIL</v>
      </c>
      <c r="I204" s="9" t="str">
        <f>IF(AND(Tabela1[[#This Row],[Data nascimento]]&gt;=$N$2,Tabela1[[#This Row],[Data nascimento]]&lt;=$M$2),"INICIADO",J204)</f>
        <v>JUVENIL</v>
      </c>
      <c r="J204" s="9" t="str">
        <f>IF(AND(Tabela1[[#This Row],[Data nascimento]]&gt;=$P$2,Tabela1[[#This Row],[Data nascimento]]&lt;=$O$2),"JUVENIL","JÚNIOR")</f>
        <v>JUVENIL</v>
      </c>
    </row>
    <row r="205" spans="1:10" ht="15" x14ac:dyDescent="0.4">
      <c r="A205" s="13" t="s">
        <v>1733</v>
      </c>
      <c r="B205" s="2" t="s">
        <v>1734</v>
      </c>
      <c r="C205" s="4" t="s">
        <v>21</v>
      </c>
      <c r="D205" s="11">
        <v>40017</v>
      </c>
      <c r="E205" s="7" t="s">
        <v>1735</v>
      </c>
      <c r="F205" s="4" t="s">
        <v>4717</v>
      </c>
      <c r="G205" s="12" t="str">
        <f>IF(AND(Tabela1[[#This Row],[Data nascimento]]&gt;=$J$2,Tabela1[[#This Row],[Data nascimento]]&lt;=$I$2),"INFANTIL A",H205)</f>
        <v>JUVENIL</v>
      </c>
      <c r="H205" s="3" t="str">
        <f>IF(AND(Tabela1[[#This Row],[Data nascimento]]&gt;=$L$2,Tabela1[[#This Row],[Data nascimento]]&lt;=$K$2),"INFANTIL B",I205)</f>
        <v>JUVENIL</v>
      </c>
      <c r="I205" s="9" t="str">
        <f>IF(AND(Tabela1[[#This Row],[Data nascimento]]&gt;=$N$2,Tabela1[[#This Row],[Data nascimento]]&lt;=$M$2),"INICIADO",J205)</f>
        <v>JUVENIL</v>
      </c>
      <c r="J205" s="9" t="str">
        <f>IF(AND(Tabela1[[#This Row],[Data nascimento]]&gt;=$P$2,Tabela1[[#This Row],[Data nascimento]]&lt;=$O$2),"JUVENIL","JÚNIOR")</f>
        <v>JUVENIL</v>
      </c>
    </row>
    <row r="206" spans="1:10" ht="15" x14ac:dyDescent="0.4">
      <c r="A206" s="13" t="s">
        <v>1424</v>
      </c>
      <c r="B206" s="2" t="s">
        <v>1425</v>
      </c>
      <c r="C206" s="4" t="s">
        <v>21</v>
      </c>
      <c r="D206" s="11">
        <v>40240</v>
      </c>
      <c r="E206" s="7" t="s">
        <v>1426</v>
      </c>
      <c r="F206" s="4" t="s">
        <v>4720</v>
      </c>
      <c r="G206" s="12" t="str">
        <f>IF(AND(Tabela1[[#This Row],[Data nascimento]]&gt;=$J$2,Tabela1[[#This Row],[Data nascimento]]&lt;=$I$2),"INFANTIL A",H206)</f>
        <v>JUVENIL</v>
      </c>
      <c r="H206" s="3" t="str">
        <f>IF(AND(Tabela1[[#This Row],[Data nascimento]]&gt;=$L$2,Tabela1[[#This Row],[Data nascimento]]&lt;=$K$2),"INFANTIL B",I206)</f>
        <v>JUVENIL</v>
      </c>
      <c r="I206" s="9" t="str">
        <f>IF(AND(Tabela1[[#This Row],[Data nascimento]]&gt;=$N$2,Tabela1[[#This Row],[Data nascimento]]&lt;=$M$2),"INICIADO",J206)</f>
        <v>JUVENIL</v>
      </c>
      <c r="J206" s="9" t="str">
        <f>IF(AND(Tabela1[[#This Row],[Data nascimento]]&gt;=$P$2,Tabela1[[#This Row],[Data nascimento]]&lt;=$O$2),"JUVENIL","JÚNIOR")</f>
        <v>JUVENIL</v>
      </c>
    </row>
    <row r="207" spans="1:10" ht="15" x14ac:dyDescent="0.4">
      <c r="A207" s="13" t="s">
        <v>1721</v>
      </c>
      <c r="B207" s="2" t="s">
        <v>1722</v>
      </c>
      <c r="C207" s="4" t="s">
        <v>8</v>
      </c>
      <c r="D207" s="11">
        <v>39817</v>
      </c>
      <c r="E207" s="7" t="s">
        <v>1723</v>
      </c>
      <c r="F207" s="4" t="s">
        <v>4721</v>
      </c>
      <c r="G207" s="12" t="str">
        <f>IF(AND(Tabela1[[#This Row],[Data nascimento]]&gt;=$J$2,Tabela1[[#This Row],[Data nascimento]]&lt;=$I$2),"INFANTIL A",H207)</f>
        <v>JUVENIL</v>
      </c>
      <c r="H207" s="3" t="str">
        <f>IF(AND(Tabela1[[#This Row],[Data nascimento]]&gt;=$L$2,Tabela1[[#This Row],[Data nascimento]]&lt;=$K$2),"INFANTIL B",I207)</f>
        <v>JUVENIL</v>
      </c>
      <c r="I207" s="9" t="str">
        <f>IF(AND(Tabela1[[#This Row],[Data nascimento]]&gt;=$N$2,Tabela1[[#This Row],[Data nascimento]]&lt;=$M$2),"INICIADO",J207)</f>
        <v>JUVENIL</v>
      </c>
      <c r="J207" s="9" t="str">
        <f>IF(AND(Tabela1[[#This Row],[Data nascimento]]&gt;=$P$2,Tabela1[[#This Row],[Data nascimento]]&lt;=$O$2),"JUVENIL","JÚNIOR")</f>
        <v>JUVENIL</v>
      </c>
    </row>
    <row r="208" spans="1:10" ht="15" x14ac:dyDescent="0.4">
      <c r="A208" s="13" t="s">
        <v>1748</v>
      </c>
      <c r="B208" s="2" t="s">
        <v>1749</v>
      </c>
      <c r="C208" s="4" t="s">
        <v>8</v>
      </c>
      <c r="D208" s="11">
        <v>40003</v>
      </c>
      <c r="E208" s="7" t="s">
        <v>1750</v>
      </c>
      <c r="F208" s="4" t="s">
        <v>4721</v>
      </c>
      <c r="G208" s="12" t="str">
        <f>IF(AND(Tabela1[[#This Row],[Data nascimento]]&gt;=$J$2,Tabela1[[#This Row],[Data nascimento]]&lt;=$I$2),"INFANTIL A",H208)</f>
        <v>JUVENIL</v>
      </c>
      <c r="H208" s="3" t="str">
        <f>IF(AND(Tabela1[[#This Row],[Data nascimento]]&gt;=$L$2,Tabela1[[#This Row],[Data nascimento]]&lt;=$K$2),"INFANTIL B",I208)</f>
        <v>JUVENIL</v>
      </c>
      <c r="I208" s="9" t="str">
        <f>IF(AND(Tabela1[[#This Row],[Data nascimento]]&gt;=$N$2,Tabela1[[#This Row],[Data nascimento]]&lt;=$M$2),"INICIADO",J208)</f>
        <v>JUVENIL</v>
      </c>
      <c r="J208" s="9" t="str">
        <f>IF(AND(Tabela1[[#This Row],[Data nascimento]]&gt;=$P$2,Tabela1[[#This Row],[Data nascimento]]&lt;=$O$2),"JUVENIL","JÚNIOR")</f>
        <v>JUVENIL</v>
      </c>
    </row>
    <row r="209" spans="1:10" ht="15" x14ac:dyDescent="0.4">
      <c r="A209" s="13" t="s">
        <v>1121</v>
      </c>
      <c r="B209" s="2" t="s">
        <v>1122</v>
      </c>
      <c r="C209" s="4" t="s">
        <v>8</v>
      </c>
      <c r="D209" s="11">
        <v>39531</v>
      </c>
      <c r="E209" s="7" t="s">
        <v>1123</v>
      </c>
      <c r="F209" s="4" t="s">
        <v>4717</v>
      </c>
      <c r="G209" s="12" t="str">
        <f>IF(AND(Tabela1[[#This Row],[Data nascimento]]&gt;=$J$2,Tabela1[[#This Row],[Data nascimento]]&lt;=$I$2),"INFANTIL A",H209)</f>
        <v>JUVENIL</v>
      </c>
      <c r="H209" s="3" t="str">
        <f>IF(AND(Tabela1[[#This Row],[Data nascimento]]&gt;=$L$2,Tabela1[[#This Row],[Data nascimento]]&lt;=$K$2),"INFANTIL B",I209)</f>
        <v>JUVENIL</v>
      </c>
      <c r="I209" s="9" t="str">
        <f>IF(AND(Tabela1[[#This Row],[Data nascimento]]&gt;=$N$2,Tabela1[[#This Row],[Data nascimento]]&lt;=$M$2),"INICIADO",J209)</f>
        <v>JUVENIL</v>
      </c>
      <c r="J209" s="9" t="str">
        <f>IF(AND(Tabela1[[#This Row],[Data nascimento]]&gt;=$P$2,Tabela1[[#This Row],[Data nascimento]]&lt;=$O$2),"JUVENIL","JÚNIOR")</f>
        <v>JUVENIL</v>
      </c>
    </row>
    <row r="210" spans="1:10" ht="15" x14ac:dyDescent="0.4">
      <c r="A210" s="13" t="s">
        <v>1136</v>
      </c>
      <c r="B210" s="2" t="s">
        <v>1137</v>
      </c>
      <c r="C210" s="4" t="s">
        <v>8</v>
      </c>
      <c r="D210" s="11">
        <v>40376</v>
      </c>
      <c r="E210" s="7" t="s">
        <v>1138</v>
      </c>
      <c r="F210" s="4" t="s">
        <v>4717</v>
      </c>
      <c r="G210" s="12" t="str">
        <f>IF(AND(Tabela1[[#This Row],[Data nascimento]]&gt;=$J$2,Tabela1[[#This Row],[Data nascimento]]&lt;=$I$2),"INFANTIL A",H210)</f>
        <v>JUVENIL</v>
      </c>
      <c r="H210" s="3" t="str">
        <f>IF(AND(Tabela1[[#This Row],[Data nascimento]]&gt;=$L$2,Tabela1[[#This Row],[Data nascimento]]&lt;=$K$2),"INFANTIL B",I210)</f>
        <v>JUVENIL</v>
      </c>
      <c r="I210" s="9" t="str">
        <f>IF(AND(Tabela1[[#This Row],[Data nascimento]]&gt;=$N$2,Tabela1[[#This Row],[Data nascimento]]&lt;=$M$2),"INICIADO",J210)</f>
        <v>JUVENIL</v>
      </c>
      <c r="J210" s="9" t="str">
        <f>IF(AND(Tabela1[[#This Row],[Data nascimento]]&gt;=$P$2,Tabela1[[#This Row],[Data nascimento]]&lt;=$O$2),"JUVENIL","JÚNIOR")</f>
        <v>JUVENIL</v>
      </c>
    </row>
    <row r="211" spans="1:10" ht="15" x14ac:dyDescent="0.4">
      <c r="A211" s="13" t="s">
        <v>1196</v>
      </c>
      <c r="B211" s="2" t="s">
        <v>1197</v>
      </c>
      <c r="C211" s="4" t="s">
        <v>8</v>
      </c>
      <c r="D211" s="11">
        <v>40223</v>
      </c>
      <c r="E211" s="7" t="s">
        <v>1198</v>
      </c>
      <c r="F211" s="4" t="s">
        <v>4717</v>
      </c>
      <c r="G211" s="12" t="str">
        <f>IF(AND(Tabela1[[#This Row],[Data nascimento]]&gt;=$J$2,Tabela1[[#This Row],[Data nascimento]]&lt;=$I$2),"INFANTIL A",H211)</f>
        <v>JUVENIL</v>
      </c>
      <c r="H211" s="3" t="str">
        <f>IF(AND(Tabela1[[#This Row],[Data nascimento]]&gt;=$L$2,Tabela1[[#This Row],[Data nascimento]]&lt;=$K$2),"INFANTIL B",I211)</f>
        <v>JUVENIL</v>
      </c>
      <c r="I211" s="9" t="str">
        <f>IF(AND(Tabela1[[#This Row],[Data nascimento]]&gt;=$N$2,Tabela1[[#This Row],[Data nascimento]]&lt;=$M$2),"INICIADO",J211)</f>
        <v>JUVENIL</v>
      </c>
      <c r="J211" s="9" t="str">
        <f>IF(AND(Tabela1[[#This Row],[Data nascimento]]&gt;=$P$2,Tabela1[[#This Row],[Data nascimento]]&lt;=$O$2),"JUVENIL","JÚNIOR")</f>
        <v>JUVENIL</v>
      </c>
    </row>
    <row r="212" spans="1:10" ht="15" x14ac:dyDescent="0.4">
      <c r="A212" s="13" t="s">
        <v>1232</v>
      </c>
      <c r="B212" s="2" t="s">
        <v>1233</v>
      </c>
      <c r="C212" s="4" t="s">
        <v>8</v>
      </c>
      <c r="D212" s="11">
        <v>40127</v>
      </c>
      <c r="E212" s="7" t="s">
        <v>1234</v>
      </c>
      <c r="F212" s="4" t="s">
        <v>4717</v>
      </c>
      <c r="G212" s="12" t="str">
        <f>IF(AND(Tabela1[[#This Row],[Data nascimento]]&gt;=$J$2,Tabela1[[#This Row],[Data nascimento]]&lt;=$I$2),"INFANTIL A",H212)</f>
        <v>JUVENIL</v>
      </c>
      <c r="H212" s="3" t="str">
        <f>IF(AND(Tabela1[[#This Row],[Data nascimento]]&gt;=$L$2,Tabela1[[#This Row],[Data nascimento]]&lt;=$K$2),"INFANTIL B",I212)</f>
        <v>JUVENIL</v>
      </c>
      <c r="I212" s="9" t="str">
        <f>IF(AND(Tabela1[[#This Row],[Data nascimento]]&gt;=$N$2,Tabela1[[#This Row],[Data nascimento]]&lt;=$M$2),"INICIADO",J212)</f>
        <v>JUVENIL</v>
      </c>
      <c r="J212" s="9" t="str">
        <f>IF(AND(Tabela1[[#This Row],[Data nascimento]]&gt;=$P$2,Tabela1[[#This Row],[Data nascimento]]&lt;=$O$2),"JUVENIL","JÚNIOR")</f>
        <v>JUVENIL</v>
      </c>
    </row>
    <row r="213" spans="1:10" ht="15" x14ac:dyDescent="0.4">
      <c r="A213" s="13" t="s">
        <v>1331</v>
      </c>
      <c r="B213" s="2" t="s">
        <v>1332</v>
      </c>
      <c r="C213" s="4" t="s">
        <v>8</v>
      </c>
      <c r="D213" s="11">
        <v>40162</v>
      </c>
      <c r="E213" s="7" t="s">
        <v>1333</v>
      </c>
      <c r="F213" s="4" t="s">
        <v>4717</v>
      </c>
      <c r="G213" s="12" t="str">
        <f>IF(AND(Tabela1[[#This Row],[Data nascimento]]&gt;=$J$2,Tabela1[[#This Row],[Data nascimento]]&lt;=$I$2),"INFANTIL A",H213)</f>
        <v>JUVENIL</v>
      </c>
      <c r="H213" s="3" t="str">
        <f>IF(AND(Tabela1[[#This Row],[Data nascimento]]&gt;=$L$2,Tabela1[[#This Row],[Data nascimento]]&lt;=$K$2),"INFANTIL B",I213)</f>
        <v>JUVENIL</v>
      </c>
      <c r="I213" s="9" t="str">
        <f>IF(AND(Tabela1[[#This Row],[Data nascimento]]&gt;=$N$2,Tabela1[[#This Row],[Data nascimento]]&lt;=$M$2),"INICIADO",J213)</f>
        <v>JUVENIL</v>
      </c>
      <c r="J213" s="9" t="str">
        <f>IF(AND(Tabela1[[#This Row],[Data nascimento]]&gt;=$P$2,Tabela1[[#This Row],[Data nascimento]]&lt;=$O$2),"JUVENIL","JÚNIOR")</f>
        <v>JUVENIL</v>
      </c>
    </row>
    <row r="214" spans="1:10" ht="15" x14ac:dyDescent="0.4">
      <c r="A214" s="13" t="s">
        <v>1757</v>
      </c>
      <c r="B214" s="2" t="s">
        <v>1758</v>
      </c>
      <c r="C214" s="4" t="s">
        <v>21</v>
      </c>
      <c r="D214" s="11">
        <v>40375</v>
      </c>
      <c r="E214" s="7" t="s">
        <v>1759</v>
      </c>
      <c r="F214" s="4" t="s">
        <v>4714</v>
      </c>
      <c r="G214" s="12" t="str">
        <f>IF(AND(Tabela1[[#This Row],[Data nascimento]]&gt;=$J$2,Tabela1[[#This Row],[Data nascimento]]&lt;=$I$2),"INFANTIL A",H214)</f>
        <v>JUVENIL</v>
      </c>
      <c r="H214" s="3" t="str">
        <f>IF(AND(Tabela1[[#This Row],[Data nascimento]]&gt;=$L$2,Tabela1[[#This Row],[Data nascimento]]&lt;=$K$2),"INFANTIL B",I214)</f>
        <v>JUVENIL</v>
      </c>
      <c r="I214" s="9" t="str">
        <f>IF(AND(Tabela1[[#This Row],[Data nascimento]]&gt;=$N$2,Tabela1[[#This Row],[Data nascimento]]&lt;=$M$2),"INICIADO",J214)</f>
        <v>JUVENIL</v>
      </c>
      <c r="J214" s="9" t="str">
        <f>IF(AND(Tabela1[[#This Row],[Data nascimento]]&gt;=$P$2,Tabela1[[#This Row],[Data nascimento]]&lt;=$O$2),"JUVENIL","JÚNIOR")</f>
        <v>JUVENIL</v>
      </c>
    </row>
    <row r="215" spans="1:10" ht="15" x14ac:dyDescent="0.4">
      <c r="A215" s="13" t="s">
        <v>1358</v>
      </c>
      <c r="B215" s="2" t="s">
        <v>1359</v>
      </c>
      <c r="C215" s="4" t="s">
        <v>8</v>
      </c>
      <c r="D215" s="11">
        <v>40269</v>
      </c>
      <c r="E215" s="7" t="s">
        <v>1360</v>
      </c>
      <c r="F215" s="4" t="s">
        <v>4717</v>
      </c>
      <c r="G215" s="12" t="str">
        <f>IF(AND(Tabela1[[#This Row],[Data nascimento]]&gt;=$J$2,Tabela1[[#This Row],[Data nascimento]]&lt;=$I$2),"INFANTIL A",H215)</f>
        <v>JUVENIL</v>
      </c>
      <c r="H215" s="3" t="str">
        <f>IF(AND(Tabela1[[#This Row],[Data nascimento]]&gt;=$L$2,Tabela1[[#This Row],[Data nascimento]]&lt;=$K$2),"INFANTIL B",I215)</f>
        <v>JUVENIL</v>
      </c>
      <c r="I215" s="9" t="str">
        <f>IF(AND(Tabela1[[#This Row],[Data nascimento]]&gt;=$N$2,Tabela1[[#This Row],[Data nascimento]]&lt;=$M$2),"INICIADO",J215)</f>
        <v>JUVENIL</v>
      </c>
      <c r="J215" s="9" t="str">
        <f>IF(AND(Tabela1[[#This Row],[Data nascimento]]&gt;=$P$2,Tabela1[[#This Row],[Data nascimento]]&lt;=$O$2),"JUVENIL","JÚNIOR")</f>
        <v>JUVENIL</v>
      </c>
    </row>
    <row r="216" spans="1:10" ht="15" x14ac:dyDescent="0.4">
      <c r="A216" s="13" t="s">
        <v>1328</v>
      </c>
      <c r="B216" s="2" t="s">
        <v>1329</v>
      </c>
      <c r="C216" s="4" t="s">
        <v>21</v>
      </c>
      <c r="D216" s="11">
        <v>40074</v>
      </c>
      <c r="E216" s="7" t="s">
        <v>1330</v>
      </c>
      <c r="F216" s="4" t="s">
        <v>4720</v>
      </c>
      <c r="G216" s="12" t="str">
        <f>IF(AND(Tabela1[[#This Row],[Data nascimento]]&gt;=$J$2,Tabela1[[#This Row],[Data nascimento]]&lt;=$I$2),"INFANTIL A",H216)</f>
        <v>JUVENIL</v>
      </c>
      <c r="H216" s="3" t="str">
        <f>IF(AND(Tabela1[[#This Row],[Data nascimento]]&gt;=$L$2,Tabela1[[#This Row],[Data nascimento]]&lt;=$K$2),"INFANTIL B",I216)</f>
        <v>JUVENIL</v>
      </c>
      <c r="I216" s="9" t="str">
        <f>IF(AND(Tabela1[[#This Row],[Data nascimento]]&gt;=$N$2,Tabela1[[#This Row],[Data nascimento]]&lt;=$M$2),"INICIADO",J216)</f>
        <v>JUVENIL</v>
      </c>
      <c r="J216" s="9" t="str">
        <f>IF(AND(Tabela1[[#This Row],[Data nascimento]]&gt;=$P$2,Tabela1[[#This Row],[Data nascimento]]&lt;=$O$2),"JUVENIL","JÚNIOR")</f>
        <v>JUVENIL</v>
      </c>
    </row>
    <row r="217" spans="1:10" ht="15" x14ac:dyDescent="0.4">
      <c r="A217" s="13" t="s">
        <v>2843</v>
      </c>
      <c r="B217" s="2" t="s">
        <v>2844</v>
      </c>
      <c r="C217" s="4" t="s">
        <v>21</v>
      </c>
      <c r="D217" s="11">
        <v>39567</v>
      </c>
      <c r="E217" s="7" t="s">
        <v>2845</v>
      </c>
      <c r="F217" s="4" t="s">
        <v>4728</v>
      </c>
      <c r="G217" s="12" t="str">
        <f>IF(AND(Tabela1[[#This Row],[Data nascimento]]&gt;=$J$2,Tabela1[[#This Row],[Data nascimento]]&lt;=$I$2),"INFANTIL A",H217)</f>
        <v>JUVENIL</v>
      </c>
      <c r="H217" s="3" t="str">
        <f>IF(AND(Tabela1[[#This Row],[Data nascimento]]&gt;=$L$2,Tabela1[[#This Row],[Data nascimento]]&lt;=$K$2),"INFANTIL B",I217)</f>
        <v>JUVENIL</v>
      </c>
      <c r="I217" s="9" t="str">
        <f>IF(AND(Tabela1[[#This Row],[Data nascimento]]&gt;=$N$2,Tabela1[[#This Row],[Data nascimento]]&lt;=$M$2),"INICIADO",J217)</f>
        <v>JUVENIL</v>
      </c>
      <c r="J217" s="9" t="str">
        <f>IF(AND(Tabela1[[#This Row],[Data nascimento]]&gt;=$P$2,Tabela1[[#This Row],[Data nascimento]]&lt;=$O$2),"JUVENIL","JÚNIOR")</f>
        <v>JUVENIL</v>
      </c>
    </row>
    <row r="218" spans="1:10" ht="15" x14ac:dyDescent="0.4">
      <c r="A218" s="13" t="s">
        <v>2846</v>
      </c>
      <c r="B218" s="2" t="s">
        <v>2847</v>
      </c>
      <c r="C218" s="4" t="s">
        <v>21</v>
      </c>
      <c r="D218" s="11">
        <v>39832</v>
      </c>
      <c r="E218" s="7" t="s">
        <v>2848</v>
      </c>
      <c r="F218" s="4" t="s">
        <v>4728</v>
      </c>
      <c r="G218" s="12" t="str">
        <f>IF(AND(Tabela1[[#This Row],[Data nascimento]]&gt;=$J$2,Tabela1[[#This Row],[Data nascimento]]&lt;=$I$2),"INFANTIL A",H218)</f>
        <v>JUVENIL</v>
      </c>
      <c r="H218" s="3" t="str">
        <f>IF(AND(Tabela1[[#This Row],[Data nascimento]]&gt;=$L$2,Tabela1[[#This Row],[Data nascimento]]&lt;=$K$2),"INFANTIL B",I218)</f>
        <v>JUVENIL</v>
      </c>
      <c r="I218" s="9" t="str">
        <f>IF(AND(Tabela1[[#This Row],[Data nascimento]]&gt;=$N$2,Tabela1[[#This Row],[Data nascimento]]&lt;=$M$2),"INICIADO",J218)</f>
        <v>JUVENIL</v>
      </c>
      <c r="J218" s="9" t="str">
        <f>IF(AND(Tabela1[[#This Row],[Data nascimento]]&gt;=$P$2,Tabela1[[#This Row],[Data nascimento]]&lt;=$O$2),"JUVENIL","JÚNIOR")</f>
        <v>JUVENIL</v>
      </c>
    </row>
    <row r="219" spans="1:10" ht="15" x14ac:dyDescent="0.4">
      <c r="A219" s="13" t="s">
        <v>2849</v>
      </c>
      <c r="B219" s="2" t="s">
        <v>2850</v>
      </c>
      <c r="C219" s="4" t="s">
        <v>21</v>
      </c>
      <c r="D219" s="11">
        <v>39944</v>
      </c>
      <c r="E219" s="7" t="s">
        <v>2851</v>
      </c>
      <c r="F219" s="4" t="s">
        <v>4728</v>
      </c>
      <c r="G219" s="12" t="str">
        <f>IF(AND(Tabela1[[#This Row],[Data nascimento]]&gt;=$J$2,Tabela1[[#This Row],[Data nascimento]]&lt;=$I$2),"INFANTIL A",H219)</f>
        <v>JUVENIL</v>
      </c>
      <c r="H219" s="3" t="str">
        <f>IF(AND(Tabela1[[#This Row],[Data nascimento]]&gt;=$L$2,Tabela1[[#This Row],[Data nascimento]]&lt;=$K$2),"INFANTIL B",I219)</f>
        <v>JUVENIL</v>
      </c>
      <c r="I219" s="9" t="str">
        <f>IF(AND(Tabela1[[#This Row],[Data nascimento]]&gt;=$N$2,Tabela1[[#This Row],[Data nascimento]]&lt;=$M$2),"INICIADO",J219)</f>
        <v>JUVENIL</v>
      </c>
      <c r="J219" s="9" t="str">
        <f>IF(AND(Tabela1[[#This Row],[Data nascimento]]&gt;=$P$2,Tabela1[[#This Row],[Data nascimento]]&lt;=$O$2),"JUVENIL","JÚNIOR")</f>
        <v>JUVENIL</v>
      </c>
    </row>
    <row r="220" spans="1:10" ht="15" x14ac:dyDescent="0.4">
      <c r="A220" s="13" t="s">
        <v>3761</v>
      </c>
      <c r="B220" s="2" t="s">
        <v>3762</v>
      </c>
      <c r="C220" s="4" t="s">
        <v>21</v>
      </c>
      <c r="D220" s="11">
        <v>39679</v>
      </c>
      <c r="E220" s="7" t="s">
        <v>3763</v>
      </c>
      <c r="F220" s="4" t="s">
        <v>4728</v>
      </c>
      <c r="G220" s="12" t="str">
        <f>IF(AND(Tabela1[[#This Row],[Data nascimento]]&gt;=$J$2,Tabela1[[#This Row],[Data nascimento]]&lt;=$I$2),"INFANTIL A",H220)</f>
        <v>JUVENIL</v>
      </c>
      <c r="H220" s="3" t="str">
        <f>IF(AND(Tabela1[[#This Row],[Data nascimento]]&gt;=$L$2,Tabela1[[#This Row],[Data nascimento]]&lt;=$K$2),"INFANTIL B",I220)</f>
        <v>JUVENIL</v>
      </c>
      <c r="I220" s="9" t="str">
        <f>IF(AND(Tabela1[[#This Row],[Data nascimento]]&gt;=$N$2,Tabela1[[#This Row],[Data nascimento]]&lt;=$M$2),"INICIADO",J220)</f>
        <v>JUVENIL</v>
      </c>
      <c r="J220" s="9" t="str">
        <f>IF(AND(Tabela1[[#This Row],[Data nascimento]]&gt;=$P$2,Tabela1[[#This Row],[Data nascimento]]&lt;=$O$2),"JUVENIL","JÚNIOR")</f>
        <v>JUVENIL</v>
      </c>
    </row>
    <row r="221" spans="1:10" ht="15" x14ac:dyDescent="0.4">
      <c r="A221" s="13" t="s">
        <v>3764</v>
      </c>
      <c r="B221" s="2" t="s">
        <v>3765</v>
      </c>
      <c r="C221" s="4" t="s">
        <v>21</v>
      </c>
      <c r="D221" s="11">
        <v>39975</v>
      </c>
      <c r="E221" s="7" t="s">
        <v>3766</v>
      </c>
      <c r="F221" s="4" t="s">
        <v>4723</v>
      </c>
      <c r="G221" s="12" t="str">
        <f>IF(AND(Tabela1[[#This Row],[Data nascimento]]&gt;=$J$2,Tabela1[[#This Row],[Data nascimento]]&lt;=$I$2),"INFANTIL A",H221)</f>
        <v>JUVENIL</v>
      </c>
      <c r="H221" s="3" t="str">
        <f>IF(AND(Tabela1[[#This Row],[Data nascimento]]&gt;=$L$2,Tabela1[[#This Row],[Data nascimento]]&lt;=$K$2),"INFANTIL B",I221)</f>
        <v>JUVENIL</v>
      </c>
      <c r="I221" s="9" t="str">
        <f>IF(AND(Tabela1[[#This Row],[Data nascimento]]&gt;=$N$2,Tabela1[[#This Row],[Data nascimento]]&lt;=$M$2),"INICIADO",J221)</f>
        <v>JUVENIL</v>
      </c>
      <c r="J221" s="9" t="str">
        <f>IF(AND(Tabela1[[#This Row],[Data nascimento]]&gt;=$P$2,Tabela1[[#This Row],[Data nascimento]]&lt;=$O$2),"JUVENIL","JÚNIOR")</f>
        <v>JUVENIL</v>
      </c>
    </row>
    <row r="222" spans="1:10" ht="15" x14ac:dyDescent="0.4">
      <c r="A222" s="13" t="s">
        <v>1514</v>
      </c>
      <c r="B222" s="2" t="s">
        <v>1515</v>
      </c>
      <c r="C222" s="4" t="s">
        <v>8</v>
      </c>
      <c r="D222" s="11">
        <v>39970</v>
      </c>
      <c r="E222" s="7" t="s">
        <v>1516</v>
      </c>
      <c r="F222" s="4" t="s">
        <v>4717</v>
      </c>
      <c r="G222" s="12" t="str">
        <f>IF(AND(Tabela1[[#This Row],[Data nascimento]]&gt;=$J$2,Tabela1[[#This Row],[Data nascimento]]&lt;=$I$2),"INFANTIL A",H222)</f>
        <v>JUVENIL</v>
      </c>
      <c r="H222" s="3" t="str">
        <f>IF(AND(Tabela1[[#This Row],[Data nascimento]]&gt;=$L$2,Tabela1[[#This Row],[Data nascimento]]&lt;=$K$2),"INFANTIL B",I222)</f>
        <v>JUVENIL</v>
      </c>
      <c r="I222" s="9" t="str">
        <f>IF(AND(Tabela1[[#This Row],[Data nascimento]]&gt;=$N$2,Tabela1[[#This Row],[Data nascimento]]&lt;=$M$2),"INICIADO",J222)</f>
        <v>JUVENIL</v>
      </c>
      <c r="J222" s="9" t="str">
        <f>IF(AND(Tabela1[[#This Row],[Data nascimento]]&gt;=$P$2,Tabela1[[#This Row],[Data nascimento]]&lt;=$O$2),"JUVENIL","JÚNIOR")</f>
        <v>JUVENIL</v>
      </c>
    </row>
    <row r="223" spans="1:10" ht="15" x14ac:dyDescent="0.4">
      <c r="A223" s="13" t="s">
        <v>1529</v>
      </c>
      <c r="B223" s="2" t="s">
        <v>1530</v>
      </c>
      <c r="C223" s="4" t="s">
        <v>8</v>
      </c>
      <c r="D223" s="11">
        <v>39808</v>
      </c>
      <c r="E223" s="7" t="s">
        <v>1531</v>
      </c>
      <c r="F223" s="4" t="s">
        <v>4717</v>
      </c>
      <c r="G223" s="12" t="str">
        <f>IF(AND(Tabela1[[#This Row],[Data nascimento]]&gt;=$J$2,Tabela1[[#This Row],[Data nascimento]]&lt;=$I$2),"INFANTIL A",H223)</f>
        <v>JUVENIL</v>
      </c>
      <c r="H223" s="3" t="str">
        <f>IF(AND(Tabela1[[#This Row],[Data nascimento]]&gt;=$L$2,Tabela1[[#This Row],[Data nascimento]]&lt;=$K$2),"INFANTIL B",I223)</f>
        <v>JUVENIL</v>
      </c>
      <c r="I223" s="9" t="str">
        <f>IF(AND(Tabela1[[#This Row],[Data nascimento]]&gt;=$N$2,Tabela1[[#This Row],[Data nascimento]]&lt;=$M$2),"INICIADO",J223)</f>
        <v>JUVENIL</v>
      </c>
      <c r="J223" s="9" t="str">
        <f>IF(AND(Tabela1[[#This Row],[Data nascimento]]&gt;=$P$2,Tabela1[[#This Row],[Data nascimento]]&lt;=$O$2),"JUVENIL","JÚNIOR")</f>
        <v>JUVENIL</v>
      </c>
    </row>
    <row r="224" spans="1:10" ht="15" x14ac:dyDescent="0.4">
      <c r="A224" s="13" t="s">
        <v>1577</v>
      </c>
      <c r="B224" s="2" t="s">
        <v>1578</v>
      </c>
      <c r="C224" s="4" t="s">
        <v>8</v>
      </c>
      <c r="D224" s="11">
        <v>40336</v>
      </c>
      <c r="E224" s="7" t="s">
        <v>1579</v>
      </c>
      <c r="F224" s="4" t="s">
        <v>4717</v>
      </c>
      <c r="G224" s="12" t="str">
        <f>IF(AND(Tabela1[[#This Row],[Data nascimento]]&gt;=$J$2,Tabela1[[#This Row],[Data nascimento]]&lt;=$I$2),"INFANTIL A",H224)</f>
        <v>JUVENIL</v>
      </c>
      <c r="H224" s="3" t="str">
        <f>IF(AND(Tabela1[[#This Row],[Data nascimento]]&gt;=$L$2,Tabela1[[#This Row],[Data nascimento]]&lt;=$K$2),"INFANTIL B",I224)</f>
        <v>JUVENIL</v>
      </c>
      <c r="I224" s="9" t="str">
        <f>IF(AND(Tabela1[[#This Row],[Data nascimento]]&gt;=$N$2,Tabela1[[#This Row],[Data nascimento]]&lt;=$M$2),"INICIADO",J224)</f>
        <v>JUVENIL</v>
      </c>
      <c r="J224" s="9" t="str">
        <f>IF(AND(Tabela1[[#This Row],[Data nascimento]]&gt;=$P$2,Tabela1[[#This Row],[Data nascimento]]&lt;=$O$2),"JUVENIL","JÚNIOR")</f>
        <v>JUVENIL</v>
      </c>
    </row>
    <row r="225" spans="1:10" ht="15" x14ac:dyDescent="0.4">
      <c r="A225" s="13" t="s">
        <v>1640</v>
      </c>
      <c r="B225" s="2" t="s">
        <v>1641</v>
      </c>
      <c r="C225" s="4" t="s">
        <v>8</v>
      </c>
      <c r="D225" s="11">
        <v>39912</v>
      </c>
      <c r="E225" s="7" t="s">
        <v>1642</v>
      </c>
      <c r="F225" s="4" t="s">
        <v>4717</v>
      </c>
      <c r="G225" s="12" t="str">
        <f>IF(AND(Tabela1[[#This Row],[Data nascimento]]&gt;=$J$2,Tabela1[[#This Row],[Data nascimento]]&lt;=$I$2),"INFANTIL A",H225)</f>
        <v>JUVENIL</v>
      </c>
      <c r="H225" s="3" t="str">
        <f>IF(AND(Tabela1[[#This Row],[Data nascimento]]&gt;=$L$2,Tabela1[[#This Row],[Data nascimento]]&lt;=$K$2),"INFANTIL B",I225)</f>
        <v>JUVENIL</v>
      </c>
      <c r="I225" s="9" t="str">
        <f>IF(AND(Tabela1[[#This Row],[Data nascimento]]&gt;=$N$2,Tabela1[[#This Row],[Data nascimento]]&lt;=$M$2),"INICIADO",J225)</f>
        <v>JUVENIL</v>
      </c>
      <c r="J225" s="9" t="str">
        <f>IF(AND(Tabela1[[#This Row],[Data nascimento]]&gt;=$P$2,Tabela1[[#This Row],[Data nascimento]]&lt;=$O$2),"JUVENIL","JÚNIOR")</f>
        <v>JUVENIL</v>
      </c>
    </row>
    <row r="226" spans="1:10" ht="15" x14ac:dyDescent="0.4">
      <c r="A226" s="13" t="s">
        <v>1739</v>
      </c>
      <c r="B226" s="2" t="s">
        <v>1740</v>
      </c>
      <c r="C226" s="4" t="s">
        <v>8</v>
      </c>
      <c r="D226" s="11">
        <v>39876</v>
      </c>
      <c r="E226" s="7" t="s">
        <v>1741</v>
      </c>
      <c r="F226" s="4" t="s">
        <v>4717</v>
      </c>
      <c r="G226" s="12" t="str">
        <f>IF(AND(Tabela1[[#This Row],[Data nascimento]]&gt;=$J$2,Tabela1[[#This Row],[Data nascimento]]&lt;=$I$2),"INFANTIL A",H226)</f>
        <v>JUVENIL</v>
      </c>
      <c r="H226" s="3" t="str">
        <f>IF(AND(Tabela1[[#This Row],[Data nascimento]]&gt;=$L$2,Tabela1[[#This Row],[Data nascimento]]&lt;=$K$2),"INFANTIL B",I226)</f>
        <v>JUVENIL</v>
      </c>
      <c r="I226" s="9" t="str">
        <f>IF(AND(Tabela1[[#This Row],[Data nascimento]]&gt;=$N$2,Tabela1[[#This Row],[Data nascimento]]&lt;=$M$2),"INICIADO",J226)</f>
        <v>JUVENIL</v>
      </c>
      <c r="J226" s="9" t="str">
        <f>IF(AND(Tabela1[[#This Row],[Data nascimento]]&gt;=$P$2,Tabela1[[#This Row],[Data nascimento]]&lt;=$O$2),"JUVENIL","JÚNIOR")</f>
        <v>JUVENIL</v>
      </c>
    </row>
    <row r="227" spans="1:10" ht="15" x14ac:dyDescent="0.4">
      <c r="A227" s="13" t="s">
        <v>1742</v>
      </c>
      <c r="B227" s="2" t="s">
        <v>1743</v>
      </c>
      <c r="C227" s="4" t="s">
        <v>8</v>
      </c>
      <c r="D227" s="11">
        <v>39935</v>
      </c>
      <c r="E227" s="7" t="s">
        <v>1744</v>
      </c>
      <c r="F227" s="4" t="s">
        <v>4717</v>
      </c>
      <c r="G227" s="12" t="str">
        <f>IF(AND(Tabela1[[#This Row],[Data nascimento]]&gt;=$J$2,Tabela1[[#This Row],[Data nascimento]]&lt;=$I$2),"INFANTIL A",H227)</f>
        <v>JUVENIL</v>
      </c>
      <c r="H227" s="3" t="str">
        <f>IF(AND(Tabela1[[#This Row],[Data nascimento]]&gt;=$L$2,Tabela1[[#This Row],[Data nascimento]]&lt;=$K$2),"INFANTIL B",I227)</f>
        <v>JUVENIL</v>
      </c>
      <c r="I227" s="9" t="str">
        <f>IF(AND(Tabela1[[#This Row],[Data nascimento]]&gt;=$N$2,Tabela1[[#This Row],[Data nascimento]]&lt;=$M$2),"INICIADO",J227)</f>
        <v>JUVENIL</v>
      </c>
      <c r="J227" s="9" t="str">
        <f>IF(AND(Tabela1[[#This Row],[Data nascimento]]&gt;=$P$2,Tabela1[[#This Row],[Data nascimento]]&lt;=$O$2),"JUVENIL","JÚNIOR")</f>
        <v>JUVENIL</v>
      </c>
    </row>
    <row r="228" spans="1:10" ht="15" x14ac:dyDescent="0.4">
      <c r="A228" s="13" t="s">
        <v>1754</v>
      </c>
      <c r="B228" s="2" t="s">
        <v>1755</v>
      </c>
      <c r="C228" s="4" t="s">
        <v>8</v>
      </c>
      <c r="D228" s="11">
        <v>39549</v>
      </c>
      <c r="E228" s="7" t="s">
        <v>1756</v>
      </c>
      <c r="F228" s="4" t="s">
        <v>4717</v>
      </c>
      <c r="G228" s="12" t="str">
        <f>IF(AND(Tabela1[[#This Row],[Data nascimento]]&gt;=$J$2,Tabela1[[#This Row],[Data nascimento]]&lt;=$I$2),"INFANTIL A",H228)</f>
        <v>JUVENIL</v>
      </c>
      <c r="H228" s="3" t="str">
        <f>IF(AND(Tabela1[[#This Row],[Data nascimento]]&gt;=$L$2,Tabela1[[#This Row],[Data nascimento]]&lt;=$K$2),"INFANTIL B",I228)</f>
        <v>JUVENIL</v>
      </c>
      <c r="I228" s="9" t="str">
        <f>IF(AND(Tabela1[[#This Row],[Data nascimento]]&gt;=$N$2,Tabela1[[#This Row],[Data nascimento]]&lt;=$M$2),"INICIADO",J228)</f>
        <v>JUVENIL</v>
      </c>
      <c r="J228" s="9" t="str">
        <f>IF(AND(Tabela1[[#This Row],[Data nascimento]]&gt;=$P$2,Tabela1[[#This Row],[Data nascimento]]&lt;=$O$2),"JUVENIL","JÚNIOR")</f>
        <v>JUVENIL</v>
      </c>
    </row>
    <row r="229" spans="1:10" ht="15" x14ac:dyDescent="0.4">
      <c r="A229" s="13" t="s">
        <v>1175</v>
      </c>
      <c r="B229" s="2" t="s">
        <v>1176</v>
      </c>
      <c r="C229" s="4" t="s">
        <v>8</v>
      </c>
      <c r="D229" s="11">
        <v>40140</v>
      </c>
      <c r="E229" s="7" t="s">
        <v>1177</v>
      </c>
      <c r="F229" s="4" t="s">
        <v>4729</v>
      </c>
      <c r="G229" s="12" t="str">
        <f>IF(AND(Tabela1[[#This Row],[Data nascimento]]&gt;=$J$2,Tabela1[[#This Row],[Data nascimento]]&lt;=$I$2),"INFANTIL A",H229)</f>
        <v>JUVENIL</v>
      </c>
      <c r="H229" s="3" t="str">
        <f>IF(AND(Tabela1[[#This Row],[Data nascimento]]&gt;=$L$2,Tabela1[[#This Row],[Data nascimento]]&lt;=$K$2),"INFANTIL B",I229)</f>
        <v>JUVENIL</v>
      </c>
      <c r="I229" s="9" t="str">
        <f>IF(AND(Tabela1[[#This Row],[Data nascimento]]&gt;=$N$2,Tabela1[[#This Row],[Data nascimento]]&lt;=$M$2),"INICIADO",J229)</f>
        <v>JUVENIL</v>
      </c>
      <c r="J229" s="9" t="str">
        <f>IF(AND(Tabela1[[#This Row],[Data nascimento]]&gt;=$P$2,Tabela1[[#This Row],[Data nascimento]]&lt;=$O$2),"JUVENIL","JÚNIOR")</f>
        <v>JUVENIL</v>
      </c>
    </row>
    <row r="230" spans="1:10" ht="15" x14ac:dyDescent="0.4">
      <c r="A230" s="13" t="s">
        <v>1181</v>
      </c>
      <c r="B230" s="2" t="s">
        <v>1182</v>
      </c>
      <c r="C230" s="4" t="s">
        <v>8</v>
      </c>
      <c r="D230" s="11">
        <v>40220</v>
      </c>
      <c r="E230" s="7" t="s">
        <v>1183</v>
      </c>
      <c r="F230" s="4" t="s">
        <v>4729</v>
      </c>
      <c r="G230" s="12" t="str">
        <f>IF(AND(Tabela1[[#This Row],[Data nascimento]]&gt;=$J$2,Tabela1[[#This Row],[Data nascimento]]&lt;=$I$2),"INFANTIL A",H230)</f>
        <v>JUVENIL</v>
      </c>
      <c r="H230" s="3" t="str">
        <f>IF(AND(Tabela1[[#This Row],[Data nascimento]]&gt;=$L$2,Tabela1[[#This Row],[Data nascimento]]&lt;=$K$2),"INFANTIL B",I230)</f>
        <v>JUVENIL</v>
      </c>
      <c r="I230" s="9" t="str">
        <f>IF(AND(Tabela1[[#This Row],[Data nascimento]]&gt;=$N$2,Tabela1[[#This Row],[Data nascimento]]&lt;=$M$2),"INICIADO",J230)</f>
        <v>JUVENIL</v>
      </c>
      <c r="J230" s="9" t="str">
        <f>IF(AND(Tabela1[[#This Row],[Data nascimento]]&gt;=$P$2,Tabela1[[#This Row],[Data nascimento]]&lt;=$O$2),"JUVENIL","JÚNIOR")</f>
        <v>JUVENIL</v>
      </c>
    </row>
    <row r="231" spans="1:10" ht="15" x14ac:dyDescent="0.4">
      <c r="A231" s="13" t="s">
        <v>3863</v>
      </c>
      <c r="B231" s="2" t="s">
        <v>3864</v>
      </c>
      <c r="C231" s="4" t="s">
        <v>21</v>
      </c>
      <c r="D231" s="11">
        <v>40187</v>
      </c>
      <c r="E231" s="7" t="s">
        <v>3865</v>
      </c>
      <c r="F231" s="4" t="s">
        <v>4712</v>
      </c>
      <c r="G231" s="12" t="str">
        <f>IF(AND(Tabela1[[#This Row],[Data nascimento]]&gt;=$J$2,Tabela1[[#This Row],[Data nascimento]]&lt;=$I$2),"INFANTIL A",H231)</f>
        <v>JUVENIL</v>
      </c>
      <c r="H231" s="3" t="str">
        <f>IF(AND(Tabela1[[#This Row],[Data nascimento]]&gt;=$L$2,Tabela1[[#This Row],[Data nascimento]]&lt;=$K$2),"INFANTIL B",I231)</f>
        <v>JUVENIL</v>
      </c>
      <c r="I231" s="9" t="str">
        <f>IF(AND(Tabela1[[#This Row],[Data nascimento]]&gt;=$N$2,Tabela1[[#This Row],[Data nascimento]]&lt;=$M$2),"INICIADO",J231)</f>
        <v>JUVENIL</v>
      </c>
      <c r="J231" s="9" t="str">
        <f>IF(AND(Tabela1[[#This Row],[Data nascimento]]&gt;=$P$2,Tabela1[[#This Row],[Data nascimento]]&lt;=$O$2),"JUVENIL","JÚNIOR")</f>
        <v>JUVENIL</v>
      </c>
    </row>
    <row r="232" spans="1:10" ht="15" x14ac:dyDescent="0.4">
      <c r="A232" s="13" t="s">
        <v>1250</v>
      </c>
      <c r="B232" s="2" t="s">
        <v>1251</v>
      </c>
      <c r="C232" s="4" t="s">
        <v>8</v>
      </c>
      <c r="D232" s="11">
        <v>40001</v>
      </c>
      <c r="E232" s="7" t="s">
        <v>1252</v>
      </c>
      <c r="F232" s="4" t="s">
        <v>4729</v>
      </c>
      <c r="G232" s="12" t="str">
        <f>IF(AND(Tabela1[[#This Row],[Data nascimento]]&gt;=$J$2,Tabela1[[#This Row],[Data nascimento]]&lt;=$I$2),"INFANTIL A",H232)</f>
        <v>JUVENIL</v>
      </c>
      <c r="H232" s="3" t="str">
        <f>IF(AND(Tabela1[[#This Row],[Data nascimento]]&gt;=$L$2,Tabela1[[#This Row],[Data nascimento]]&lt;=$K$2),"INFANTIL B",I232)</f>
        <v>JUVENIL</v>
      </c>
      <c r="I232" s="9" t="str">
        <f>IF(AND(Tabela1[[#This Row],[Data nascimento]]&gt;=$N$2,Tabela1[[#This Row],[Data nascimento]]&lt;=$M$2),"INICIADO",J232)</f>
        <v>JUVENIL</v>
      </c>
      <c r="J232" s="9" t="str">
        <f>IF(AND(Tabela1[[#This Row],[Data nascimento]]&gt;=$P$2,Tabela1[[#This Row],[Data nascimento]]&lt;=$O$2),"JUVENIL","JÚNIOR")</f>
        <v>JUVENIL</v>
      </c>
    </row>
    <row r="233" spans="1:10" ht="15" x14ac:dyDescent="0.4">
      <c r="A233" s="13" t="s">
        <v>1268</v>
      </c>
      <c r="B233" s="2" t="s">
        <v>1269</v>
      </c>
      <c r="C233" s="4" t="s">
        <v>8</v>
      </c>
      <c r="D233" s="11">
        <v>40316</v>
      </c>
      <c r="E233" s="7" t="s">
        <v>1270</v>
      </c>
      <c r="F233" s="4" t="s">
        <v>4729</v>
      </c>
      <c r="G233" s="12" t="str">
        <f>IF(AND(Tabela1[[#This Row],[Data nascimento]]&gt;=$J$2,Tabela1[[#This Row],[Data nascimento]]&lt;=$I$2),"INFANTIL A",H233)</f>
        <v>JUVENIL</v>
      </c>
      <c r="H233" s="3" t="str">
        <f>IF(AND(Tabela1[[#This Row],[Data nascimento]]&gt;=$L$2,Tabela1[[#This Row],[Data nascimento]]&lt;=$K$2),"INFANTIL B",I233)</f>
        <v>JUVENIL</v>
      </c>
      <c r="I233" s="9" t="str">
        <f>IF(AND(Tabela1[[#This Row],[Data nascimento]]&gt;=$N$2,Tabela1[[#This Row],[Data nascimento]]&lt;=$M$2),"INICIADO",J233)</f>
        <v>JUVENIL</v>
      </c>
      <c r="J233" s="9" t="str">
        <f>IF(AND(Tabela1[[#This Row],[Data nascimento]]&gt;=$P$2,Tabela1[[#This Row],[Data nascimento]]&lt;=$O$2),"JUVENIL","JÚNIOR")</f>
        <v>JUVENIL</v>
      </c>
    </row>
    <row r="234" spans="1:10" ht="15" x14ac:dyDescent="0.4">
      <c r="A234" s="13" t="s">
        <v>3872</v>
      </c>
      <c r="B234" s="2" t="s">
        <v>3873</v>
      </c>
      <c r="C234" s="4" t="s">
        <v>21</v>
      </c>
      <c r="D234" s="11">
        <v>40163</v>
      </c>
      <c r="E234" s="7" t="s">
        <v>3874</v>
      </c>
      <c r="F234" s="4" t="s">
        <v>4712</v>
      </c>
      <c r="G234" s="12" t="str">
        <f>IF(AND(Tabela1[[#This Row],[Data nascimento]]&gt;=$J$2,Tabela1[[#This Row],[Data nascimento]]&lt;=$I$2),"INFANTIL A",H234)</f>
        <v>JUVENIL</v>
      </c>
      <c r="H234" s="3" t="str">
        <f>IF(AND(Tabela1[[#This Row],[Data nascimento]]&gt;=$L$2,Tabela1[[#This Row],[Data nascimento]]&lt;=$K$2),"INFANTIL B",I234)</f>
        <v>JUVENIL</v>
      </c>
      <c r="I234" s="9" t="str">
        <f>IF(AND(Tabela1[[#This Row],[Data nascimento]]&gt;=$N$2,Tabela1[[#This Row],[Data nascimento]]&lt;=$M$2),"INICIADO",J234)</f>
        <v>JUVENIL</v>
      </c>
      <c r="J234" s="9" t="str">
        <f>IF(AND(Tabela1[[#This Row],[Data nascimento]]&gt;=$P$2,Tabela1[[#This Row],[Data nascimento]]&lt;=$O$2),"JUVENIL","JÚNIOR")</f>
        <v>JUVENIL</v>
      </c>
    </row>
    <row r="235" spans="1:10" ht="15" x14ac:dyDescent="0.4">
      <c r="A235" s="13" t="s">
        <v>1301</v>
      </c>
      <c r="B235" s="2" t="s">
        <v>1302</v>
      </c>
      <c r="C235" s="4" t="s">
        <v>8</v>
      </c>
      <c r="D235" s="11">
        <v>40193</v>
      </c>
      <c r="E235" s="7" t="s">
        <v>1303</v>
      </c>
      <c r="F235" s="4" t="s">
        <v>4729</v>
      </c>
      <c r="G235" s="12" t="str">
        <f>IF(AND(Tabela1[[#This Row],[Data nascimento]]&gt;=$J$2,Tabela1[[#This Row],[Data nascimento]]&lt;=$I$2),"INFANTIL A",H235)</f>
        <v>JUVENIL</v>
      </c>
      <c r="H235" s="3" t="str">
        <f>IF(AND(Tabela1[[#This Row],[Data nascimento]]&gt;=$L$2,Tabela1[[#This Row],[Data nascimento]]&lt;=$K$2),"INFANTIL B",I235)</f>
        <v>JUVENIL</v>
      </c>
      <c r="I235" s="9" t="str">
        <f>IF(AND(Tabela1[[#This Row],[Data nascimento]]&gt;=$N$2,Tabela1[[#This Row],[Data nascimento]]&lt;=$M$2),"INICIADO",J235)</f>
        <v>JUVENIL</v>
      </c>
      <c r="J235" s="9" t="str">
        <f>IF(AND(Tabela1[[#This Row],[Data nascimento]]&gt;=$P$2,Tabela1[[#This Row],[Data nascimento]]&lt;=$O$2),"JUVENIL","JÚNIOR")</f>
        <v>JUVENIL</v>
      </c>
    </row>
    <row r="236" spans="1:10" ht="15" x14ac:dyDescent="0.4">
      <c r="A236" s="13" t="s">
        <v>1352</v>
      </c>
      <c r="B236" s="2" t="s">
        <v>1353</v>
      </c>
      <c r="C236" s="4" t="s">
        <v>8</v>
      </c>
      <c r="D236" s="11">
        <v>39303</v>
      </c>
      <c r="E236" s="7" t="s">
        <v>1354</v>
      </c>
      <c r="F236" s="4" t="s">
        <v>4729</v>
      </c>
      <c r="G236" s="12" t="str">
        <f>IF(AND(Tabela1[[#This Row],[Data nascimento]]&gt;=$J$2,Tabela1[[#This Row],[Data nascimento]]&lt;=$I$2),"INFANTIL A",H236)</f>
        <v>JÚNIOR</v>
      </c>
      <c r="H236" s="3" t="str">
        <f>IF(AND(Tabela1[[#This Row],[Data nascimento]]&gt;=$L$2,Tabela1[[#This Row],[Data nascimento]]&lt;=$K$2),"INFANTIL B",I236)</f>
        <v>JÚNIOR</v>
      </c>
      <c r="I236" s="9" t="str">
        <f>IF(AND(Tabela1[[#This Row],[Data nascimento]]&gt;=$N$2,Tabela1[[#This Row],[Data nascimento]]&lt;=$M$2),"INICIADO",J236)</f>
        <v>JÚNIOR</v>
      </c>
      <c r="J236" s="9" t="str">
        <f>IF(AND(Tabela1[[#This Row],[Data nascimento]]&gt;=$P$2,Tabela1[[#This Row],[Data nascimento]]&lt;=$O$2),"JUVENIL","JÚNIOR")</f>
        <v>JÚNIOR</v>
      </c>
    </row>
    <row r="237" spans="1:10" ht="15" x14ac:dyDescent="0.4">
      <c r="A237" s="13" t="s">
        <v>1355</v>
      </c>
      <c r="B237" s="2" t="s">
        <v>1356</v>
      </c>
      <c r="C237" s="4" t="s">
        <v>8</v>
      </c>
      <c r="D237" s="11">
        <v>40390</v>
      </c>
      <c r="E237" s="7" t="s">
        <v>1357</v>
      </c>
      <c r="F237" s="4" t="s">
        <v>4729</v>
      </c>
      <c r="G237" s="12" t="str">
        <f>IF(AND(Tabela1[[#This Row],[Data nascimento]]&gt;=$J$2,Tabela1[[#This Row],[Data nascimento]]&lt;=$I$2),"INFANTIL A",H237)</f>
        <v>JUVENIL</v>
      </c>
      <c r="H237" s="3" t="str">
        <f>IF(AND(Tabela1[[#This Row],[Data nascimento]]&gt;=$L$2,Tabela1[[#This Row],[Data nascimento]]&lt;=$K$2),"INFANTIL B",I237)</f>
        <v>JUVENIL</v>
      </c>
      <c r="I237" s="9" t="str">
        <f>IF(AND(Tabela1[[#This Row],[Data nascimento]]&gt;=$N$2,Tabela1[[#This Row],[Data nascimento]]&lt;=$M$2),"INICIADO",J237)</f>
        <v>JUVENIL</v>
      </c>
      <c r="J237" s="9" t="str">
        <f>IF(AND(Tabela1[[#This Row],[Data nascimento]]&gt;=$P$2,Tabela1[[#This Row],[Data nascimento]]&lt;=$O$2),"JUVENIL","JÚNIOR")</f>
        <v>JUVENIL</v>
      </c>
    </row>
    <row r="238" spans="1:10" ht="15" x14ac:dyDescent="0.4">
      <c r="A238" s="13" t="s">
        <v>1388</v>
      </c>
      <c r="B238" s="2" t="s">
        <v>1389</v>
      </c>
      <c r="C238" s="4" t="s">
        <v>8</v>
      </c>
      <c r="D238" s="11">
        <v>40312</v>
      </c>
      <c r="E238" s="7" t="s">
        <v>1390</v>
      </c>
      <c r="F238" s="4" t="s">
        <v>4729</v>
      </c>
      <c r="G238" s="12" t="str">
        <f>IF(AND(Tabela1[[#This Row],[Data nascimento]]&gt;=$J$2,Tabela1[[#This Row],[Data nascimento]]&lt;=$I$2),"INFANTIL A",H238)</f>
        <v>JUVENIL</v>
      </c>
      <c r="H238" s="3" t="str">
        <f>IF(AND(Tabela1[[#This Row],[Data nascimento]]&gt;=$L$2,Tabela1[[#This Row],[Data nascimento]]&lt;=$K$2),"INFANTIL B",I238)</f>
        <v>JUVENIL</v>
      </c>
      <c r="I238" s="9" t="str">
        <f>IF(AND(Tabela1[[#This Row],[Data nascimento]]&gt;=$N$2,Tabela1[[#This Row],[Data nascimento]]&lt;=$M$2),"INICIADO",J238)</f>
        <v>JUVENIL</v>
      </c>
      <c r="J238" s="9" t="str">
        <f>IF(AND(Tabela1[[#This Row],[Data nascimento]]&gt;=$P$2,Tabela1[[#This Row],[Data nascimento]]&lt;=$O$2),"JUVENIL","JÚNIOR")</f>
        <v>JUVENIL</v>
      </c>
    </row>
    <row r="239" spans="1:10" ht="15" x14ac:dyDescent="0.4">
      <c r="A239" s="13" t="s">
        <v>1397</v>
      </c>
      <c r="B239" s="2" t="s">
        <v>1398</v>
      </c>
      <c r="C239" s="4" t="s">
        <v>8</v>
      </c>
      <c r="D239" s="11">
        <v>40397</v>
      </c>
      <c r="E239" s="7" t="s">
        <v>1399</v>
      </c>
      <c r="F239" s="4" t="s">
        <v>4729</v>
      </c>
      <c r="G239" s="12" t="str">
        <f>IF(AND(Tabela1[[#This Row],[Data nascimento]]&gt;=$J$2,Tabela1[[#This Row],[Data nascimento]]&lt;=$I$2),"INFANTIL A",H239)</f>
        <v>JUVENIL</v>
      </c>
      <c r="H239" s="3" t="str">
        <f>IF(AND(Tabela1[[#This Row],[Data nascimento]]&gt;=$L$2,Tabela1[[#This Row],[Data nascimento]]&lt;=$K$2),"INFANTIL B",I239)</f>
        <v>JUVENIL</v>
      </c>
      <c r="I239" s="9" t="str">
        <f>IF(AND(Tabela1[[#This Row],[Data nascimento]]&gt;=$N$2,Tabela1[[#This Row],[Data nascimento]]&lt;=$M$2),"INICIADO",J239)</f>
        <v>JUVENIL</v>
      </c>
      <c r="J239" s="9" t="str">
        <f>IF(AND(Tabela1[[#This Row],[Data nascimento]]&gt;=$P$2,Tabela1[[#This Row],[Data nascimento]]&lt;=$O$2),"JUVENIL","JÚNIOR")</f>
        <v>JUVENIL</v>
      </c>
    </row>
    <row r="240" spans="1:10" ht="15" x14ac:dyDescent="0.4">
      <c r="A240" s="13" t="s">
        <v>3890</v>
      </c>
      <c r="B240" s="2" t="s">
        <v>3891</v>
      </c>
      <c r="C240" s="4" t="s">
        <v>21</v>
      </c>
      <c r="D240" s="11">
        <v>40295</v>
      </c>
      <c r="E240" s="7" t="s">
        <v>3892</v>
      </c>
      <c r="F240" s="4" t="s">
        <v>4716</v>
      </c>
      <c r="G240" s="12" t="str">
        <f>IF(AND(Tabela1[[#This Row],[Data nascimento]]&gt;=$J$2,Tabela1[[#This Row],[Data nascimento]]&lt;=$I$2),"INFANTIL A",H240)</f>
        <v>JUVENIL</v>
      </c>
      <c r="H240" s="3" t="str">
        <f>IF(AND(Tabela1[[#This Row],[Data nascimento]]&gt;=$L$2,Tabela1[[#This Row],[Data nascimento]]&lt;=$K$2),"INFANTIL B",I240)</f>
        <v>JUVENIL</v>
      </c>
      <c r="I240" s="9" t="str">
        <f>IF(AND(Tabela1[[#This Row],[Data nascimento]]&gt;=$N$2,Tabela1[[#This Row],[Data nascimento]]&lt;=$M$2),"INICIADO",J240)</f>
        <v>JUVENIL</v>
      </c>
      <c r="J240" s="9" t="str">
        <f>IF(AND(Tabela1[[#This Row],[Data nascimento]]&gt;=$P$2,Tabela1[[#This Row],[Data nascimento]]&lt;=$O$2),"JUVENIL","JÚNIOR")</f>
        <v>JUVENIL</v>
      </c>
    </row>
    <row r="241" spans="1:10" ht="15" x14ac:dyDescent="0.4">
      <c r="A241" s="13" t="s">
        <v>3893</v>
      </c>
      <c r="B241" s="2" t="s">
        <v>3894</v>
      </c>
      <c r="C241" s="4" t="s">
        <v>21</v>
      </c>
      <c r="D241" s="11">
        <v>40259</v>
      </c>
      <c r="E241" s="7" t="s">
        <v>3895</v>
      </c>
      <c r="F241" s="4" t="s">
        <v>4716</v>
      </c>
      <c r="G241" s="12" t="str">
        <f>IF(AND(Tabela1[[#This Row],[Data nascimento]]&gt;=$J$2,Tabela1[[#This Row],[Data nascimento]]&lt;=$I$2),"INFANTIL A",H241)</f>
        <v>JUVENIL</v>
      </c>
      <c r="H241" s="3" t="str">
        <f>IF(AND(Tabela1[[#This Row],[Data nascimento]]&gt;=$L$2,Tabela1[[#This Row],[Data nascimento]]&lt;=$K$2),"INFANTIL B",I241)</f>
        <v>JUVENIL</v>
      </c>
      <c r="I241" s="9" t="str">
        <f>IF(AND(Tabela1[[#This Row],[Data nascimento]]&gt;=$N$2,Tabela1[[#This Row],[Data nascimento]]&lt;=$M$2),"INICIADO",J241)</f>
        <v>JUVENIL</v>
      </c>
      <c r="J241" s="9" t="str">
        <f>IF(AND(Tabela1[[#This Row],[Data nascimento]]&gt;=$P$2,Tabela1[[#This Row],[Data nascimento]]&lt;=$O$2),"JUVENIL","JÚNIOR")</f>
        <v>JUVENIL</v>
      </c>
    </row>
    <row r="242" spans="1:10" ht="15" x14ac:dyDescent="0.4">
      <c r="A242" s="13" t="s">
        <v>1451</v>
      </c>
      <c r="B242" s="2" t="s">
        <v>1452</v>
      </c>
      <c r="C242" s="4" t="s">
        <v>8</v>
      </c>
      <c r="D242" s="11">
        <v>39593</v>
      </c>
      <c r="E242" s="7" t="s">
        <v>1453</v>
      </c>
      <c r="F242" s="4" t="s">
        <v>4729</v>
      </c>
      <c r="G242" s="12" t="str">
        <f>IF(AND(Tabela1[[#This Row],[Data nascimento]]&gt;=$J$2,Tabela1[[#This Row],[Data nascimento]]&lt;=$I$2),"INFANTIL A",H242)</f>
        <v>JUVENIL</v>
      </c>
      <c r="H242" s="3" t="str">
        <f>IF(AND(Tabela1[[#This Row],[Data nascimento]]&gt;=$L$2,Tabela1[[#This Row],[Data nascimento]]&lt;=$K$2),"INFANTIL B",I242)</f>
        <v>JUVENIL</v>
      </c>
      <c r="I242" s="9" t="str">
        <f>IF(AND(Tabela1[[#This Row],[Data nascimento]]&gt;=$N$2,Tabela1[[#This Row],[Data nascimento]]&lt;=$M$2),"INICIADO",J242)</f>
        <v>JUVENIL</v>
      </c>
      <c r="J242" s="9" t="str">
        <f>IF(AND(Tabela1[[#This Row],[Data nascimento]]&gt;=$P$2,Tabela1[[#This Row],[Data nascimento]]&lt;=$O$2),"JUVENIL","JÚNIOR")</f>
        <v>JUVENIL</v>
      </c>
    </row>
    <row r="243" spans="1:10" ht="15" x14ac:dyDescent="0.4">
      <c r="A243" s="13" t="s">
        <v>3899</v>
      </c>
      <c r="B243" s="2" t="s">
        <v>3900</v>
      </c>
      <c r="C243" s="4" t="s">
        <v>21</v>
      </c>
      <c r="D243" s="11">
        <v>40228</v>
      </c>
      <c r="E243" s="7" t="s">
        <v>3901</v>
      </c>
      <c r="F243" s="4" t="s">
        <v>4716</v>
      </c>
      <c r="G243" s="12" t="str">
        <f>IF(AND(Tabela1[[#This Row],[Data nascimento]]&gt;=$J$2,Tabela1[[#This Row],[Data nascimento]]&lt;=$I$2),"INFANTIL A",H243)</f>
        <v>JUVENIL</v>
      </c>
      <c r="H243" s="3" t="str">
        <f>IF(AND(Tabela1[[#This Row],[Data nascimento]]&gt;=$L$2,Tabela1[[#This Row],[Data nascimento]]&lt;=$K$2),"INFANTIL B",I243)</f>
        <v>JUVENIL</v>
      </c>
      <c r="I243" s="9" t="str">
        <f>IF(AND(Tabela1[[#This Row],[Data nascimento]]&gt;=$N$2,Tabela1[[#This Row],[Data nascimento]]&lt;=$M$2),"INICIADO",J243)</f>
        <v>JUVENIL</v>
      </c>
      <c r="J243" s="9" t="str">
        <f>IF(AND(Tabela1[[#This Row],[Data nascimento]]&gt;=$P$2,Tabela1[[#This Row],[Data nascimento]]&lt;=$O$2),"JUVENIL","JÚNIOR")</f>
        <v>JUVENIL</v>
      </c>
    </row>
    <row r="244" spans="1:10" ht="15" x14ac:dyDescent="0.4">
      <c r="A244" s="13" t="s">
        <v>3902</v>
      </c>
      <c r="B244" s="2" t="s">
        <v>3903</v>
      </c>
      <c r="C244" s="4" t="s">
        <v>21</v>
      </c>
      <c r="D244" s="11">
        <v>40233</v>
      </c>
      <c r="E244" s="7" t="s">
        <v>3904</v>
      </c>
      <c r="F244" s="4" t="s">
        <v>4716</v>
      </c>
      <c r="G244" s="12" t="str">
        <f>IF(AND(Tabela1[[#This Row],[Data nascimento]]&gt;=$J$2,Tabela1[[#This Row],[Data nascimento]]&lt;=$I$2),"INFANTIL A",H244)</f>
        <v>JUVENIL</v>
      </c>
      <c r="H244" s="3" t="str">
        <f>IF(AND(Tabela1[[#This Row],[Data nascimento]]&gt;=$L$2,Tabela1[[#This Row],[Data nascimento]]&lt;=$K$2),"INFANTIL B",I244)</f>
        <v>JUVENIL</v>
      </c>
      <c r="I244" s="9" t="str">
        <f>IF(AND(Tabela1[[#This Row],[Data nascimento]]&gt;=$N$2,Tabela1[[#This Row],[Data nascimento]]&lt;=$M$2),"INICIADO",J244)</f>
        <v>JUVENIL</v>
      </c>
      <c r="J244" s="9" t="str">
        <f>IF(AND(Tabela1[[#This Row],[Data nascimento]]&gt;=$P$2,Tabela1[[#This Row],[Data nascimento]]&lt;=$O$2),"JUVENIL","JÚNIOR")</f>
        <v>JUVENIL</v>
      </c>
    </row>
    <row r="245" spans="1:10" ht="15" x14ac:dyDescent="0.4">
      <c r="A245" s="13" t="s">
        <v>3905</v>
      </c>
      <c r="B245" s="2" t="s">
        <v>3906</v>
      </c>
      <c r="C245" s="4" t="s">
        <v>21</v>
      </c>
      <c r="D245" s="11">
        <v>40461</v>
      </c>
      <c r="E245" s="7" t="s">
        <v>3907</v>
      </c>
      <c r="F245" s="4" t="s">
        <v>4716</v>
      </c>
      <c r="G245" s="12" t="str">
        <f>IF(AND(Tabela1[[#This Row],[Data nascimento]]&gt;=$J$2,Tabela1[[#This Row],[Data nascimento]]&lt;=$I$2),"INFANTIL A",H245)</f>
        <v>JUVENIL</v>
      </c>
      <c r="H245" s="3" t="str">
        <f>IF(AND(Tabela1[[#This Row],[Data nascimento]]&gt;=$L$2,Tabela1[[#This Row],[Data nascimento]]&lt;=$K$2),"INFANTIL B",I245)</f>
        <v>JUVENIL</v>
      </c>
      <c r="I245" s="9" t="str">
        <f>IF(AND(Tabela1[[#This Row],[Data nascimento]]&gt;=$N$2,Tabela1[[#This Row],[Data nascimento]]&lt;=$M$2),"INICIADO",J245)</f>
        <v>JUVENIL</v>
      </c>
      <c r="J245" s="9" t="str">
        <f>IF(AND(Tabela1[[#This Row],[Data nascimento]]&gt;=$P$2,Tabela1[[#This Row],[Data nascimento]]&lt;=$O$2),"JUVENIL","JÚNIOR")</f>
        <v>JUVENIL</v>
      </c>
    </row>
    <row r="246" spans="1:10" ht="15" x14ac:dyDescent="0.4">
      <c r="A246" s="13" t="s">
        <v>3908</v>
      </c>
      <c r="B246" s="2" t="s">
        <v>3909</v>
      </c>
      <c r="C246" s="4" t="s">
        <v>21</v>
      </c>
      <c r="D246" s="11">
        <v>40426</v>
      </c>
      <c r="E246" s="7" t="s">
        <v>3910</v>
      </c>
      <c r="F246" s="4" t="s">
        <v>4716</v>
      </c>
      <c r="G246" s="12" t="str">
        <f>IF(AND(Tabela1[[#This Row],[Data nascimento]]&gt;=$J$2,Tabela1[[#This Row],[Data nascimento]]&lt;=$I$2),"INFANTIL A",H246)</f>
        <v>JUVENIL</v>
      </c>
      <c r="H246" s="3" t="str">
        <f>IF(AND(Tabela1[[#This Row],[Data nascimento]]&gt;=$L$2,Tabela1[[#This Row],[Data nascimento]]&lt;=$K$2),"INFANTIL B",I246)</f>
        <v>JUVENIL</v>
      </c>
      <c r="I246" s="9" t="str">
        <f>IF(AND(Tabela1[[#This Row],[Data nascimento]]&gt;=$N$2,Tabela1[[#This Row],[Data nascimento]]&lt;=$M$2),"INICIADO",J246)</f>
        <v>JUVENIL</v>
      </c>
      <c r="J246" s="9" t="str">
        <f>IF(AND(Tabela1[[#This Row],[Data nascimento]]&gt;=$P$2,Tabela1[[#This Row],[Data nascimento]]&lt;=$O$2),"JUVENIL","JÚNIOR")</f>
        <v>JUVENIL</v>
      </c>
    </row>
    <row r="247" spans="1:10" ht="15" x14ac:dyDescent="0.4">
      <c r="A247" s="13" t="s">
        <v>3911</v>
      </c>
      <c r="B247" s="2" t="s">
        <v>3912</v>
      </c>
      <c r="C247" s="4" t="s">
        <v>21</v>
      </c>
      <c r="D247" s="11">
        <v>40252</v>
      </c>
      <c r="E247" s="7" t="s">
        <v>3913</v>
      </c>
      <c r="F247" s="4" t="s">
        <v>4716</v>
      </c>
      <c r="G247" s="12" t="str">
        <f>IF(AND(Tabela1[[#This Row],[Data nascimento]]&gt;=$J$2,Tabela1[[#This Row],[Data nascimento]]&lt;=$I$2),"INFANTIL A",H247)</f>
        <v>JUVENIL</v>
      </c>
      <c r="H247" s="3" t="str">
        <f>IF(AND(Tabela1[[#This Row],[Data nascimento]]&gt;=$L$2,Tabela1[[#This Row],[Data nascimento]]&lt;=$K$2),"INFANTIL B",I247)</f>
        <v>JUVENIL</v>
      </c>
      <c r="I247" s="9" t="str">
        <f>IF(AND(Tabela1[[#This Row],[Data nascimento]]&gt;=$N$2,Tabela1[[#This Row],[Data nascimento]]&lt;=$M$2),"INICIADO",J247)</f>
        <v>JUVENIL</v>
      </c>
      <c r="J247" s="9" t="str">
        <f>IF(AND(Tabela1[[#This Row],[Data nascimento]]&gt;=$P$2,Tabela1[[#This Row],[Data nascimento]]&lt;=$O$2),"JUVENIL","JÚNIOR")</f>
        <v>JUVENIL</v>
      </c>
    </row>
    <row r="248" spans="1:10" ht="15" x14ac:dyDescent="0.4">
      <c r="A248" s="13" t="s">
        <v>3914</v>
      </c>
      <c r="B248" s="2" t="s">
        <v>3915</v>
      </c>
      <c r="C248" s="4" t="s">
        <v>21</v>
      </c>
      <c r="D248" s="11">
        <v>40443</v>
      </c>
      <c r="E248" s="7" t="s">
        <v>3916</v>
      </c>
      <c r="F248" s="4" t="s">
        <v>4716</v>
      </c>
      <c r="G248" s="12" t="str">
        <f>IF(AND(Tabela1[[#This Row],[Data nascimento]]&gt;=$J$2,Tabela1[[#This Row],[Data nascimento]]&lt;=$I$2),"INFANTIL A",H248)</f>
        <v>JUVENIL</v>
      </c>
      <c r="H248" s="3" t="str">
        <f>IF(AND(Tabela1[[#This Row],[Data nascimento]]&gt;=$L$2,Tabela1[[#This Row],[Data nascimento]]&lt;=$K$2),"INFANTIL B",I248)</f>
        <v>JUVENIL</v>
      </c>
      <c r="I248" s="9" t="str">
        <f>IF(AND(Tabela1[[#This Row],[Data nascimento]]&gt;=$N$2,Tabela1[[#This Row],[Data nascimento]]&lt;=$M$2),"INICIADO",J248)</f>
        <v>JUVENIL</v>
      </c>
      <c r="J248" s="9" t="str">
        <f>IF(AND(Tabela1[[#This Row],[Data nascimento]]&gt;=$P$2,Tabela1[[#This Row],[Data nascimento]]&lt;=$O$2),"JUVENIL","JÚNIOR")</f>
        <v>JUVENIL</v>
      </c>
    </row>
    <row r="249" spans="1:10" ht="15" x14ac:dyDescent="0.4">
      <c r="A249" s="13" t="s">
        <v>1487</v>
      </c>
      <c r="B249" s="2" t="s">
        <v>1488</v>
      </c>
      <c r="C249" s="4" t="s">
        <v>8</v>
      </c>
      <c r="D249" s="11">
        <v>39814</v>
      </c>
      <c r="E249" s="7" t="s">
        <v>1489</v>
      </c>
      <c r="F249" s="4" t="s">
        <v>4729</v>
      </c>
      <c r="G249" s="12" t="str">
        <f>IF(AND(Tabela1[[#This Row],[Data nascimento]]&gt;=$J$2,Tabela1[[#This Row],[Data nascimento]]&lt;=$I$2),"INFANTIL A",H249)</f>
        <v>JUVENIL</v>
      </c>
      <c r="H249" s="3" t="str">
        <f>IF(AND(Tabela1[[#This Row],[Data nascimento]]&gt;=$L$2,Tabela1[[#This Row],[Data nascimento]]&lt;=$K$2),"INFANTIL B",I249)</f>
        <v>JUVENIL</v>
      </c>
      <c r="I249" s="9" t="str">
        <f>IF(AND(Tabela1[[#This Row],[Data nascimento]]&gt;=$N$2,Tabela1[[#This Row],[Data nascimento]]&lt;=$M$2),"INICIADO",J249)</f>
        <v>JUVENIL</v>
      </c>
      <c r="J249" s="9" t="str">
        <f>IF(AND(Tabela1[[#This Row],[Data nascimento]]&gt;=$P$2,Tabela1[[#This Row],[Data nascimento]]&lt;=$O$2),"JUVENIL","JÚNIOR")</f>
        <v>JUVENIL</v>
      </c>
    </row>
    <row r="250" spans="1:10" ht="15" x14ac:dyDescent="0.4">
      <c r="A250" s="13" t="s">
        <v>3920</v>
      </c>
      <c r="B250" s="2" t="s">
        <v>3921</v>
      </c>
      <c r="C250" s="4" t="s">
        <v>21</v>
      </c>
      <c r="D250" s="11">
        <v>40505</v>
      </c>
      <c r="E250" s="7" t="s">
        <v>3922</v>
      </c>
      <c r="F250" s="4" t="s">
        <v>4722</v>
      </c>
      <c r="G250" s="12" t="str">
        <f>IF(AND(Tabela1[[#This Row],[Data nascimento]]&gt;=$J$2,Tabela1[[#This Row],[Data nascimento]]&lt;=$I$2),"INFANTIL A",H250)</f>
        <v>JUVENIL</v>
      </c>
      <c r="H250" s="3" t="str">
        <f>IF(AND(Tabela1[[#This Row],[Data nascimento]]&gt;=$L$2,Tabela1[[#This Row],[Data nascimento]]&lt;=$K$2),"INFANTIL B",I250)</f>
        <v>JUVENIL</v>
      </c>
      <c r="I250" s="9" t="str">
        <f>IF(AND(Tabela1[[#This Row],[Data nascimento]]&gt;=$N$2,Tabela1[[#This Row],[Data nascimento]]&lt;=$M$2),"INICIADO",J250)</f>
        <v>JUVENIL</v>
      </c>
      <c r="J250" s="9" t="str">
        <f>IF(AND(Tabela1[[#This Row],[Data nascimento]]&gt;=$P$2,Tabela1[[#This Row],[Data nascimento]]&lt;=$O$2),"JUVENIL","JÚNIOR")</f>
        <v>JUVENIL</v>
      </c>
    </row>
    <row r="251" spans="1:10" ht="15" x14ac:dyDescent="0.4">
      <c r="A251" s="13" t="s">
        <v>3923</v>
      </c>
      <c r="B251" s="2" t="s">
        <v>3924</v>
      </c>
      <c r="C251" s="4" t="s">
        <v>21</v>
      </c>
      <c r="D251" s="11">
        <v>40439</v>
      </c>
      <c r="E251" s="7" t="s">
        <v>3925</v>
      </c>
      <c r="F251" s="4" t="s">
        <v>4722</v>
      </c>
      <c r="G251" s="12" t="str">
        <f>IF(AND(Tabela1[[#This Row],[Data nascimento]]&gt;=$J$2,Tabela1[[#This Row],[Data nascimento]]&lt;=$I$2),"INFANTIL A",H251)</f>
        <v>JUVENIL</v>
      </c>
      <c r="H251" s="3" t="str">
        <f>IF(AND(Tabela1[[#This Row],[Data nascimento]]&gt;=$L$2,Tabela1[[#This Row],[Data nascimento]]&lt;=$K$2),"INFANTIL B",I251)</f>
        <v>JUVENIL</v>
      </c>
      <c r="I251" s="9" t="str">
        <f>IF(AND(Tabela1[[#This Row],[Data nascimento]]&gt;=$N$2,Tabela1[[#This Row],[Data nascimento]]&lt;=$M$2),"INICIADO",J251)</f>
        <v>JUVENIL</v>
      </c>
      <c r="J251" s="9" t="str">
        <f>IF(AND(Tabela1[[#This Row],[Data nascimento]]&gt;=$P$2,Tabela1[[#This Row],[Data nascimento]]&lt;=$O$2),"JUVENIL","JÚNIOR")</f>
        <v>JUVENIL</v>
      </c>
    </row>
    <row r="252" spans="1:10" ht="15" x14ac:dyDescent="0.4">
      <c r="A252" s="13" t="s">
        <v>1505</v>
      </c>
      <c r="B252" s="2" t="s">
        <v>1506</v>
      </c>
      <c r="C252" s="4" t="s">
        <v>8</v>
      </c>
      <c r="D252" s="11">
        <v>40177</v>
      </c>
      <c r="E252" s="7" t="s">
        <v>1507</v>
      </c>
      <c r="F252" s="4" t="s">
        <v>4729</v>
      </c>
      <c r="G252" s="12" t="str">
        <f>IF(AND(Tabela1[[#This Row],[Data nascimento]]&gt;=$J$2,Tabela1[[#This Row],[Data nascimento]]&lt;=$I$2),"INFANTIL A",H252)</f>
        <v>JUVENIL</v>
      </c>
      <c r="H252" s="3" t="str">
        <f>IF(AND(Tabela1[[#This Row],[Data nascimento]]&gt;=$L$2,Tabela1[[#This Row],[Data nascimento]]&lt;=$K$2),"INFANTIL B",I252)</f>
        <v>JUVENIL</v>
      </c>
      <c r="I252" s="9" t="str">
        <f>IF(AND(Tabela1[[#This Row],[Data nascimento]]&gt;=$N$2,Tabela1[[#This Row],[Data nascimento]]&lt;=$M$2),"INICIADO",J252)</f>
        <v>JUVENIL</v>
      </c>
      <c r="J252" s="9" t="str">
        <f>IF(AND(Tabela1[[#This Row],[Data nascimento]]&gt;=$P$2,Tabela1[[#This Row],[Data nascimento]]&lt;=$O$2),"JUVENIL","JÚNIOR")</f>
        <v>JUVENIL</v>
      </c>
    </row>
    <row r="253" spans="1:10" ht="15" x14ac:dyDescent="0.4">
      <c r="A253" s="13" t="s">
        <v>1523</v>
      </c>
      <c r="B253" s="2" t="s">
        <v>1524</v>
      </c>
      <c r="C253" s="4" t="s">
        <v>8</v>
      </c>
      <c r="D253" s="11">
        <v>39533</v>
      </c>
      <c r="E253" s="7" t="s">
        <v>1525</v>
      </c>
      <c r="F253" s="4" t="s">
        <v>4729</v>
      </c>
      <c r="G253" s="12" t="str">
        <f>IF(AND(Tabela1[[#This Row],[Data nascimento]]&gt;=$J$2,Tabela1[[#This Row],[Data nascimento]]&lt;=$I$2),"INFANTIL A",H253)</f>
        <v>JUVENIL</v>
      </c>
      <c r="H253" s="3" t="str">
        <f>IF(AND(Tabela1[[#This Row],[Data nascimento]]&gt;=$L$2,Tabela1[[#This Row],[Data nascimento]]&lt;=$K$2),"INFANTIL B",I253)</f>
        <v>JUVENIL</v>
      </c>
      <c r="I253" s="9" t="str">
        <f>IF(AND(Tabela1[[#This Row],[Data nascimento]]&gt;=$N$2,Tabela1[[#This Row],[Data nascimento]]&lt;=$M$2),"INICIADO",J253)</f>
        <v>JUVENIL</v>
      </c>
      <c r="J253" s="9" t="str">
        <f>IF(AND(Tabela1[[#This Row],[Data nascimento]]&gt;=$P$2,Tabela1[[#This Row],[Data nascimento]]&lt;=$O$2),"JUVENIL","JÚNIOR")</f>
        <v>JUVENIL</v>
      </c>
    </row>
    <row r="254" spans="1:10" ht="15" x14ac:dyDescent="0.4">
      <c r="A254" s="13" t="s">
        <v>3932</v>
      </c>
      <c r="B254" s="2" t="s">
        <v>3933</v>
      </c>
      <c r="C254" s="4" t="s">
        <v>21</v>
      </c>
      <c r="D254" s="11">
        <v>40327</v>
      </c>
      <c r="E254" s="7" t="s">
        <v>3934</v>
      </c>
      <c r="F254" s="4" t="s">
        <v>4722</v>
      </c>
      <c r="G254" s="12" t="str">
        <f>IF(AND(Tabela1[[#This Row],[Data nascimento]]&gt;=$J$2,Tabela1[[#This Row],[Data nascimento]]&lt;=$I$2),"INFANTIL A",H254)</f>
        <v>JUVENIL</v>
      </c>
      <c r="H254" s="3" t="str">
        <f>IF(AND(Tabela1[[#This Row],[Data nascimento]]&gt;=$L$2,Tabela1[[#This Row],[Data nascimento]]&lt;=$K$2),"INFANTIL B",I254)</f>
        <v>JUVENIL</v>
      </c>
      <c r="I254" s="9" t="str">
        <f>IF(AND(Tabela1[[#This Row],[Data nascimento]]&gt;=$N$2,Tabela1[[#This Row],[Data nascimento]]&lt;=$M$2),"INICIADO",J254)</f>
        <v>JUVENIL</v>
      </c>
      <c r="J254" s="9" t="str">
        <f>IF(AND(Tabela1[[#This Row],[Data nascimento]]&gt;=$P$2,Tabela1[[#This Row],[Data nascimento]]&lt;=$O$2),"JUVENIL","JÚNIOR")</f>
        <v>JUVENIL</v>
      </c>
    </row>
    <row r="255" spans="1:10" ht="15" x14ac:dyDescent="0.4">
      <c r="A255" s="13" t="s">
        <v>1526</v>
      </c>
      <c r="B255" s="2" t="s">
        <v>1527</v>
      </c>
      <c r="C255" s="4" t="s">
        <v>8</v>
      </c>
      <c r="D255" s="11">
        <v>39531</v>
      </c>
      <c r="E255" s="7" t="s">
        <v>1528</v>
      </c>
      <c r="F255" s="4" t="s">
        <v>4729</v>
      </c>
      <c r="G255" s="12" t="str">
        <f>IF(AND(Tabela1[[#This Row],[Data nascimento]]&gt;=$J$2,Tabela1[[#This Row],[Data nascimento]]&lt;=$I$2),"INFANTIL A",H255)</f>
        <v>JUVENIL</v>
      </c>
      <c r="H255" s="3" t="str">
        <f>IF(AND(Tabela1[[#This Row],[Data nascimento]]&gt;=$L$2,Tabela1[[#This Row],[Data nascimento]]&lt;=$K$2),"INFANTIL B",I255)</f>
        <v>JUVENIL</v>
      </c>
      <c r="I255" s="9" t="str">
        <f>IF(AND(Tabela1[[#This Row],[Data nascimento]]&gt;=$N$2,Tabela1[[#This Row],[Data nascimento]]&lt;=$M$2),"INICIADO",J255)</f>
        <v>JUVENIL</v>
      </c>
      <c r="J255" s="9" t="str">
        <f>IF(AND(Tabela1[[#This Row],[Data nascimento]]&gt;=$P$2,Tabela1[[#This Row],[Data nascimento]]&lt;=$O$2),"JUVENIL","JÚNIOR")</f>
        <v>JUVENIL</v>
      </c>
    </row>
    <row r="256" spans="1:10" ht="15" x14ac:dyDescent="0.4">
      <c r="A256" s="13" t="s">
        <v>3938</v>
      </c>
      <c r="B256" s="2" t="s">
        <v>3939</v>
      </c>
      <c r="C256" s="4" t="s">
        <v>21</v>
      </c>
      <c r="D256" s="11">
        <v>40344</v>
      </c>
      <c r="E256" s="7" t="s">
        <v>3940</v>
      </c>
      <c r="F256" s="4" t="s">
        <v>4722</v>
      </c>
      <c r="G256" s="12" t="str">
        <f>IF(AND(Tabela1[[#This Row],[Data nascimento]]&gt;=$J$2,Tabela1[[#This Row],[Data nascimento]]&lt;=$I$2),"INFANTIL A",H256)</f>
        <v>JUVENIL</v>
      </c>
      <c r="H256" s="3" t="str">
        <f>IF(AND(Tabela1[[#This Row],[Data nascimento]]&gt;=$L$2,Tabela1[[#This Row],[Data nascimento]]&lt;=$K$2),"INFANTIL B",I256)</f>
        <v>JUVENIL</v>
      </c>
      <c r="I256" s="9" t="str">
        <f>IF(AND(Tabela1[[#This Row],[Data nascimento]]&gt;=$N$2,Tabela1[[#This Row],[Data nascimento]]&lt;=$M$2),"INICIADO",J256)</f>
        <v>JUVENIL</v>
      </c>
      <c r="J256" s="9" t="str">
        <f>IF(AND(Tabela1[[#This Row],[Data nascimento]]&gt;=$P$2,Tabela1[[#This Row],[Data nascimento]]&lt;=$O$2),"JUVENIL","JÚNIOR")</f>
        <v>JUVENIL</v>
      </c>
    </row>
    <row r="257" spans="1:10" ht="15" x14ac:dyDescent="0.4">
      <c r="A257" s="13" t="s">
        <v>3941</v>
      </c>
      <c r="B257" s="2" t="s">
        <v>3942</v>
      </c>
      <c r="C257" s="4" t="s">
        <v>21</v>
      </c>
      <c r="D257" s="11">
        <v>40277</v>
      </c>
      <c r="E257" s="7" t="s">
        <v>3943</v>
      </c>
      <c r="F257" s="4" t="s">
        <v>4718</v>
      </c>
      <c r="G257" s="12" t="str">
        <f>IF(AND(Tabela1[[#This Row],[Data nascimento]]&gt;=$J$2,Tabela1[[#This Row],[Data nascimento]]&lt;=$I$2),"INFANTIL A",H257)</f>
        <v>JUVENIL</v>
      </c>
      <c r="H257" s="3" t="str">
        <f>IF(AND(Tabela1[[#This Row],[Data nascimento]]&gt;=$L$2,Tabela1[[#This Row],[Data nascimento]]&lt;=$K$2),"INFANTIL B",I257)</f>
        <v>JUVENIL</v>
      </c>
      <c r="I257" s="9" t="str">
        <f>IF(AND(Tabela1[[#This Row],[Data nascimento]]&gt;=$N$2,Tabela1[[#This Row],[Data nascimento]]&lt;=$M$2),"INICIADO",J257)</f>
        <v>JUVENIL</v>
      </c>
      <c r="J257" s="9" t="str">
        <f>IF(AND(Tabela1[[#This Row],[Data nascimento]]&gt;=$P$2,Tabela1[[#This Row],[Data nascimento]]&lt;=$O$2),"JUVENIL","JÚNIOR")</f>
        <v>JUVENIL</v>
      </c>
    </row>
    <row r="258" spans="1:10" ht="15" x14ac:dyDescent="0.4">
      <c r="A258" s="13" t="s">
        <v>1550</v>
      </c>
      <c r="B258" s="2" t="s">
        <v>1551</v>
      </c>
      <c r="C258" s="4" t="s">
        <v>8</v>
      </c>
      <c r="D258" s="11">
        <v>40125</v>
      </c>
      <c r="E258" s="7" t="s">
        <v>1552</v>
      </c>
      <c r="F258" s="4" t="s">
        <v>4729</v>
      </c>
      <c r="G258" s="12" t="str">
        <f>IF(AND(Tabela1[[#This Row],[Data nascimento]]&gt;=$J$2,Tabela1[[#This Row],[Data nascimento]]&lt;=$I$2),"INFANTIL A",H258)</f>
        <v>JUVENIL</v>
      </c>
      <c r="H258" s="3" t="str">
        <f>IF(AND(Tabela1[[#This Row],[Data nascimento]]&gt;=$L$2,Tabela1[[#This Row],[Data nascimento]]&lt;=$K$2),"INFANTIL B",I258)</f>
        <v>JUVENIL</v>
      </c>
      <c r="I258" s="9" t="str">
        <f>IF(AND(Tabela1[[#This Row],[Data nascimento]]&gt;=$N$2,Tabela1[[#This Row],[Data nascimento]]&lt;=$M$2),"INICIADO",J258)</f>
        <v>JUVENIL</v>
      </c>
      <c r="J258" s="9" t="str">
        <f>IF(AND(Tabela1[[#This Row],[Data nascimento]]&gt;=$P$2,Tabela1[[#This Row],[Data nascimento]]&lt;=$O$2),"JUVENIL","JÚNIOR")</f>
        <v>JUVENIL</v>
      </c>
    </row>
    <row r="259" spans="1:10" ht="15" x14ac:dyDescent="0.4">
      <c r="A259" s="13" t="s">
        <v>1565</v>
      </c>
      <c r="B259" s="2" t="s">
        <v>1566</v>
      </c>
      <c r="C259" s="4" t="s">
        <v>8</v>
      </c>
      <c r="D259" s="11">
        <v>40511</v>
      </c>
      <c r="E259" s="7" t="s">
        <v>1567</v>
      </c>
      <c r="F259" s="4" t="s">
        <v>4729</v>
      </c>
      <c r="G259" s="12" t="str">
        <f>IF(AND(Tabela1[[#This Row],[Data nascimento]]&gt;=$J$2,Tabela1[[#This Row],[Data nascimento]]&lt;=$I$2),"INFANTIL A",H259)</f>
        <v>JUVENIL</v>
      </c>
      <c r="H259" s="3" t="str">
        <f>IF(AND(Tabela1[[#This Row],[Data nascimento]]&gt;=$L$2,Tabela1[[#This Row],[Data nascimento]]&lt;=$K$2),"INFANTIL B",I259)</f>
        <v>JUVENIL</v>
      </c>
      <c r="I259" s="9" t="str">
        <f>IF(AND(Tabela1[[#This Row],[Data nascimento]]&gt;=$N$2,Tabela1[[#This Row],[Data nascimento]]&lt;=$M$2),"INICIADO",J259)</f>
        <v>JUVENIL</v>
      </c>
      <c r="J259" s="9" t="str">
        <f>IF(AND(Tabela1[[#This Row],[Data nascimento]]&gt;=$P$2,Tabela1[[#This Row],[Data nascimento]]&lt;=$O$2),"JUVENIL","JÚNIOR")</f>
        <v>JUVENIL</v>
      </c>
    </row>
    <row r="260" spans="1:10" ht="15" x14ac:dyDescent="0.4">
      <c r="A260" s="13" t="s">
        <v>1574</v>
      </c>
      <c r="B260" s="2" t="s">
        <v>1575</v>
      </c>
      <c r="C260" s="4" t="s">
        <v>8</v>
      </c>
      <c r="D260" s="11">
        <v>40233</v>
      </c>
      <c r="E260" s="7" t="s">
        <v>1576</v>
      </c>
      <c r="F260" s="4" t="s">
        <v>4729</v>
      </c>
      <c r="G260" s="12" t="str">
        <f>IF(AND(Tabela1[[#This Row],[Data nascimento]]&gt;=$J$2,Tabela1[[#This Row],[Data nascimento]]&lt;=$I$2),"INFANTIL A",H260)</f>
        <v>JUVENIL</v>
      </c>
      <c r="H260" s="3" t="str">
        <f>IF(AND(Tabela1[[#This Row],[Data nascimento]]&gt;=$L$2,Tabela1[[#This Row],[Data nascimento]]&lt;=$K$2),"INFANTIL B",I260)</f>
        <v>JUVENIL</v>
      </c>
      <c r="I260" s="9" t="str">
        <f>IF(AND(Tabela1[[#This Row],[Data nascimento]]&gt;=$N$2,Tabela1[[#This Row],[Data nascimento]]&lt;=$M$2),"INICIADO",J260)</f>
        <v>JUVENIL</v>
      </c>
      <c r="J260" s="9" t="str">
        <f>IF(AND(Tabela1[[#This Row],[Data nascimento]]&gt;=$P$2,Tabela1[[#This Row],[Data nascimento]]&lt;=$O$2),"JUVENIL","JÚNIOR")</f>
        <v>JUVENIL</v>
      </c>
    </row>
    <row r="261" spans="1:10" ht="15" x14ac:dyDescent="0.4">
      <c r="A261" s="13" t="s">
        <v>3953</v>
      </c>
      <c r="B261" s="2" t="s">
        <v>3954</v>
      </c>
      <c r="C261" s="4" t="s">
        <v>21</v>
      </c>
      <c r="D261" s="11">
        <v>40472</v>
      </c>
      <c r="E261" s="7" t="s">
        <v>3955</v>
      </c>
      <c r="F261" s="4" t="s">
        <v>4718</v>
      </c>
      <c r="G261" s="12" t="str">
        <f>IF(AND(Tabela1[[#This Row],[Data nascimento]]&gt;=$J$2,Tabela1[[#This Row],[Data nascimento]]&lt;=$I$2),"INFANTIL A",H261)</f>
        <v>JUVENIL</v>
      </c>
      <c r="H261" s="3" t="str">
        <f>IF(AND(Tabela1[[#This Row],[Data nascimento]]&gt;=$L$2,Tabela1[[#This Row],[Data nascimento]]&lt;=$K$2),"INFANTIL B",I261)</f>
        <v>JUVENIL</v>
      </c>
      <c r="I261" s="9" t="str">
        <f>IF(AND(Tabela1[[#This Row],[Data nascimento]]&gt;=$N$2,Tabela1[[#This Row],[Data nascimento]]&lt;=$M$2),"INICIADO",J261)</f>
        <v>JUVENIL</v>
      </c>
      <c r="J261" s="9" t="str">
        <f>IF(AND(Tabela1[[#This Row],[Data nascimento]]&gt;=$P$2,Tabela1[[#This Row],[Data nascimento]]&lt;=$O$2),"JUVENIL","JÚNIOR")</f>
        <v>JUVENIL</v>
      </c>
    </row>
    <row r="262" spans="1:10" ht="15" x14ac:dyDescent="0.4">
      <c r="A262" s="13" t="s">
        <v>1580</v>
      </c>
      <c r="B262" s="2" t="s">
        <v>1581</v>
      </c>
      <c r="C262" s="4" t="s">
        <v>8</v>
      </c>
      <c r="D262" s="11">
        <v>40372</v>
      </c>
      <c r="E262" s="7" t="s">
        <v>1582</v>
      </c>
      <c r="F262" s="4" t="s">
        <v>4729</v>
      </c>
      <c r="G262" s="12" t="str">
        <f>IF(AND(Tabela1[[#This Row],[Data nascimento]]&gt;=$J$2,Tabela1[[#This Row],[Data nascimento]]&lt;=$I$2),"INFANTIL A",H262)</f>
        <v>JUVENIL</v>
      </c>
      <c r="H262" s="3" t="str">
        <f>IF(AND(Tabela1[[#This Row],[Data nascimento]]&gt;=$L$2,Tabela1[[#This Row],[Data nascimento]]&lt;=$K$2),"INFANTIL B",I262)</f>
        <v>JUVENIL</v>
      </c>
      <c r="I262" s="9" t="str">
        <f>IF(AND(Tabela1[[#This Row],[Data nascimento]]&gt;=$N$2,Tabela1[[#This Row],[Data nascimento]]&lt;=$M$2),"INICIADO",J262)</f>
        <v>JUVENIL</v>
      </c>
      <c r="J262" s="9" t="str">
        <f>IF(AND(Tabela1[[#This Row],[Data nascimento]]&gt;=$P$2,Tabela1[[#This Row],[Data nascimento]]&lt;=$O$2),"JUVENIL","JÚNIOR")</f>
        <v>JUVENIL</v>
      </c>
    </row>
    <row r="263" spans="1:10" ht="15" x14ac:dyDescent="0.4">
      <c r="A263" s="13" t="s">
        <v>3959</v>
      </c>
      <c r="B263" s="2" t="s">
        <v>3960</v>
      </c>
      <c r="C263" s="4" t="s">
        <v>21</v>
      </c>
      <c r="D263" s="11">
        <v>40250</v>
      </c>
      <c r="E263" s="7" t="s">
        <v>3961</v>
      </c>
      <c r="F263" s="4" t="s">
        <v>4722</v>
      </c>
      <c r="G263" s="12" t="str">
        <f>IF(AND(Tabela1[[#This Row],[Data nascimento]]&gt;=$J$2,Tabela1[[#This Row],[Data nascimento]]&lt;=$I$2),"INFANTIL A",H263)</f>
        <v>JUVENIL</v>
      </c>
      <c r="H263" s="3" t="str">
        <f>IF(AND(Tabela1[[#This Row],[Data nascimento]]&gt;=$L$2,Tabela1[[#This Row],[Data nascimento]]&lt;=$K$2),"INFANTIL B",I263)</f>
        <v>JUVENIL</v>
      </c>
      <c r="I263" s="9" t="str">
        <f>IF(AND(Tabela1[[#This Row],[Data nascimento]]&gt;=$N$2,Tabela1[[#This Row],[Data nascimento]]&lt;=$M$2),"INICIADO",J263)</f>
        <v>JUVENIL</v>
      </c>
      <c r="J263" s="9" t="str">
        <f>IF(AND(Tabela1[[#This Row],[Data nascimento]]&gt;=$P$2,Tabela1[[#This Row],[Data nascimento]]&lt;=$O$2),"JUVENIL","JÚNIOR")</f>
        <v>JUVENIL</v>
      </c>
    </row>
    <row r="264" spans="1:10" ht="15" x14ac:dyDescent="0.4">
      <c r="A264" s="13" t="s">
        <v>3962</v>
      </c>
      <c r="B264" s="2" t="s">
        <v>3963</v>
      </c>
      <c r="C264" s="4" t="s">
        <v>21</v>
      </c>
      <c r="D264" s="11">
        <v>40498</v>
      </c>
      <c r="E264" s="7" t="s">
        <v>3964</v>
      </c>
      <c r="F264" s="4" t="s">
        <v>4722</v>
      </c>
      <c r="G264" s="12" t="str">
        <f>IF(AND(Tabela1[[#This Row],[Data nascimento]]&gt;=$J$2,Tabela1[[#This Row],[Data nascimento]]&lt;=$I$2),"INFANTIL A",H264)</f>
        <v>JUVENIL</v>
      </c>
      <c r="H264" s="3" t="str">
        <f>IF(AND(Tabela1[[#This Row],[Data nascimento]]&gt;=$L$2,Tabela1[[#This Row],[Data nascimento]]&lt;=$K$2),"INFANTIL B",I264)</f>
        <v>JUVENIL</v>
      </c>
      <c r="I264" s="9" t="str">
        <f>IF(AND(Tabela1[[#This Row],[Data nascimento]]&gt;=$N$2,Tabela1[[#This Row],[Data nascimento]]&lt;=$M$2),"INICIADO",J264)</f>
        <v>JUVENIL</v>
      </c>
      <c r="J264" s="9" t="str">
        <f>IF(AND(Tabela1[[#This Row],[Data nascimento]]&gt;=$P$2,Tabela1[[#This Row],[Data nascimento]]&lt;=$O$2),"JUVENIL","JÚNIOR")</f>
        <v>JUVENIL</v>
      </c>
    </row>
    <row r="265" spans="1:10" ht="15" x14ac:dyDescent="0.4">
      <c r="A265" s="13" t="s">
        <v>1583</v>
      </c>
      <c r="B265" s="2" t="s">
        <v>1584</v>
      </c>
      <c r="C265" s="4" t="s">
        <v>8</v>
      </c>
      <c r="D265" s="11">
        <v>40432</v>
      </c>
      <c r="E265" s="7" t="s">
        <v>1585</v>
      </c>
      <c r="F265" s="4" t="s">
        <v>4729</v>
      </c>
      <c r="G265" s="12" t="str">
        <f>IF(AND(Tabela1[[#This Row],[Data nascimento]]&gt;=$J$2,Tabela1[[#This Row],[Data nascimento]]&lt;=$I$2),"INFANTIL A",H265)</f>
        <v>JUVENIL</v>
      </c>
      <c r="H265" s="3" t="str">
        <f>IF(AND(Tabela1[[#This Row],[Data nascimento]]&gt;=$L$2,Tabela1[[#This Row],[Data nascimento]]&lt;=$K$2),"INFANTIL B",I265)</f>
        <v>JUVENIL</v>
      </c>
      <c r="I265" s="9" t="str">
        <f>IF(AND(Tabela1[[#This Row],[Data nascimento]]&gt;=$N$2,Tabela1[[#This Row],[Data nascimento]]&lt;=$M$2),"INICIADO",J265)</f>
        <v>JUVENIL</v>
      </c>
      <c r="J265" s="9" t="str">
        <f>IF(AND(Tabela1[[#This Row],[Data nascimento]]&gt;=$P$2,Tabela1[[#This Row],[Data nascimento]]&lt;=$O$2),"JUVENIL","JÚNIOR")</f>
        <v>JUVENIL</v>
      </c>
    </row>
    <row r="266" spans="1:10" ht="15" x14ac:dyDescent="0.4">
      <c r="A266" s="13" t="s">
        <v>3968</v>
      </c>
      <c r="B266" s="2" t="s">
        <v>3969</v>
      </c>
      <c r="C266" s="4" t="s">
        <v>21</v>
      </c>
      <c r="D266" s="11">
        <v>40262</v>
      </c>
      <c r="E266" s="7" t="s">
        <v>3970</v>
      </c>
      <c r="F266" s="4" t="s">
        <v>4722</v>
      </c>
      <c r="G266" s="12" t="str">
        <f>IF(AND(Tabela1[[#This Row],[Data nascimento]]&gt;=$J$2,Tabela1[[#This Row],[Data nascimento]]&lt;=$I$2),"INFANTIL A",H266)</f>
        <v>JUVENIL</v>
      </c>
      <c r="H266" s="3" t="str">
        <f>IF(AND(Tabela1[[#This Row],[Data nascimento]]&gt;=$L$2,Tabela1[[#This Row],[Data nascimento]]&lt;=$K$2),"INFANTIL B",I266)</f>
        <v>JUVENIL</v>
      </c>
      <c r="I266" s="9" t="str">
        <f>IF(AND(Tabela1[[#This Row],[Data nascimento]]&gt;=$N$2,Tabela1[[#This Row],[Data nascimento]]&lt;=$M$2),"INICIADO",J266)</f>
        <v>JUVENIL</v>
      </c>
      <c r="J266" s="9" t="str">
        <f>IF(AND(Tabela1[[#This Row],[Data nascimento]]&gt;=$P$2,Tabela1[[#This Row],[Data nascimento]]&lt;=$O$2),"JUVENIL","JÚNIOR")</f>
        <v>JUVENIL</v>
      </c>
    </row>
    <row r="267" spans="1:10" ht="15" x14ac:dyDescent="0.4">
      <c r="A267" s="13" t="s">
        <v>3971</v>
      </c>
      <c r="B267" s="2" t="s">
        <v>3972</v>
      </c>
      <c r="C267" s="4" t="s">
        <v>21</v>
      </c>
      <c r="D267" s="11">
        <v>40185</v>
      </c>
      <c r="E267" s="7" t="s">
        <v>3973</v>
      </c>
      <c r="F267" s="4" t="s">
        <v>4718</v>
      </c>
      <c r="G267" s="12" t="str">
        <f>IF(AND(Tabela1[[#This Row],[Data nascimento]]&gt;=$J$2,Tabela1[[#This Row],[Data nascimento]]&lt;=$I$2),"INFANTIL A",H267)</f>
        <v>JUVENIL</v>
      </c>
      <c r="H267" s="3" t="str">
        <f>IF(AND(Tabela1[[#This Row],[Data nascimento]]&gt;=$L$2,Tabela1[[#This Row],[Data nascimento]]&lt;=$K$2),"INFANTIL B",I267)</f>
        <v>JUVENIL</v>
      </c>
      <c r="I267" s="9" t="str">
        <f>IF(AND(Tabela1[[#This Row],[Data nascimento]]&gt;=$N$2,Tabela1[[#This Row],[Data nascimento]]&lt;=$M$2),"INICIADO",J267)</f>
        <v>JUVENIL</v>
      </c>
      <c r="J267" s="9" t="str">
        <f>IF(AND(Tabela1[[#This Row],[Data nascimento]]&gt;=$P$2,Tabela1[[#This Row],[Data nascimento]]&lt;=$O$2),"JUVENIL","JÚNIOR")</f>
        <v>JUVENIL</v>
      </c>
    </row>
    <row r="268" spans="1:10" ht="15" x14ac:dyDescent="0.4">
      <c r="A268" s="13" t="s">
        <v>3974</v>
      </c>
      <c r="B268" s="2" t="s">
        <v>3975</v>
      </c>
      <c r="C268" s="4" t="s">
        <v>21</v>
      </c>
      <c r="D268" s="11">
        <v>40392</v>
      </c>
      <c r="E268" s="7" t="s">
        <v>3976</v>
      </c>
      <c r="F268" s="4" t="s">
        <v>4722</v>
      </c>
      <c r="G268" s="12" t="str">
        <f>IF(AND(Tabela1[[#This Row],[Data nascimento]]&gt;=$J$2,Tabela1[[#This Row],[Data nascimento]]&lt;=$I$2),"INFANTIL A",H268)</f>
        <v>JUVENIL</v>
      </c>
      <c r="H268" s="3" t="str">
        <f>IF(AND(Tabela1[[#This Row],[Data nascimento]]&gt;=$L$2,Tabela1[[#This Row],[Data nascimento]]&lt;=$K$2),"INFANTIL B",I268)</f>
        <v>JUVENIL</v>
      </c>
      <c r="I268" s="9" t="str">
        <f>IF(AND(Tabela1[[#This Row],[Data nascimento]]&gt;=$N$2,Tabela1[[#This Row],[Data nascimento]]&lt;=$M$2),"INICIADO",J268)</f>
        <v>JUVENIL</v>
      </c>
      <c r="J268" s="9" t="str">
        <f>IF(AND(Tabela1[[#This Row],[Data nascimento]]&gt;=$P$2,Tabela1[[#This Row],[Data nascimento]]&lt;=$O$2),"JUVENIL","JÚNIOR")</f>
        <v>JUVENIL</v>
      </c>
    </row>
    <row r="269" spans="1:10" ht="15" x14ac:dyDescent="0.4">
      <c r="A269" s="13" t="s">
        <v>1670</v>
      </c>
      <c r="B269" s="2" t="s">
        <v>1671</v>
      </c>
      <c r="C269" s="4" t="s">
        <v>8</v>
      </c>
      <c r="D269" s="11">
        <v>40376</v>
      </c>
      <c r="E269" s="7" t="s">
        <v>1672</v>
      </c>
      <c r="F269" s="4" t="s">
        <v>4729</v>
      </c>
      <c r="G269" s="12" t="str">
        <f>IF(AND(Tabela1[[#This Row],[Data nascimento]]&gt;=$J$2,Tabela1[[#This Row],[Data nascimento]]&lt;=$I$2),"INFANTIL A",H269)</f>
        <v>JUVENIL</v>
      </c>
      <c r="H269" s="3" t="str">
        <f>IF(AND(Tabela1[[#This Row],[Data nascimento]]&gt;=$L$2,Tabela1[[#This Row],[Data nascimento]]&lt;=$K$2),"INFANTIL B",I269)</f>
        <v>JUVENIL</v>
      </c>
      <c r="I269" s="9" t="str">
        <f>IF(AND(Tabela1[[#This Row],[Data nascimento]]&gt;=$N$2,Tabela1[[#This Row],[Data nascimento]]&lt;=$M$2),"INICIADO",J269)</f>
        <v>JUVENIL</v>
      </c>
      <c r="J269" s="9" t="str">
        <f>IF(AND(Tabela1[[#This Row],[Data nascimento]]&gt;=$P$2,Tabela1[[#This Row],[Data nascimento]]&lt;=$O$2),"JUVENIL","JÚNIOR")</f>
        <v>JUVENIL</v>
      </c>
    </row>
    <row r="270" spans="1:10" ht="15" x14ac:dyDescent="0.4">
      <c r="A270" s="13" t="s">
        <v>1682</v>
      </c>
      <c r="B270" s="2" t="s">
        <v>1683</v>
      </c>
      <c r="C270" s="4" t="s">
        <v>8</v>
      </c>
      <c r="D270" s="11">
        <v>40158</v>
      </c>
      <c r="E270" s="7" t="s">
        <v>1684</v>
      </c>
      <c r="F270" s="4" t="s">
        <v>4729</v>
      </c>
      <c r="G270" s="12" t="str">
        <f>IF(AND(Tabela1[[#This Row],[Data nascimento]]&gt;=$J$2,Tabela1[[#This Row],[Data nascimento]]&lt;=$I$2),"INFANTIL A",H270)</f>
        <v>JUVENIL</v>
      </c>
      <c r="H270" s="3" t="str">
        <f>IF(AND(Tabela1[[#This Row],[Data nascimento]]&gt;=$L$2,Tabela1[[#This Row],[Data nascimento]]&lt;=$K$2),"INFANTIL B",I270)</f>
        <v>JUVENIL</v>
      </c>
      <c r="I270" s="9" t="str">
        <f>IF(AND(Tabela1[[#This Row],[Data nascimento]]&gt;=$N$2,Tabela1[[#This Row],[Data nascimento]]&lt;=$M$2),"INICIADO",J270)</f>
        <v>JUVENIL</v>
      </c>
      <c r="J270" s="9" t="str">
        <f>IF(AND(Tabela1[[#This Row],[Data nascimento]]&gt;=$P$2,Tabela1[[#This Row],[Data nascimento]]&lt;=$O$2),"JUVENIL","JÚNIOR")</f>
        <v>JUVENIL</v>
      </c>
    </row>
    <row r="271" spans="1:10" ht="15" x14ac:dyDescent="0.4">
      <c r="A271" s="13" t="s">
        <v>1133</v>
      </c>
      <c r="B271" s="2" t="s">
        <v>1134</v>
      </c>
      <c r="C271" s="4" t="s">
        <v>8</v>
      </c>
      <c r="D271" s="11">
        <v>39987</v>
      </c>
      <c r="E271" s="7" t="s">
        <v>1135</v>
      </c>
      <c r="F271" s="4" t="s">
        <v>4732</v>
      </c>
      <c r="G271" s="12" t="str">
        <f>IF(AND(Tabela1[[#This Row],[Data nascimento]]&gt;=$J$2,Tabela1[[#This Row],[Data nascimento]]&lt;=$I$2),"INFANTIL A",H271)</f>
        <v>JUVENIL</v>
      </c>
      <c r="H271" s="3" t="str">
        <f>IF(AND(Tabela1[[#This Row],[Data nascimento]]&gt;=$L$2,Tabela1[[#This Row],[Data nascimento]]&lt;=$K$2),"INFANTIL B",I271)</f>
        <v>JUVENIL</v>
      </c>
      <c r="I271" s="9" t="str">
        <f>IF(AND(Tabela1[[#This Row],[Data nascimento]]&gt;=$N$2,Tabela1[[#This Row],[Data nascimento]]&lt;=$M$2),"INICIADO",J271)</f>
        <v>JUVENIL</v>
      </c>
      <c r="J271" s="9" t="str">
        <f>IF(AND(Tabela1[[#This Row],[Data nascimento]]&gt;=$P$2,Tabela1[[#This Row],[Data nascimento]]&lt;=$O$2),"JUVENIL","JÚNIOR")</f>
        <v>JUVENIL</v>
      </c>
    </row>
    <row r="272" spans="1:10" ht="15" x14ac:dyDescent="0.4">
      <c r="A272" s="13" t="s">
        <v>3986</v>
      </c>
      <c r="B272" s="2" t="s">
        <v>3987</v>
      </c>
      <c r="C272" s="4" t="s">
        <v>21</v>
      </c>
      <c r="D272" s="11">
        <v>40431</v>
      </c>
      <c r="E272" s="7" t="s">
        <v>3988</v>
      </c>
      <c r="F272" s="4" t="s">
        <v>4722</v>
      </c>
      <c r="G272" s="12" t="str">
        <f>IF(AND(Tabela1[[#This Row],[Data nascimento]]&gt;=$J$2,Tabela1[[#This Row],[Data nascimento]]&lt;=$I$2),"INFANTIL A",H272)</f>
        <v>JUVENIL</v>
      </c>
      <c r="H272" s="3" t="str">
        <f>IF(AND(Tabela1[[#This Row],[Data nascimento]]&gt;=$L$2,Tabela1[[#This Row],[Data nascimento]]&lt;=$K$2),"INFANTIL B",I272)</f>
        <v>JUVENIL</v>
      </c>
      <c r="I272" s="9" t="str">
        <f>IF(AND(Tabela1[[#This Row],[Data nascimento]]&gt;=$N$2,Tabela1[[#This Row],[Data nascimento]]&lt;=$M$2),"INICIADO",J272)</f>
        <v>JUVENIL</v>
      </c>
      <c r="J272" s="9" t="str">
        <f>IF(AND(Tabela1[[#This Row],[Data nascimento]]&gt;=$P$2,Tabela1[[#This Row],[Data nascimento]]&lt;=$O$2),"JUVENIL","JÚNIOR")</f>
        <v>JUVENIL</v>
      </c>
    </row>
    <row r="273" spans="1:10" ht="15" x14ac:dyDescent="0.4">
      <c r="A273" s="13" t="s">
        <v>3989</v>
      </c>
      <c r="B273" s="2" t="s">
        <v>3990</v>
      </c>
      <c r="C273" s="4" t="s">
        <v>21</v>
      </c>
      <c r="D273" s="11">
        <v>40200</v>
      </c>
      <c r="E273" s="7" t="s">
        <v>3991</v>
      </c>
      <c r="F273" s="4" t="s">
        <v>4718</v>
      </c>
      <c r="G273" s="12" t="str">
        <f>IF(AND(Tabela1[[#This Row],[Data nascimento]]&gt;=$J$2,Tabela1[[#This Row],[Data nascimento]]&lt;=$I$2),"INFANTIL A",H273)</f>
        <v>JUVENIL</v>
      </c>
      <c r="H273" s="3" t="str">
        <f>IF(AND(Tabela1[[#This Row],[Data nascimento]]&gt;=$L$2,Tabela1[[#This Row],[Data nascimento]]&lt;=$K$2),"INFANTIL B",I273)</f>
        <v>JUVENIL</v>
      </c>
      <c r="I273" s="9" t="str">
        <f>IF(AND(Tabela1[[#This Row],[Data nascimento]]&gt;=$N$2,Tabela1[[#This Row],[Data nascimento]]&lt;=$M$2),"INICIADO",J273)</f>
        <v>JUVENIL</v>
      </c>
      <c r="J273" s="9" t="str">
        <f>IF(AND(Tabela1[[#This Row],[Data nascimento]]&gt;=$P$2,Tabela1[[#This Row],[Data nascimento]]&lt;=$O$2),"JUVENIL","JÚNIOR")</f>
        <v>JUVENIL</v>
      </c>
    </row>
    <row r="274" spans="1:10" ht="15" x14ac:dyDescent="0.4">
      <c r="A274" s="13" t="s">
        <v>1139</v>
      </c>
      <c r="B274" s="2" t="s">
        <v>1140</v>
      </c>
      <c r="C274" s="4" t="s">
        <v>8</v>
      </c>
      <c r="D274" s="11">
        <v>40121</v>
      </c>
      <c r="E274" s="7" t="s">
        <v>1141</v>
      </c>
      <c r="F274" s="4" t="s">
        <v>4732</v>
      </c>
      <c r="G274" s="12" t="str">
        <f>IF(AND(Tabela1[[#This Row],[Data nascimento]]&gt;=$J$2,Tabela1[[#This Row],[Data nascimento]]&lt;=$I$2),"INFANTIL A",H274)</f>
        <v>JUVENIL</v>
      </c>
      <c r="H274" s="3" t="str">
        <f>IF(AND(Tabela1[[#This Row],[Data nascimento]]&gt;=$L$2,Tabela1[[#This Row],[Data nascimento]]&lt;=$K$2),"INFANTIL B",I274)</f>
        <v>JUVENIL</v>
      </c>
      <c r="I274" s="9" t="str">
        <f>IF(AND(Tabela1[[#This Row],[Data nascimento]]&gt;=$N$2,Tabela1[[#This Row],[Data nascimento]]&lt;=$M$2),"INICIADO",J274)</f>
        <v>JUVENIL</v>
      </c>
      <c r="J274" s="9" t="str">
        <f>IF(AND(Tabela1[[#This Row],[Data nascimento]]&gt;=$P$2,Tabela1[[#This Row],[Data nascimento]]&lt;=$O$2),"JUVENIL","JÚNIOR")</f>
        <v>JUVENIL</v>
      </c>
    </row>
    <row r="275" spans="1:10" ht="15" x14ac:dyDescent="0.4">
      <c r="A275" s="13" t="s">
        <v>1151</v>
      </c>
      <c r="B275" s="2" t="s">
        <v>1152</v>
      </c>
      <c r="C275" s="4" t="s">
        <v>8</v>
      </c>
      <c r="D275" s="11">
        <v>39897</v>
      </c>
      <c r="E275" s="7" t="s">
        <v>1153</v>
      </c>
      <c r="F275" s="4" t="s">
        <v>4732</v>
      </c>
      <c r="G275" s="12" t="str">
        <f>IF(AND(Tabela1[[#This Row],[Data nascimento]]&gt;=$J$2,Tabela1[[#This Row],[Data nascimento]]&lt;=$I$2),"INFANTIL A",H275)</f>
        <v>JUVENIL</v>
      </c>
      <c r="H275" s="3" t="str">
        <f>IF(AND(Tabela1[[#This Row],[Data nascimento]]&gt;=$L$2,Tabela1[[#This Row],[Data nascimento]]&lt;=$K$2),"INFANTIL B",I275)</f>
        <v>JUVENIL</v>
      </c>
      <c r="I275" s="9" t="str">
        <f>IF(AND(Tabela1[[#This Row],[Data nascimento]]&gt;=$N$2,Tabela1[[#This Row],[Data nascimento]]&lt;=$M$2),"INICIADO",J275)</f>
        <v>JUVENIL</v>
      </c>
      <c r="J275" s="9" t="str">
        <f>IF(AND(Tabela1[[#This Row],[Data nascimento]]&gt;=$P$2,Tabela1[[#This Row],[Data nascimento]]&lt;=$O$2),"JUVENIL","JÚNIOR")</f>
        <v>JUVENIL</v>
      </c>
    </row>
    <row r="276" spans="1:10" ht="15" x14ac:dyDescent="0.4">
      <c r="A276" s="13" t="s">
        <v>1163</v>
      </c>
      <c r="B276" s="2" t="s">
        <v>1164</v>
      </c>
      <c r="C276" s="4" t="s">
        <v>8</v>
      </c>
      <c r="D276" s="11">
        <v>39858</v>
      </c>
      <c r="E276" s="7" t="s">
        <v>1165</v>
      </c>
      <c r="F276" s="4" t="s">
        <v>4732</v>
      </c>
      <c r="G276" s="12" t="str">
        <f>IF(AND(Tabela1[[#This Row],[Data nascimento]]&gt;=$J$2,Tabela1[[#This Row],[Data nascimento]]&lt;=$I$2),"INFANTIL A",H276)</f>
        <v>JUVENIL</v>
      </c>
      <c r="H276" s="3" t="str">
        <f>IF(AND(Tabela1[[#This Row],[Data nascimento]]&gt;=$L$2,Tabela1[[#This Row],[Data nascimento]]&lt;=$K$2),"INFANTIL B",I276)</f>
        <v>JUVENIL</v>
      </c>
      <c r="I276" s="9" t="str">
        <f>IF(AND(Tabela1[[#This Row],[Data nascimento]]&gt;=$N$2,Tabela1[[#This Row],[Data nascimento]]&lt;=$M$2),"INICIADO",J276)</f>
        <v>JUVENIL</v>
      </c>
      <c r="J276" s="9" t="str">
        <f>IF(AND(Tabela1[[#This Row],[Data nascimento]]&gt;=$P$2,Tabela1[[#This Row],[Data nascimento]]&lt;=$O$2),"JUVENIL","JÚNIOR")</f>
        <v>JUVENIL</v>
      </c>
    </row>
    <row r="277" spans="1:10" ht="15" x14ac:dyDescent="0.4">
      <c r="A277" s="13" t="s">
        <v>4001</v>
      </c>
      <c r="B277" s="2" t="s">
        <v>4002</v>
      </c>
      <c r="C277" s="4" t="s">
        <v>21</v>
      </c>
      <c r="D277" s="11">
        <v>40243</v>
      </c>
      <c r="E277" s="7" t="s">
        <v>4003</v>
      </c>
      <c r="F277" s="4" t="s">
        <v>4718</v>
      </c>
      <c r="G277" s="12" t="str">
        <f>IF(AND(Tabela1[[#This Row],[Data nascimento]]&gt;=$J$2,Tabela1[[#This Row],[Data nascimento]]&lt;=$I$2),"INFANTIL A",H277)</f>
        <v>JUVENIL</v>
      </c>
      <c r="H277" s="3" t="str">
        <f>IF(AND(Tabela1[[#This Row],[Data nascimento]]&gt;=$L$2,Tabela1[[#This Row],[Data nascimento]]&lt;=$K$2),"INFANTIL B",I277)</f>
        <v>JUVENIL</v>
      </c>
      <c r="I277" s="9" t="str">
        <f>IF(AND(Tabela1[[#This Row],[Data nascimento]]&gt;=$N$2,Tabela1[[#This Row],[Data nascimento]]&lt;=$M$2),"INICIADO",J277)</f>
        <v>JUVENIL</v>
      </c>
      <c r="J277" s="9" t="str">
        <f>IF(AND(Tabela1[[#This Row],[Data nascimento]]&gt;=$P$2,Tabela1[[#This Row],[Data nascimento]]&lt;=$O$2),"JUVENIL","JÚNIOR")</f>
        <v>JUVENIL</v>
      </c>
    </row>
    <row r="278" spans="1:10" ht="15" x14ac:dyDescent="0.4">
      <c r="A278" s="13" t="s">
        <v>1187</v>
      </c>
      <c r="B278" s="2" t="s">
        <v>1188</v>
      </c>
      <c r="C278" s="4" t="s">
        <v>8</v>
      </c>
      <c r="D278" s="11">
        <v>39692</v>
      </c>
      <c r="E278" s="7" t="s">
        <v>1189</v>
      </c>
      <c r="F278" s="4" t="s">
        <v>4732</v>
      </c>
      <c r="G278" s="12" t="str">
        <f>IF(AND(Tabela1[[#This Row],[Data nascimento]]&gt;=$J$2,Tabela1[[#This Row],[Data nascimento]]&lt;=$I$2),"INFANTIL A",H278)</f>
        <v>JUVENIL</v>
      </c>
      <c r="H278" s="3" t="str">
        <f>IF(AND(Tabela1[[#This Row],[Data nascimento]]&gt;=$L$2,Tabela1[[#This Row],[Data nascimento]]&lt;=$K$2),"INFANTIL B",I278)</f>
        <v>JUVENIL</v>
      </c>
      <c r="I278" s="9" t="str">
        <f>IF(AND(Tabela1[[#This Row],[Data nascimento]]&gt;=$N$2,Tabela1[[#This Row],[Data nascimento]]&lt;=$M$2),"INICIADO",J278)</f>
        <v>JUVENIL</v>
      </c>
      <c r="J278" s="9" t="str">
        <f>IF(AND(Tabela1[[#This Row],[Data nascimento]]&gt;=$P$2,Tabela1[[#This Row],[Data nascimento]]&lt;=$O$2),"JUVENIL","JÚNIOR")</f>
        <v>JUVENIL</v>
      </c>
    </row>
    <row r="279" spans="1:10" ht="15" x14ac:dyDescent="0.4">
      <c r="A279" s="13" t="s">
        <v>4007</v>
      </c>
      <c r="B279" s="2" t="s">
        <v>4008</v>
      </c>
      <c r="C279" s="4" t="s">
        <v>21</v>
      </c>
      <c r="D279" s="11">
        <v>40442</v>
      </c>
      <c r="E279" s="7" t="s">
        <v>4009</v>
      </c>
      <c r="F279" s="4" t="s">
        <v>4722</v>
      </c>
      <c r="G279" s="12" t="str">
        <f>IF(AND(Tabela1[[#This Row],[Data nascimento]]&gt;=$J$2,Tabela1[[#This Row],[Data nascimento]]&lt;=$I$2),"INFANTIL A",H279)</f>
        <v>JUVENIL</v>
      </c>
      <c r="H279" s="3" t="str">
        <f>IF(AND(Tabela1[[#This Row],[Data nascimento]]&gt;=$L$2,Tabela1[[#This Row],[Data nascimento]]&lt;=$K$2),"INFANTIL B",I279)</f>
        <v>JUVENIL</v>
      </c>
      <c r="I279" s="9" t="str">
        <f>IF(AND(Tabela1[[#This Row],[Data nascimento]]&gt;=$N$2,Tabela1[[#This Row],[Data nascimento]]&lt;=$M$2),"INICIADO",J279)</f>
        <v>JUVENIL</v>
      </c>
      <c r="J279" s="9" t="str">
        <f>IF(AND(Tabela1[[#This Row],[Data nascimento]]&gt;=$P$2,Tabela1[[#This Row],[Data nascimento]]&lt;=$O$2),"JUVENIL","JÚNIOR")</f>
        <v>JUVENIL</v>
      </c>
    </row>
    <row r="280" spans="1:10" ht="15" x14ac:dyDescent="0.4">
      <c r="A280" s="13" t="s">
        <v>4010</v>
      </c>
      <c r="B280" s="2" t="s">
        <v>4011</v>
      </c>
      <c r="C280" s="4" t="s">
        <v>21</v>
      </c>
      <c r="D280" s="11">
        <v>40005</v>
      </c>
      <c r="E280" s="7" t="s">
        <v>4012</v>
      </c>
      <c r="F280" s="4" t="s">
        <v>4723</v>
      </c>
      <c r="G280" s="12" t="str">
        <f>IF(AND(Tabela1[[#This Row],[Data nascimento]]&gt;=$J$2,Tabela1[[#This Row],[Data nascimento]]&lt;=$I$2),"INFANTIL A",H280)</f>
        <v>JUVENIL</v>
      </c>
      <c r="H280" s="3" t="str">
        <f>IF(AND(Tabela1[[#This Row],[Data nascimento]]&gt;=$L$2,Tabela1[[#This Row],[Data nascimento]]&lt;=$K$2),"INFANTIL B",I280)</f>
        <v>JUVENIL</v>
      </c>
      <c r="I280" s="9" t="str">
        <f>IF(AND(Tabela1[[#This Row],[Data nascimento]]&gt;=$N$2,Tabela1[[#This Row],[Data nascimento]]&lt;=$M$2),"INICIADO",J280)</f>
        <v>JUVENIL</v>
      </c>
      <c r="J280" s="9" t="str">
        <f>IF(AND(Tabela1[[#This Row],[Data nascimento]]&gt;=$P$2,Tabela1[[#This Row],[Data nascimento]]&lt;=$O$2),"JUVENIL","JÚNIOR")</f>
        <v>JUVENIL</v>
      </c>
    </row>
    <row r="281" spans="1:10" ht="15" x14ac:dyDescent="0.4">
      <c r="A281" s="13" t="s">
        <v>4013</v>
      </c>
      <c r="B281" s="2" t="s">
        <v>4014</v>
      </c>
      <c r="C281" s="4" t="s">
        <v>21</v>
      </c>
      <c r="D281" s="11">
        <v>40245</v>
      </c>
      <c r="E281" s="7" t="s">
        <v>4015</v>
      </c>
      <c r="F281" s="4" t="s">
        <v>4723</v>
      </c>
      <c r="G281" s="12" t="str">
        <f>IF(AND(Tabela1[[#This Row],[Data nascimento]]&gt;=$J$2,Tabela1[[#This Row],[Data nascimento]]&lt;=$I$2),"INFANTIL A",H281)</f>
        <v>JUVENIL</v>
      </c>
      <c r="H281" s="3" t="str">
        <f>IF(AND(Tabela1[[#This Row],[Data nascimento]]&gt;=$L$2,Tabela1[[#This Row],[Data nascimento]]&lt;=$K$2),"INFANTIL B",I281)</f>
        <v>JUVENIL</v>
      </c>
      <c r="I281" s="9" t="str">
        <f>IF(AND(Tabela1[[#This Row],[Data nascimento]]&gt;=$N$2,Tabela1[[#This Row],[Data nascimento]]&lt;=$M$2),"INICIADO",J281)</f>
        <v>JUVENIL</v>
      </c>
      <c r="J281" s="9" t="str">
        <f>IF(AND(Tabela1[[#This Row],[Data nascimento]]&gt;=$P$2,Tabela1[[#This Row],[Data nascimento]]&lt;=$O$2),"JUVENIL","JÚNIOR")</f>
        <v>JUVENIL</v>
      </c>
    </row>
    <row r="282" spans="1:10" ht="15" x14ac:dyDescent="0.4">
      <c r="A282" s="13" t="s">
        <v>4016</v>
      </c>
      <c r="B282" s="2" t="s">
        <v>4017</v>
      </c>
      <c r="C282" s="4" t="s">
        <v>21</v>
      </c>
      <c r="D282" s="11">
        <v>39951</v>
      </c>
      <c r="E282" s="7" t="s">
        <v>4018</v>
      </c>
      <c r="F282" s="4" t="s">
        <v>4723</v>
      </c>
      <c r="G282" s="12" t="str">
        <f>IF(AND(Tabela1[[#This Row],[Data nascimento]]&gt;=$J$2,Tabela1[[#This Row],[Data nascimento]]&lt;=$I$2),"INFANTIL A",H282)</f>
        <v>JUVENIL</v>
      </c>
      <c r="H282" s="3" t="str">
        <f>IF(AND(Tabela1[[#This Row],[Data nascimento]]&gt;=$L$2,Tabela1[[#This Row],[Data nascimento]]&lt;=$K$2),"INFANTIL B",I282)</f>
        <v>JUVENIL</v>
      </c>
      <c r="I282" s="9" t="str">
        <f>IF(AND(Tabela1[[#This Row],[Data nascimento]]&gt;=$N$2,Tabela1[[#This Row],[Data nascimento]]&lt;=$M$2),"INICIADO",J282)</f>
        <v>JUVENIL</v>
      </c>
      <c r="J282" s="9" t="str">
        <f>IF(AND(Tabela1[[#This Row],[Data nascimento]]&gt;=$P$2,Tabela1[[#This Row],[Data nascimento]]&lt;=$O$2),"JUVENIL","JÚNIOR")</f>
        <v>JUVENIL</v>
      </c>
    </row>
    <row r="283" spans="1:10" ht="15" x14ac:dyDescent="0.4">
      <c r="A283" s="13" t="s">
        <v>1244</v>
      </c>
      <c r="B283" s="2" t="s">
        <v>1245</v>
      </c>
      <c r="C283" s="4" t="s">
        <v>8</v>
      </c>
      <c r="D283" s="11">
        <v>40196</v>
      </c>
      <c r="E283" s="7" t="s">
        <v>1246</v>
      </c>
      <c r="F283" s="4" t="s">
        <v>4732</v>
      </c>
      <c r="G283" s="12" t="str">
        <f>IF(AND(Tabela1[[#This Row],[Data nascimento]]&gt;=$J$2,Tabela1[[#This Row],[Data nascimento]]&lt;=$I$2),"INFANTIL A",H283)</f>
        <v>JUVENIL</v>
      </c>
      <c r="H283" s="3" t="str">
        <f>IF(AND(Tabela1[[#This Row],[Data nascimento]]&gt;=$L$2,Tabela1[[#This Row],[Data nascimento]]&lt;=$K$2),"INFANTIL B",I283)</f>
        <v>JUVENIL</v>
      </c>
      <c r="I283" s="9" t="str">
        <f>IF(AND(Tabela1[[#This Row],[Data nascimento]]&gt;=$N$2,Tabela1[[#This Row],[Data nascimento]]&lt;=$M$2),"INICIADO",J283)</f>
        <v>JUVENIL</v>
      </c>
      <c r="J283" s="9" t="str">
        <f>IF(AND(Tabela1[[#This Row],[Data nascimento]]&gt;=$P$2,Tabela1[[#This Row],[Data nascimento]]&lt;=$O$2),"JUVENIL","JÚNIOR")</f>
        <v>JUVENIL</v>
      </c>
    </row>
    <row r="284" spans="1:10" ht="15" x14ac:dyDescent="0.4">
      <c r="A284" s="13" t="s">
        <v>1247</v>
      </c>
      <c r="B284" s="2" t="s">
        <v>1248</v>
      </c>
      <c r="C284" s="4" t="s">
        <v>8</v>
      </c>
      <c r="D284" s="11">
        <v>40203</v>
      </c>
      <c r="E284" s="7" t="s">
        <v>1249</v>
      </c>
      <c r="F284" s="4" t="s">
        <v>4732</v>
      </c>
      <c r="G284" s="12" t="str">
        <f>IF(AND(Tabela1[[#This Row],[Data nascimento]]&gt;=$J$2,Tabela1[[#This Row],[Data nascimento]]&lt;=$I$2),"INFANTIL A",H284)</f>
        <v>JUVENIL</v>
      </c>
      <c r="H284" s="3" t="str">
        <f>IF(AND(Tabela1[[#This Row],[Data nascimento]]&gt;=$L$2,Tabela1[[#This Row],[Data nascimento]]&lt;=$K$2),"INFANTIL B",I284)</f>
        <v>JUVENIL</v>
      </c>
      <c r="I284" s="9" t="str">
        <f>IF(AND(Tabela1[[#This Row],[Data nascimento]]&gt;=$N$2,Tabela1[[#This Row],[Data nascimento]]&lt;=$M$2),"INICIADO",J284)</f>
        <v>JUVENIL</v>
      </c>
      <c r="J284" s="9" t="str">
        <f>IF(AND(Tabela1[[#This Row],[Data nascimento]]&gt;=$P$2,Tabela1[[#This Row],[Data nascimento]]&lt;=$O$2),"JUVENIL","JÚNIOR")</f>
        <v>JUVENIL</v>
      </c>
    </row>
    <row r="285" spans="1:10" ht="15" x14ac:dyDescent="0.4">
      <c r="A285" s="13" t="s">
        <v>4025</v>
      </c>
      <c r="B285" s="2" t="s">
        <v>4026</v>
      </c>
      <c r="C285" s="4" t="s">
        <v>21</v>
      </c>
      <c r="D285" s="11">
        <v>40288</v>
      </c>
      <c r="E285" s="7" t="s">
        <v>4027</v>
      </c>
      <c r="F285" s="4" t="s">
        <v>4718</v>
      </c>
      <c r="G285" s="12" t="str">
        <f>IF(AND(Tabela1[[#This Row],[Data nascimento]]&gt;=$J$2,Tabela1[[#This Row],[Data nascimento]]&lt;=$I$2),"INFANTIL A",H285)</f>
        <v>JUVENIL</v>
      </c>
      <c r="H285" s="3" t="str">
        <f>IF(AND(Tabela1[[#This Row],[Data nascimento]]&gt;=$L$2,Tabela1[[#This Row],[Data nascimento]]&lt;=$K$2),"INFANTIL B",I285)</f>
        <v>JUVENIL</v>
      </c>
      <c r="I285" s="9" t="str">
        <f>IF(AND(Tabela1[[#This Row],[Data nascimento]]&gt;=$N$2,Tabela1[[#This Row],[Data nascimento]]&lt;=$M$2),"INICIADO",J285)</f>
        <v>JUVENIL</v>
      </c>
      <c r="J285" s="9" t="str">
        <f>IF(AND(Tabela1[[#This Row],[Data nascimento]]&gt;=$P$2,Tabela1[[#This Row],[Data nascimento]]&lt;=$O$2),"JUVENIL","JÚNIOR")</f>
        <v>JUVENIL</v>
      </c>
    </row>
    <row r="286" spans="1:10" ht="15" x14ac:dyDescent="0.4">
      <c r="A286" s="13" t="s">
        <v>4028</v>
      </c>
      <c r="B286" s="2" t="s">
        <v>4029</v>
      </c>
      <c r="C286" s="4" t="s">
        <v>21</v>
      </c>
      <c r="D286" s="11">
        <v>40188</v>
      </c>
      <c r="E286" s="7" t="s">
        <v>4030</v>
      </c>
      <c r="F286" s="4" t="s">
        <v>4723</v>
      </c>
      <c r="G286" s="12" t="str">
        <f>IF(AND(Tabela1[[#This Row],[Data nascimento]]&gt;=$J$2,Tabela1[[#This Row],[Data nascimento]]&lt;=$I$2),"INFANTIL A",H286)</f>
        <v>JUVENIL</v>
      </c>
      <c r="H286" s="3" t="str">
        <f>IF(AND(Tabela1[[#This Row],[Data nascimento]]&gt;=$L$2,Tabela1[[#This Row],[Data nascimento]]&lt;=$K$2),"INFANTIL B",I286)</f>
        <v>JUVENIL</v>
      </c>
      <c r="I286" s="9" t="str">
        <f>IF(AND(Tabela1[[#This Row],[Data nascimento]]&gt;=$N$2,Tabela1[[#This Row],[Data nascimento]]&lt;=$M$2),"INICIADO",J286)</f>
        <v>JUVENIL</v>
      </c>
      <c r="J286" s="9" t="str">
        <f>IF(AND(Tabela1[[#This Row],[Data nascimento]]&gt;=$P$2,Tabela1[[#This Row],[Data nascimento]]&lt;=$O$2),"JUVENIL","JÚNIOR")</f>
        <v>JUVENIL</v>
      </c>
    </row>
    <row r="287" spans="1:10" ht="15" x14ac:dyDescent="0.4">
      <c r="A287" s="13" t="s">
        <v>1259</v>
      </c>
      <c r="B287" s="2" t="s">
        <v>1260</v>
      </c>
      <c r="C287" s="4" t="s">
        <v>8</v>
      </c>
      <c r="D287" s="11">
        <v>40057</v>
      </c>
      <c r="E287" s="7" t="s">
        <v>1261</v>
      </c>
      <c r="F287" s="4" t="s">
        <v>4732</v>
      </c>
      <c r="G287" s="12" t="str">
        <f>IF(AND(Tabela1[[#This Row],[Data nascimento]]&gt;=$J$2,Tabela1[[#This Row],[Data nascimento]]&lt;=$I$2),"INFANTIL A",H287)</f>
        <v>JUVENIL</v>
      </c>
      <c r="H287" s="3" t="str">
        <f>IF(AND(Tabela1[[#This Row],[Data nascimento]]&gt;=$L$2,Tabela1[[#This Row],[Data nascimento]]&lt;=$K$2),"INFANTIL B",I287)</f>
        <v>JUVENIL</v>
      </c>
      <c r="I287" s="9" t="str">
        <f>IF(AND(Tabela1[[#This Row],[Data nascimento]]&gt;=$N$2,Tabela1[[#This Row],[Data nascimento]]&lt;=$M$2),"INICIADO",J287)</f>
        <v>JUVENIL</v>
      </c>
      <c r="J287" s="9" t="str">
        <f>IF(AND(Tabela1[[#This Row],[Data nascimento]]&gt;=$P$2,Tabela1[[#This Row],[Data nascimento]]&lt;=$O$2),"JUVENIL","JÚNIOR")</f>
        <v>JUVENIL</v>
      </c>
    </row>
    <row r="288" spans="1:10" ht="15" x14ac:dyDescent="0.4">
      <c r="A288" s="13" t="s">
        <v>1289</v>
      </c>
      <c r="B288" s="2" t="s">
        <v>1290</v>
      </c>
      <c r="C288" s="4" t="s">
        <v>8</v>
      </c>
      <c r="D288" s="11">
        <v>40271</v>
      </c>
      <c r="E288" s="7" t="s">
        <v>1291</v>
      </c>
      <c r="F288" s="4" t="s">
        <v>4732</v>
      </c>
      <c r="G288" s="12" t="str">
        <f>IF(AND(Tabela1[[#This Row],[Data nascimento]]&gt;=$J$2,Tabela1[[#This Row],[Data nascimento]]&lt;=$I$2),"INFANTIL A",H288)</f>
        <v>JUVENIL</v>
      </c>
      <c r="H288" s="3" t="str">
        <f>IF(AND(Tabela1[[#This Row],[Data nascimento]]&gt;=$L$2,Tabela1[[#This Row],[Data nascimento]]&lt;=$K$2),"INFANTIL B",I288)</f>
        <v>JUVENIL</v>
      </c>
      <c r="I288" s="9" t="str">
        <f>IF(AND(Tabela1[[#This Row],[Data nascimento]]&gt;=$N$2,Tabela1[[#This Row],[Data nascimento]]&lt;=$M$2),"INICIADO",J288)</f>
        <v>JUVENIL</v>
      </c>
      <c r="J288" s="9" t="str">
        <f>IF(AND(Tabela1[[#This Row],[Data nascimento]]&gt;=$P$2,Tabela1[[#This Row],[Data nascimento]]&lt;=$O$2),"JUVENIL","JÚNIOR")</f>
        <v>JUVENIL</v>
      </c>
    </row>
    <row r="289" spans="1:10" ht="15" x14ac:dyDescent="0.4">
      <c r="A289" s="13" t="s">
        <v>1307</v>
      </c>
      <c r="B289" s="2" t="s">
        <v>1308</v>
      </c>
      <c r="C289" s="4" t="s">
        <v>8</v>
      </c>
      <c r="D289" s="11">
        <v>40390</v>
      </c>
      <c r="E289" s="7" t="s">
        <v>1309</v>
      </c>
      <c r="F289" s="4" t="s">
        <v>4732</v>
      </c>
      <c r="G289" s="12" t="str">
        <f>IF(AND(Tabela1[[#This Row],[Data nascimento]]&gt;=$J$2,Tabela1[[#This Row],[Data nascimento]]&lt;=$I$2),"INFANTIL A",H289)</f>
        <v>JUVENIL</v>
      </c>
      <c r="H289" s="3" t="str">
        <f>IF(AND(Tabela1[[#This Row],[Data nascimento]]&gt;=$L$2,Tabela1[[#This Row],[Data nascimento]]&lt;=$K$2),"INFANTIL B",I289)</f>
        <v>JUVENIL</v>
      </c>
      <c r="I289" s="9" t="str">
        <f>IF(AND(Tabela1[[#This Row],[Data nascimento]]&gt;=$N$2,Tabela1[[#This Row],[Data nascimento]]&lt;=$M$2),"INICIADO",J289)</f>
        <v>JUVENIL</v>
      </c>
      <c r="J289" s="9" t="str">
        <f>IF(AND(Tabela1[[#This Row],[Data nascimento]]&gt;=$P$2,Tabela1[[#This Row],[Data nascimento]]&lt;=$O$2),"JUVENIL","JÚNIOR")</f>
        <v>JUVENIL</v>
      </c>
    </row>
    <row r="290" spans="1:10" ht="15" x14ac:dyDescent="0.4">
      <c r="A290" s="13" t="s">
        <v>1319</v>
      </c>
      <c r="B290" s="2" t="s">
        <v>1320</v>
      </c>
      <c r="C290" s="4" t="s">
        <v>8</v>
      </c>
      <c r="D290" s="11">
        <v>39809</v>
      </c>
      <c r="E290" s="7" t="s">
        <v>1321</v>
      </c>
      <c r="F290" s="4" t="s">
        <v>4732</v>
      </c>
      <c r="G290" s="12" t="str">
        <f>IF(AND(Tabela1[[#This Row],[Data nascimento]]&gt;=$J$2,Tabela1[[#This Row],[Data nascimento]]&lt;=$I$2),"INFANTIL A",H290)</f>
        <v>JUVENIL</v>
      </c>
      <c r="H290" s="3" t="str">
        <f>IF(AND(Tabela1[[#This Row],[Data nascimento]]&gt;=$L$2,Tabela1[[#This Row],[Data nascimento]]&lt;=$K$2),"INFANTIL B",I290)</f>
        <v>JUVENIL</v>
      </c>
      <c r="I290" s="9" t="str">
        <f>IF(AND(Tabela1[[#This Row],[Data nascimento]]&gt;=$N$2,Tabela1[[#This Row],[Data nascimento]]&lt;=$M$2),"INICIADO",J290)</f>
        <v>JUVENIL</v>
      </c>
      <c r="J290" s="9" t="str">
        <f>IF(AND(Tabela1[[#This Row],[Data nascimento]]&gt;=$P$2,Tabela1[[#This Row],[Data nascimento]]&lt;=$O$2),"JUVENIL","JÚNIOR")</f>
        <v>JUVENIL</v>
      </c>
    </row>
    <row r="291" spans="1:10" ht="15" x14ac:dyDescent="0.4">
      <c r="A291" s="13" t="s">
        <v>1337</v>
      </c>
      <c r="B291" s="2" t="s">
        <v>1338</v>
      </c>
      <c r="C291" s="4" t="s">
        <v>8</v>
      </c>
      <c r="D291" s="11">
        <v>40222</v>
      </c>
      <c r="E291" s="7" t="s">
        <v>1339</v>
      </c>
      <c r="F291" s="4" t="s">
        <v>4732</v>
      </c>
      <c r="G291" s="12" t="str">
        <f>IF(AND(Tabela1[[#This Row],[Data nascimento]]&gt;=$J$2,Tabela1[[#This Row],[Data nascimento]]&lt;=$I$2),"INFANTIL A",H291)</f>
        <v>JUVENIL</v>
      </c>
      <c r="H291" s="3" t="str">
        <f>IF(AND(Tabela1[[#This Row],[Data nascimento]]&gt;=$L$2,Tabela1[[#This Row],[Data nascimento]]&lt;=$K$2),"INFANTIL B",I291)</f>
        <v>JUVENIL</v>
      </c>
      <c r="I291" s="9" t="str">
        <f>IF(AND(Tabela1[[#This Row],[Data nascimento]]&gt;=$N$2,Tabela1[[#This Row],[Data nascimento]]&lt;=$M$2),"INICIADO",J291)</f>
        <v>JUVENIL</v>
      </c>
      <c r="J291" s="9" t="str">
        <f>IF(AND(Tabela1[[#This Row],[Data nascimento]]&gt;=$P$2,Tabela1[[#This Row],[Data nascimento]]&lt;=$O$2),"JUVENIL","JÚNIOR")</f>
        <v>JUVENIL</v>
      </c>
    </row>
    <row r="292" spans="1:10" ht="15" x14ac:dyDescent="0.4">
      <c r="A292" s="13" t="s">
        <v>1346</v>
      </c>
      <c r="B292" s="2" t="s">
        <v>1347</v>
      </c>
      <c r="C292" s="4" t="s">
        <v>8</v>
      </c>
      <c r="D292" s="11">
        <v>40226</v>
      </c>
      <c r="E292" s="7" t="s">
        <v>1348</v>
      </c>
      <c r="F292" s="4" t="s">
        <v>4732</v>
      </c>
      <c r="G292" s="12" t="str">
        <f>IF(AND(Tabela1[[#This Row],[Data nascimento]]&gt;=$J$2,Tabela1[[#This Row],[Data nascimento]]&lt;=$I$2),"INFANTIL A",H292)</f>
        <v>JUVENIL</v>
      </c>
      <c r="H292" s="3" t="str">
        <f>IF(AND(Tabela1[[#This Row],[Data nascimento]]&gt;=$L$2,Tabela1[[#This Row],[Data nascimento]]&lt;=$K$2),"INFANTIL B",I292)</f>
        <v>JUVENIL</v>
      </c>
      <c r="I292" s="9" t="str">
        <f>IF(AND(Tabela1[[#This Row],[Data nascimento]]&gt;=$N$2,Tabela1[[#This Row],[Data nascimento]]&lt;=$M$2),"INICIADO",J292)</f>
        <v>JUVENIL</v>
      </c>
      <c r="J292" s="9" t="str">
        <f>IF(AND(Tabela1[[#This Row],[Data nascimento]]&gt;=$P$2,Tabela1[[#This Row],[Data nascimento]]&lt;=$O$2),"JUVENIL","JÚNIOR")</f>
        <v>JUVENIL</v>
      </c>
    </row>
    <row r="293" spans="1:10" ht="15" x14ac:dyDescent="0.4">
      <c r="A293" s="13" t="s">
        <v>4049</v>
      </c>
      <c r="B293" s="2" t="s">
        <v>4050</v>
      </c>
      <c r="C293" s="4" t="s">
        <v>21</v>
      </c>
      <c r="D293" s="11">
        <v>40533</v>
      </c>
      <c r="E293" s="7" t="s">
        <v>4051</v>
      </c>
      <c r="F293" s="4" t="s">
        <v>4728</v>
      </c>
      <c r="G293" s="12" t="str">
        <f>IF(AND(Tabela1[[#This Row],[Data nascimento]]&gt;=$J$2,Tabela1[[#This Row],[Data nascimento]]&lt;=$I$2),"INFANTIL A",H293)</f>
        <v>JUVENIL</v>
      </c>
      <c r="H293" s="3" t="str">
        <f>IF(AND(Tabela1[[#This Row],[Data nascimento]]&gt;=$L$2,Tabela1[[#This Row],[Data nascimento]]&lt;=$K$2),"INFANTIL B",I293)</f>
        <v>JUVENIL</v>
      </c>
      <c r="I293" s="9" t="str">
        <f>IF(AND(Tabela1[[#This Row],[Data nascimento]]&gt;=$N$2,Tabela1[[#This Row],[Data nascimento]]&lt;=$M$2),"INICIADO",J293)</f>
        <v>JUVENIL</v>
      </c>
      <c r="J293" s="9" t="str">
        <f>IF(AND(Tabela1[[#This Row],[Data nascimento]]&gt;=$P$2,Tabela1[[#This Row],[Data nascimento]]&lt;=$O$2),"JUVENIL","JÚNIOR")</f>
        <v>JUVENIL</v>
      </c>
    </row>
    <row r="294" spans="1:10" ht="15" x14ac:dyDescent="0.4">
      <c r="A294" s="13" t="s">
        <v>4052</v>
      </c>
      <c r="B294" s="2" t="s">
        <v>4053</v>
      </c>
      <c r="C294" s="4" t="s">
        <v>21</v>
      </c>
      <c r="D294" s="11">
        <v>40367</v>
      </c>
      <c r="E294" s="7" t="s">
        <v>4054</v>
      </c>
      <c r="F294" s="4" t="s">
        <v>4723</v>
      </c>
      <c r="G294" s="12" t="str">
        <f>IF(AND(Tabela1[[#This Row],[Data nascimento]]&gt;=$J$2,Tabela1[[#This Row],[Data nascimento]]&lt;=$I$2),"INFANTIL A",H294)</f>
        <v>JUVENIL</v>
      </c>
      <c r="H294" s="3" t="str">
        <f>IF(AND(Tabela1[[#This Row],[Data nascimento]]&gt;=$L$2,Tabela1[[#This Row],[Data nascimento]]&lt;=$K$2),"INFANTIL B",I294)</f>
        <v>JUVENIL</v>
      </c>
      <c r="I294" s="9" t="str">
        <f>IF(AND(Tabela1[[#This Row],[Data nascimento]]&gt;=$N$2,Tabela1[[#This Row],[Data nascimento]]&lt;=$M$2),"INICIADO",J294)</f>
        <v>JUVENIL</v>
      </c>
      <c r="J294" s="9" t="str">
        <f>IF(AND(Tabela1[[#This Row],[Data nascimento]]&gt;=$P$2,Tabela1[[#This Row],[Data nascimento]]&lt;=$O$2),"JUVENIL","JÚNIOR")</f>
        <v>JUVENIL</v>
      </c>
    </row>
    <row r="295" spans="1:10" ht="15" x14ac:dyDescent="0.4">
      <c r="A295" s="13" t="s">
        <v>1373</v>
      </c>
      <c r="B295" s="2" t="s">
        <v>1374</v>
      </c>
      <c r="C295" s="4" t="s">
        <v>8</v>
      </c>
      <c r="D295" s="11">
        <v>40073</v>
      </c>
      <c r="E295" s="7" t="s">
        <v>1375</v>
      </c>
      <c r="F295" s="4" t="s">
        <v>4732</v>
      </c>
      <c r="G295" s="12" t="str">
        <f>IF(AND(Tabela1[[#This Row],[Data nascimento]]&gt;=$J$2,Tabela1[[#This Row],[Data nascimento]]&lt;=$I$2),"INFANTIL A",H295)</f>
        <v>JUVENIL</v>
      </c>
      <c r="H295" s="3" t="str">
        <f>IF(AND(Tabela1[[#This Row],[Data nascimento]]&gt;=$L$2,Tabela1[[#This Row],[Data nascimento]]&lt;=$K$2),"INFANTIL B",I295)</f>
        <v>JUVENIL</v>
      </c>
      <c r="I295" s="9" t="str">
        <f>IF(AND(Tabela1[[#This Row],[Data nascimento]]&gt;=$N$2,Tabela1[[#This Row],[Data nascimento]]&lt;=$M$2),"INICIADO",J295)</f>
        <v>JUVENIL</v>
      </c>
      <c r="J295" s="9" t="str">
        <f>IF(AND(Tabela1[[#This Row],[Data nascimento]]&gt;=$P$2,Tabela1[[#This Row],[Data nascimento]]&lt;=$O$2),"JUVENIL","JÚNIOR")</f>
        <v>JUVENIL</v>
      </c>
    </row>
    <row r="296" spans="1:10" ht="15" x14ac:dyDescent="0.4">
      <c r="A296" s="13" t="s">
        <v>4058</v>
      </c>
      <c r="B296" s="2" t="s">
        <v>4059</v>
      </c>
      <c r="C296" s="4" t="s">
        <v>21</v>
      </c>
      <c r="D296" s="11">
        <v>40140</v>
      </c>
      <c r="E296" s="7" t="s">
        <v>4060</v>
      </c>
      <c r="F296" s="4" t="s">
        <v>4728</v>
      </c>
      <c r="G296" s="12" t="str">
        <f>IF(AND(Tabela1[[#This Row],[Data nascimento]]&gt;=$J$2,Tabela1[[#This Row],[Data nascimento]]&lt;=$I$2),"INFANTIL A",H296)</f>
        <v>JUVENIL</v>
      </c>
      <c r="H296" s="3" t="str">
        <f>IF(AND(Tabela1[[#This Row],[Data nascimento]]&gt;=$L$2,Tabela1[[#This Row],[Data nascimento]]&lt;=$K$2),"INFANTIL B",I296)</f>
        <v>JUVENIL</v>
      </c>
      <c r="I296" s="9" t="str">
        <f>IF(AND(Tabela1[[#This Row],[Data nascimento]]&gt;=$N$2,Tabela1[[#This Row],[Data nascimento]]&lt;=$M$2),"INICIADO",J296)</f>
        <v>JUVENIL</v>
      </c>
      <c r="J296" s="9" t="str">
        <f>IF(AND(Tabela1[[#This Row],[Data nascimento]]&gt;=$P$2,Tabela1[[#This Row],[Data nascimento]]&lt;=$O$2),"JUVENIL","JÚNIOR")</f>
        <v>JUVENIL</v>
      </c>
    </row>
    <row r="297" spans="1:10" ht="15" x14ac:dyDescent="0.4">
      <c r="A297" s="13" t="s">
        <v>4061</v>
      </c>
      <c r="B297" s="2" t="s">
        <v>4062</v>
      </c>
      <c r="C297" s="4" t="s">
        <v>21</v>
      </c>
      <c r="D297" s="11">
        <v>39917</v>
      </c>
      <c r="E297" s="7" t="s">
        <v>4063</v>
      </c>
      <c r="F297" s="4" t="s">
        <v>4723</v>
      </c>
      <c r="G297" s="12" t="str">
        <f>IF(AND(Tabela1[[#This Row],[Data nascimento]]&gt;=$J$2,Tabela1[[#This Row],[Data nascimento]]&lt;=$I$2),"INFANTIL A",H297)</f>
        <v>JUVENIL</v>
      </c>
      <c r="H297" s="3" t="str">
        <f>IF(AND(Tabela1[[#This Row],[Data nascimento]]&gt;=$L$2,Tabela1[[#This Row],[Data nascimento]]&lt;=$K$2),"INFANTIL B",I297)</f>
        <v>JUVENIL</v>
      </c>
      <c r="I297" s="9" t="str">
        <f>IF(AND(Tabela1[[#This Row],[Data nascimento]]&gt;=$N$2,Tabela1[[#This Row],[Data nascimento]]&lt;=$M$2),"INICIADO",J297)</f>
        <v>JUVENIL</v>
      </c>
      <c r="J297" s="9" t="str">
        <f>IF(AND(Tabela1[[#This Row],[Data nascimento]]&gt;=$P$2,Tabela1[[#This Row],[Data nascimento]]&lt;=$O$2),"JUVENIL","JÚNIOR")</f>
        <v>JUVENIL</v>
      </c>
    </row>
    <row r="298" spans="1:10" ht="15" x14ac:dyDescent="0.4">
      <c r="A298" s="13" t="s">
        <v>4064</v>
      </c>
      <c r="B298" s="2" t="s">
        <v>4065</v>
      </c>
      <c r="C298" s="4" t="s">
        <v>21</v>
      </c>
      <c r="D298" s="11">
        <v>40254</v>
      </c>
      <c r="E298" s="7" t="s">
        <v>4066</v>
      </c>
      <c r="F298" s="4" t="s">
        <v>4723</v>
      </c>
      <c r="G298" s="12" t="str">
        <f>IF(AND(Tabela1[[#This Row],[Data nascimento]]&gt;=$J$2,Tabela1[[#This Row],[Data nascimento]]&lt;=$I$2),"INFANTIL A",H298)</f>
        <v>JUVENIL</v>
      </c>
      <c r="H298" s="3" t="str">
        <f>IF(AND(Tabela1[[#This Row],[Data nascimento]]&gt;=$L$2,Tabela1[[#This Row],[Data nascimento]]&lt;=$K$2),"INFANTIL B",I298)</f>
        <v>JUVENIL</v>
      </c>
      <c r="I298" s="9" t="str">
        <f>IF(AND(Tabela1[[#This Row],[Data nascimento]]&gt;=$N$2,Tabela1[[#This Row],[Data nascimento]]&lt;=$M$2),"INICIADO",J298)</f>
        <v>JUVENIL</v>
      </c>
      <c r="J298" s="9" t="str">
        <f>IF(AND(Tabela1[[#This Row],[Data nascimento]]&gt;=$P$2,Tabela1[[#This Row],[Data nascimento]]&lt;=$O$2),"JUVENIL","JÚNIOR")</f>
        <v>JUVENIL</v>
      </c>
    </row>
    <row r="299" spans="1:10" ht="15" x14ac:dyDescent="0.4">
      <c r="A299" s="13" t="s">
        <v>4067</v>
      </c>
      <c r="B299" s="2" t="s">
        <v>4068</v>
      </c>
      <c r="C299" s="4" t="s">
        <v>21</v>
      </c>
      <c r="D299" s="11">
        <v>40254</v>
      </c>
      <c r="E299" s="7" t="s">
        <v>4069</v>
      </c>
      <c r="F299" s="4" t="s">
        <v>4723</v>
      </c>
      <c r="G299" s="12" t="str">
        <f>IF(AND(Tabela1[[#This Row],[Data nascimento]]&gt;=$J$2,Tabela1[[#This Row],[Data nascimento]]&lt;=$I$2),"INFANTIL A",H299)</f>
        <v>JUVENIL</v>
      </c>
      <c r="H299" s="3" t="str">
        <f>IF(AND(Tabela1[[#This Row],[Data nascimento]]&gt;=$L$2,Tabela1[[#This Row],[Data nascimento]]&lt;=$K$2),"INFANTIL B",I299)</f>
        <v>JUVENIL</v>
      </c>
      <c r="I299" s="9" t="str">
        <f>IF(AND(Tabela1[[#This Row],[Data nascimento]]&gt;=$N$2,Tabela1[[#This Row],[Data nascimento]]&lt;=$M$2),"INICIADO",J299)</f>
        <v>JUVENIL</v>
      </c>
      <c r="J299" s="9" t="str">
        <f>IF(AND(Tabela1[[#This Row],[Data nascimento]]&gt;=$P$2,Tabela1[[#This Row],[Data nascimento]]&lt;=$O$2),"JUVENIL","JÚNIOR")</f>
        <v>JUVENIL</v>
      </c>
    </row>
    <row r="300" spans="1:10" ht="15" x14ac:dyDescent="0.4">
      <c r="A300" s="13" t="s">
        <v>1472</v>
      </c>
      <c r="B300" s="2" t="s">
        <v>1473</v>
      </c>
      <c r="C300" s="4" t="s">
        <v>8</v>
      </c>
      <c r="D300" s="11">
        <v>40137</v>
      </c>
      <c r="E300" s="7" t="s">
        <v>1474</v>
      </c>
      <c r="F300" s="4" t="s">
        <v>4732</v>
      </c>
      <c r="G300" s="12" t="str">
        <f>IF(AND(Tabela1[[#This Row],[Data nascimento]]&gt;=$J$2,Tabela1[[#This Row],[Data nascimento]]&lt;=$I$2),"INFANTIL A",H300)</f>
        <v>JUVENIL</v>
      </c>
      <c r="H300" s="3" t="str">
        <f>IF(AND(Tabela1[[#This Row],[Data nascimento]]&gt;=$L$2,Tabela1[[#This Row],[Data nascimento]]&lt;=$K$2),"INFANTIL B",I300)</f>
        <v>JUVENIL</v>
      </c>
      <c r="I300" s="9" t="str">
        <f>IF(AND(Tabela1[[#This Row],[Data nascimento]]&gt;=$N$2,Tabela1[[#This Row],[Data nascimento]]&lt;=$M$2),"INICIADO",J300)</f>
        <v>JUVENIL</v>
      </c>
      <c r="J300" s="9" t="str">
        <f>IF(AND(Tabela1[[#This Row],[Data nascimento]]&gt;=$P$2,Tabela1[[#This Row],[Data nascimento]]&lt;=$O$2),"JUVENIL","JÚNIOR")</f>
        <v>JUVENIL</v>
      </c>
    </row>
    <row r="301" spans="1:10" ht="15" x14ac:dyDescent="0.4">
      <c r="A301" s="13" t="s">
        <v>4073</v>
      </c>
      <c r="B301" s="2" t="s">
        <v>4074</v>
      </c>
      <c r="C301" s="4" t="s">
        <v>21</v>
      </c>
      <c r="D301" s="11">
        <v>40319</v>
      </c>
      <c r="E301" s="7" t="s">
        <v>4075</v>
      </c>
      <c r="F301" s="4" t="s">
        <v>4728</v>
      </c>
      <c r="G301" s="12" t="str">
        <f>IF(AND(Tabela1[[#This Row],[Data nascimento]]&gt;=$J$2,Tabela1[[#This Row],[Data nascimento]]&lt;=$I$2),"INFANTIL A",H301)</f>
        <v>JUVENIL</v>
      </c>
      <c r="H301" s="3" t="str">
        <f>IF(AND(Tabela1[[#This Row],[Data nascimento]]&gt;=$L$2,Tabela1[[#This Row],[Data nascimento]]&lt;=$K$2),"INFANTIL B",I301)</f>
        <v>JUVENIL</v>
      </c>
      <c r="I301" s="9" t="str">
        <f>IF(AND(Tabela1[[#This Row],[Data nascimento]]&gt;=$N$2,Tabela1[[#This Row],[Data nascimento]]&lt;=$M$2),"INICIADO",J301)</f>
        <v>JUVENIL</v>
      </c>
      <c r="J301" s="9" t="str">
        <f>IF(AND(Tabela1[[#This Row],[Data nascimento]]&gt;=$P$2,Tabela1[[#This Row],[Data nascimento]]&lt;=$O$2),"JUVENIL","JÚNIOR")</f>
        <v>JUVENIL</v>
      </c>
    </row>
    <row r="302" spans="1:10" ht="15" x14ac:dyDescent="0.4">
      <c r="A302" s="13" t="s">
        <v>4076</v>
      </c>
      <c r="B302" s="2" t="s">
        <v>4077</v>
      </c>
      <c r="C302" s="4" t="s">
        <v>21</v>
      </c>
      <c r="D302" s="11">
        <v>40491</v>
      </c>
      <c r="E302" s="7" t="s">
        <v>4078</v>
      </c>
      <c r="F302" s="4" t="s">
        <v>4726</v>
      </c>
      <c r="G302" s="12" t="str">
        <f>IF(AND(Tabela1[[#This Row],[Data nascimento]]&gt;=$J$2,Tabela1[[#This Row],[Data nascimento]]&lt;=$I$2),"INFANTIL A",H302)</f>
        <v>JUVENIL</v>
      </c>
      <c r="H302" s="3" t="str">
        <f>IF(AND(Tabela1[[#This Row],[Data nascimento]]&gt;=$L$2,Tabela1[[#This Row],[Data nascimento]]&lt;=$K$2),"INFANTIL B",I302)</f>
        <v>JUVENIL</v>
      </c>
      <c r="I302" s="9" t="str">
        <f>IF(AND(Tabela1[[#This Row],[Data nascimento]]&gt;=$N$2,Tabela1[[#This Row],[Data nascimento]]&lt;=$M$2),"INICIADO",J302)</f>
        <v>JUVENIL</v>
      </c>
      <c r="J302" s="9" t="str">
        <f>IF(AND(Tabela1[[#This Row],[Data nascimento]]&gt;=$P$2,Tabela1[[#This Row],[Data nascimento]]&lt;=$O$2),"JUVENIL","JÚNIOR")</f>
        <v>JUVENIL</v>
      </c>
    </row>
    <row r="303" spans="1:10" ht="15" x14ac:dyDescent="0.4">
      <c r="A303" s="13" t="s">
        <v>4079</v>
      </c>
      <c r="B303" s="2" t="s">
        <v>4080</v>
      </c>
      <c r="C303" s="4" t="s">
        <v>21</v>
      </c>
      <c r="D303" s="11">
        <v>40437</v>
      </c>
      <c r="E303" s="7" t="s">
        <v>4081</v>
      </c>
      <c r="F303" s="4" t="s">
        <v>4726</v>
      </c>
      <c r="G303" s="12" t="str">
        <f>IF(AND(Tabela1[[#This Row],[Data nascimento]]&gt;=$J$2,Tabela1[[#This Row],[Data nascimento]]&lt;=$I$2),"INFANTIL A",H303)</f>
        <v>JUVENIL</v>
      </c>
      <c r="H303" s="3" t="str">
        <f>IF(AND(Tabela1[[#This Row],[Data nascimento]]&gt;=$L$2,Tabela1[[#This Row],[Data nascimento]]&lt;=$K$2),"INFANTIL B",I303)</f>
        <v>JUVENIL</v>
      </c>
      <c r="I303" s="9" t="str">
        <f>IF(AND(Tabela1[[#This Row],[Data nascimento]]&gt;=$N$2,Tabela1[[#This Row],[Data nascimento]]&lt;=$M$2),"INICIADO",J303)</f>
        <v>JUVENIL</v>
      </c>
      <c r="J303" s="9" t="str">
        <f>IF(AND(Tabela1[[#This Row],[Data nascimento]]&gt;=$P$2,Tabela1[[#This Row],[Data nascimento]]&lt;=$O$2),"JUVENIL","JÚNIOR")</f>
        <v>JUVENIL</v>
      </c>
    </row>
    <row r="304" spans="1:10" ht="15" x14ac:dyDescent="0.4">
      <c r="A304" s="13" t="s">
        <v>4082</v>
      </c>
      <c r="B304" s="2" t="s">
        <v>4083</v>
      </c>
      <c r="C304" s="4" t="s">
        <v>21</v>
      </c>
      <c r="D304" s="11">
        <v>40138</v>
      </c>
      <c r="E304" s="7" t="s">
        <v>4084</v>
      </c>
      <c r="F304" s="4" t="s">
        <v>4723</v>
      </c>
      <c r="G304" s="12" t="str">
        <f>IF(AND(Tabela1[[#This Row],[Data nascimento]]&gt;=$J$2,Tabela1[[#This Row],[Data nascimento]]&lt;=$I$2),"INFANTIL A",H304)</f>
        <v>JUVENIL</v>
      </c>
      <c r="H304" s="3" t="str">
        <f>IF(AND(Tabela1[[#This Row],[Data nascimento]]&gt;=$L$2,Tabela1[[#This Row],[Data nascimento]]&lt;=$K$2),"INFANTIL B",I304)</f>
        <v>JUVENIL</v>
      </c>
      <c r="I304" s="9" t="str">
        <f>IF(AND(Tabela1[[#This Row],[Data nascimento]]&gt;=$N$2,Tabela1[[#This Row],[Data nascimento]]&lt;=$M$2),"INICIADO",J304)</f>
        <v>JUVENIL</v>
      </c>
      <c r="J304" s="9" t="str">
        <f>IF(AND(Tabela1[[#This Row],[Data nascimento]]&gt;=$P$2,Tabela1[[#This Row],[Data nascimento]]&lt;=$O$2),"JUVENIL","JÚNIOR")</f>
        <v>JUVENIL</v>
      </c>
    </row>
    <row r="305" spans="1:10" ht="15" x14ac:dyDescent="0.4">
      <c r="A305" s="13" t="s">
        <v>4085</v>
      </c>
      <c r="B305" s="2" t="s">
        <v>4086</v>
      </c>
      <c r="C305" s="4" t="s">
        <v>21</v>
      </c>
      <c r="D305" s="11">
        <v>40271</v>
      </c>
      <c r="E305" s="7" t="s">
        <v>4087</v>
      </c>
      <c r="F305" s="4" t="s">
        <v>4728</v>
      </c>
      <c r="G305" s="12" t="str">
        <f>IF(AND(Tabela1[[#This Row],[Data nascimento]]&gt;=$J$2,Tabela1[[#This Row],[Data nascimento]]&lt;=$I$2),"INFANTIL A",H305)</f>
        <v>JUVENIL</v>
      </c>
      <c r="H305" s="3" t="str">
        <f>IF(AND(Tabela1[[#This Row],[Data nascimento]]&gt;=$L$2,Tabela1[[#This Row],[Data nascimento]]&lt;=$K$2),"INFANTIL B",I305)</f>
        <v>JUVENIL</v>
      </c>
      <c r="I305" s="9" t="str">
        <f>IF(AND(Tabela1[[#This Row],[Data nascimento]]&gt;=$N$2,Tabela1[[#This Row],[Data nascimento]]&lt;=$M$2),"INICIADO",J305)</f>
        <v>JUVENIL</v>
      </c>
      <c r="J305" s="9" t="str">
        <f>IF(AND(Tabela1[[#This Row],[Data nascimento]]&gt;=$P$2,Tabela1[[#This Row],[Data nascimento]]&lt;=$O$2),"JUVENIL","JÚNIOR")</f>
        <v>JUVENIL</v>
      </c>
    </row>
    <row r="306" spans="1:10" ht="15" x14ac:dyDescent="0.4">
      <c r="A306" s="13" t="s">
        <v>4088</v>
      </c>
      <c r="B306" s="2" t="s">
        <v>4089</v>
      </c>
      <c r="C306" s="4" t="s">
        <v>21</v>
      </c>
      <c r="D306" s="11">
        <v>40206</v>
      </c>
      <c r="E306" s="7" t="s">
        <v>4090</v>
      </c>
      <c r="F306" s="4" t="s">
        <v>4728</v>
      </c>
      <c r="G306" s="12" t="str">
        <f>IF(AND(Tabela1[[#This Row],[Data nascimento]]&gt;=$J$2,Tabela1[[#This Row],[Data nascimento]]&lt;=$I$2),"INFANTIL A",H306)</f>
        <v>JUVENIL</v>
      </c>
      <c r="H306" s="3" t="str">
        <f>IF(AND(Tabela1[[#This Row],[Data nascimento]]&gt;=$L$2,Tabela1[[#This Row],[Data nascimento]]&lt;=$K$2),"INFANTIL B",I306)</f>
        <v>JUVENIL</v>
      </c>
      <c r="I306" s="9" t="str">
        <f>IF(AND(Tabela1[[#This Row],[Data nascimento]]&gt;=$N$2,Tabela1[[#This Row],[Data nascimento]]&lt;=$M$2),"INICIADO",J306)</f>
        <v>JUVENIL</v>
      </c>
      <c r="J306" s="9" t="str">
        <f>IF(AND(Tabela1[[#This Row],[Data nascimento]]&gt;=$P$2,Tabela1[[#This Row],[Data nascimento]]&lt;=$O$2),"JUVENIL","JÚNIOR")</f>
        <v>JUVENIL</v>
      </c>
    </row>
    <row r="307" spans="1:10" ht="15" x14ac:dyDescent="0.4">
      <c r="A307" s="13" t="s">
        <v>4091</v>
      </c>
      <c r="B307" s="2" t="s">
        <v>4092</v>
      </c>
      <c r="C307" s="4" t="s">
        <v>21</v>
      </c>
      <c r="D307" s="11">
        <v>40529</v>
      </c>
      <c r="E307" s="7" t="s">
        <v>4093</v>
      </c>
      <c r="F307" s="4" t="s">
        <v>4726</v>
      </c>
      <c r="G307" s="12" t="str">
        <f>IF(AND(Tabela1[[#This Row],[Data nascimento]]&gt;=$J$2,Tabela1[[#This Row],[Data nascimento]]&lt;=$I$2),"INFANTIL A",H307)</f>
        <v>JUVENIL</v>
      </c>
      <c r="H307" s="3" t="str">
        <f>IF(AND(Tabela1[[#This Row],[Data nascimento]]&gt;=$L$2,Tabela1[[#This Row],[Data nascimento]]&lt;=$K$2),"INFANTIL B",I307)</f>
        <v>JUVENIL</v>
      </c>
      <c r="I307" s="9" t="str">
        <f>IF(AND(Tabela1[[#This Row],[Data nascimento]]&gt;=$N$2,Tabela1[[#This Row],[Data nascimento]]&lt;=$M$2),"INICIADO",J307)</f>
        <v>JUVENIL</v>
      </c>
      <c r="J307" s="9" t="str">
        <f>IF(AND(Tabela1[[#This Row],[Data nascimento]]&gt;=$P$2,Tabela1[[#This Row],[Data nascimento]]&lt;=$O$2),"JUVENIL","JÚNIOR")</f>
        <v>JUVENIL</v>
      </c>
    </row>
    <row r="308" spans="1:10" ht="15" x14ac:dyDescent="0.4">
      <c r="A308" s="13" t="s">
        <v>1520</v>
      </c>
      <c r="B308" s="2" t="s">
        <v>1521</v>
      </c>
      <c r="C308" s="4" t="s">
        <v>8</v>
      </c>
      <c r="D308" s="11">
        <v>40510</v>
      </c>
      <c r="E308" s="7" t="s">
        <v>1522</v>
      </c>
      <c r="F308" s="4" t="s">
        <v>4732</v>
      </c>
      <c r="G308" s="12" t="str">
        <f>IF(AND(Tabela1[[#This Row],[Data nascimento]]&gt;=$J$2,Tabela1[[#This Row],[Data nascimento]]&lt;=$I$2),"INFANTIL A",H308)</f>
        <v>JUVENIL</v>
      </c>
      <c r="H308" s="3" t="str">
        <f>IF(AND(Tabela1[[#This Row],[Data nascimento]]&gt;=$L$2,Tabela1[[#This Row],[Data nascimento]]&lt;=$K$2),"INFANTIL B",I308)</f>
        <v>JUVENIL</v>
      </c>
      <c r="I308" s="9" t="str">
        <f>IF(AND(Tabela1[[#This Row],[Data nascimento]]&gt;=$N$2,Tabela1[[#This Row],[Data nascimento]]&lt;=$M$2),"INICIADO",J308)</f>
        <v>JUVENIL</v>
      </c>
      <c r="J308" s="9" t="str">
        <f>IF(AND(Tabela1[[#This Row],[Data nascimento]]&gt;=$P$2,Tabela1[[#This Row],[Data nascimento]]&lt;=$O$2),"JUVENIL","JÚNIOR")</f>
        <v>JUVENIL</v>
      </c>
    </row>
    <row r="309" spans="1:10" ht="15" x14ac:dyDescent="0.4">
      <c r="A309" s="13" t="s">
        <v>4097</v>
      </c>
      <c r="B309" s="2" t="s">
        <v>4098</v>
      </c>
      <c r="C309" s="4" t="s">
        <v>21</v>
      </c>
      <c r="D309" s="11">
        <v>40341</v>
      </c>
      <c r="E309" s="7" t="s">
        <v>4099</v>
      </c>
      <c r="F309" s="4" t="s">
        <v>4726</v>
      </c>
      <c r="G309" s="12" t="str">
        <f>IF(AND(Tabela1[[#This Row],[Data nascimento]]&gt;=$J$2,Tabela1[[#This Row],[Data nascimento]]&lt;=$I$2),"INFANTIL A",H309)</f>
        <v>JUVENIL</v>
      </c>
      <c r="H309" s="3" t="str">
        <f>IF(AND(Tabela1[[#This Row],[Data nascimento]]&gt;=$L$2,Tabela1[[#This Row],[Data nascimento]]&lt;=$K$2),"INFANTIL B",I309)</f>
        <v>JUVENIL</v>
      </c>
      <c r="I309" s="9" t="str">
        <f>IF(AND(Tabela1[[#This Row],[Data nascimento]]&gt;=$N$2,Tabela1[[#This Row],[Data nascimento]]&lt;=$M$2),"INICIADO",J309)</f>
        <v>JUVENIL</v>
      </c>
      <c r="J309" s="9" t="str">
        <f>IF(AND(Tabela1[[#This Row],[Data nascimento]]&gt;=$P$2,Tabela1[[#This Row],[Data nascimento]]&lt;=$O$2),"JUVENIL","JÚNIOR")</f>
        <v>JUVENIL</v>
      </c>
    </row>
    <row r="310" spans="1:10" ht="15" x14ac:dyDescent="0.4">
      <c r="A310" s="13" t="s">
        <v>4100</v>
      </c>
      <c r="B310" s="2" t="s">
        <v>4101</v>
      </c>
      <c r="C310" s="4" t="s">
        <v>21</v>
      </c>
      <c r="D310" s="11">
        <v>40228</v>
      </c>
      <c r="E310" s="7" t="s">
        <v>4102</v>
      </c>
      <c r="F310" s="4" t="s">
        <v>4727</v>
      </c>
      <c r="G310" s="12" t="str">
        <f>IF(AND(Tabela1[[#This Row],[Data nascimento]]&gt;=$J$2,Tabela1[[#This Row],[Data nascimento]]&lt;=$I$2),"INFANTIL A",H310)</f>
        <v>JUVENIL</v>
      </c>
      <c r="H310" s="3" t="str">
        <f>IF(AND(Tabela1[[#This Row],[Data nascimento]]&gt;=$L$2,Tabela1[[#This Row],[Data nascimento]]&lt;=$K$2),"INFANTIL B",I310)</f>
        <v>JUVENIL</v>
      </c>
      <c r="I310" s="9" t="str">
        <f>IF(AND(Tabela1[[#This Row],[Data nascimento]]&gt;=$N$2,Tabela1[[#This Row],[Data nascimento]]&lt;=$M$2),"INICIADO",J310)</f>
        <v>JUVENIL</v>
      </c>
      <c r="J310" s="9" t="str">
        <f>IF(AND(Tabela1[[#This Row],[Data nascimento]]&gt;=$P$2,Tabela1[[#This Row],[Data nascimento]]&lt;=$O$2),"JUVENIL","JÚNIOR")</f>
        <v>JUVENIL</v>
      </c>
    </row>
    <row r="311" spans="1:10" ht="15" x14ac:dyDescent="0.4">
      <c r="A311" s="13" t="s">
        <v>4103</v>
      </c>
      <c r="B311" s="2" t="s">
        <v>4104</v>
      </c>
      <c r="C311" s="4" t="s">
        <v>21</v>
      </c>
      <c r="D311" s="11">
        <v>40314</v>
      </c>
      <c r="E311" s="7" t="s">
        <v>4105</v>
      </c>
      <c r="F311" s="4" t="s">
        <v>4726</v>
      </c>
      <c r="G311" s="12" t="str">
        <f>IF(AND(Tabela1[[#This Row],[Data nascimento]]&gt;=$J$2,Tabela1[[#This Row],[Data nascimento]]&lt;=$I$2),"INFANTIL A",H311)</f>
        <v>JUVENIL</v>
      </c>
      <c r="H311" s="3" t="str">
        <f>IF(AND(Tabela1[[#This Row],[Data nascimento]]&gt;=$L$2,Tabela1[[#This Row],[Data nascimento]]&lt;=$K$2),"INFANTIL B",I311)</f>
        <v>JUVENIL</v>
      </c>
      <c r="I311" s="9" t="str">
        <f>IF(AND(Tabela1[[#This Row],[Data nascimento]]&gt;=$N$2,Tabela1[[#This Row],[Data nascimento]]&lt;=$M$2),"INICIADO",J311)</f>
        <v>JUVENIL</v>
      </c>
      <c r="J311" s="9" t="str">
        <f>IF(AND(Tabela1[[#This Row],[Data nascimento]]&gt;=$P$2,Tabela1[[#This Row],[Data nascimento]]&lt;=$O$2),"JUVENIL","JÚNIOR")</f>
        <v>JUVENIL</v>
      </c>
    </row>
    <row r="312" spans="1:10" ht="15" x14ac:dyDescent="0.4">
      <c r="A312" s="13" t="s">
        <v>4106</v>
      </c>
      <c r="B312" s="2" t="s">
        <v>4107</v>
      </c>
      <c r="C312" s="4" t="s">
        <v>21</v>
      </c>
      <c r="D312" s="11">
        <v>40372</v>
      </c>
      <c r="E312" s="7" t="s">
        <v>4108</v>
      </c>
      <c r="F312" s="4" t="s">
        <v>4726</v>
      </c>
      <c r="G312" s="12" t="str">
        <f>IF(AND(Tabela1[[#This Row],[Data nascimento]]&gt;=$J$2,Tabela1[[#This Row],[Data nascimento]]&lt;=$I$2),"INFANTIL A",H312)</f>
        <v>JUVENIL</v>
      </c>
      <c r="H312" s="3" t="str">
        <f>IF(AND(Tabela1[[#This Row],[Data nascimento]]&gt;=$L$2,Tabela1[[#This Row],[Data nascimento]]&lt;=$K$2),"INFANTIL B",I312)</f>
        <v>JUVENIL</v>
      </c>
      <c r="I312" s="9" t="str">
        <f>IF(AND(Tabela1[[#This Row],[Data nascimento]]&gt;=$N$2,Tabela1[[#This Row],[Data nascimento]]&lt;=$M$2),"INICIADO",J312)</f>
        <v>JUVENIL</v>
      </c>
      <c r="J312" s="9" t="str">
        <f>IF(AND(Tabela1[[#This Row],[Data nascimento]]&gt;=$P$2,Tabela1[[#This Row],[Data nascimento]]&lt;=$O$2),"JUVENIL","JÚNIOR")</f>
        <v>JUVENIL</v>
      </c>
    </row>
    <row r="313" spans="1:10" ht="15" x14ac:dyDescent="0.4">
      <c r="A313" s="13" t="s">
        <v>4109</v>
      </c>
      <c r="B313" s="2" t="s">
        <v>4110</v>
      </c>
      <c r="C313" s="4" t="s">
        <v>21</v>
      </c>
      <c r="D313" s="11">
        <v>40529</v>
      </c>
      <c r="E313" s="7" t="s">
        <v>4111</v>
      </c>
      <c r="F313" s="4" t="s">
        <v>4728</v>
      </c>
      <c r="G313" s="12" t="str">
        <f>IF(AND(Tabela1[[#This Row],[Data nascimento]]&gt;=$J$2,Tabela1[[#This Row],[Data nascimento]]&lt;=$I$2),"INFANTIL A",H313)</f>
        <v>JUVENIL</v>
      </c>
      <c r="H313" s="3" t="str">
        <f>IF(AND(Tabela1[[#This Row],[Data nascimento]]&gt;=$L$2,Tabela1[[#This Row],[Data nascimento]]&lt;=$K$2),"INFANTIL B",I313)</f>
        <v>JUVENIL</v>
      </c>
      <c r="I313" s="9" t="str">
        <f>IF(AND(Tabela1[[#This Row],[Data nascimento]]&gt;=$N$2,Tabela1[[#This Row],[Data nascimento]]&lt;=$M$2),"INICIADO",J313)</f>
        <v>JUVENIL</v>
      </c>
      <c r="J313" s="9" t="str">
        <f>IF(AND(Tabela1[[#This Row],[Data nascimento]]&gt;=$P$2,Tabela1[[#This Row],[Data nascimento]]&lt;=$O$2),"JUVENIL","JÚNIOR")</f>
        <v>JUVENIL</v>
      </c>
    </row>
    <row r="314" spans="1:10" ht="15" x14ac:dyDescent="0.4">
      <c r="A314" s="13" t="s">
        <v>4112</v>
      </c>
      <c r="B314" s="2" t="s">
        <v>4113</v>
      </c>
      <c r="C314" s="4" t="s">
        <v>21</v>
      </c>
      <c r="D314" s="11">
        <v>40367</v>
      </c>
      <c r="E314" s="7" t="s">
        <v>4114</v>
      </c>
      <c r="F314" s="4" t="s">
        <v>4726</v>
      </c>
      <c r="G314" s="12" t="str">
        <f>IF(AND(Tabela1[[#This Row],[Data nascimento]]&gt;=$J$2,Tabela1[[#This Row],[Data nascimento]]&lt;=$I$2),"INFANTIL A",H314)</f>
        <v>JUVENIL</v>
      </c>
      <c r="H314" s="3" t="str">
        <f>IF(AND(Tabela1[[#This Row],[Data nascimento]]&gt;=$L$2,Tabela1[[#This Row],[Data nascimento]]&lt;=$K$2),"INFANTIL B",I314)</f>
        <v>JUVENIL</v>
      </c>
      <c r="I314" s="9" t="str">
        <f>IF(AND(Tabela1[[#This Row],[Data nascimento]]&gt;=$N$2,Tabela1[[#This Row],[Data nascimento]]&lt;=$M$2),"INICIADO",J314)</f>
        <v>JUVENIL</v>
      </c>
      <c r="J314" s="9" t="str">
        <f>IF(AND(Tabela1[[#This Row],[Data nascimento]]&gt;=$P$2,Tabela1[[#This Row],[Data nascimento]]&lt;=$O$2),"JUVENIL","JÚNIOR")</f>
        <v>JUVENIL</v>
      </c>
    </row>
    <row r="315" spans="1:10" ht="15" x14ac:dyDescent="0.4">
      <c r="A315" s="13" t="s">
        <v>1553</v>
      </c>
      <c r="B315" s="2" t="s">
        <v>1554</v>
      </c>
      <c r="C315" s="4" t="s">
        <v>8</v>
      </c>
      <c r="D315" s="11">
        <v>40353</v>
      </c>
      <c r="E315" s="7" t="s">
        <v>1555</v>
      </c>
      <c r="F315" s="4" t="s">
        <v>4732</v>
      </c>
      <c r="G315" s="12" t="str">
        <f>IF(AND(Tabela1[[#This Row],[Data nascimento]]&gt;=$J$2,Tabela1[[#This Row],[Data nascimento]]&lt;=$I$2),"INFANTIL A",H315)</f>
        <v>JUVENIL</v>
      </c>
      <c r="H315" s="3" t="str">
        <f>IF(AND(Tabela1[[#This Row],[Data nascimento]]&gt;=$L$2,Tabela1[[#This Row],[Data nascimento]]&lt;=$K$2),"INFANTIL B",I315)</f>
        <v>JUVENIL</v>
      </c>
      <c r="I315" s="9" t="str">
        <f>IF(AND(Tabela1[[#This Row],[Data nascimento]]&gt;=$N$2,Tabela1[[#This Row],[Data nascimento]]&lt;=$M$2),"INICIADO",J315)</f>
        <v>JUVENIL</v>
      </c>
      <c r="J315" s="9" t="str">
        <f>IF(AND(Tabela1[[#This Row],[Data nascimento]]&gt;=$P$2,Tabela1[[#This Row],[Data nascimento]]&lt;=$O$2),"JUVENIL","JÚNIOR")</f>
        <v>JUVENIL</v>
      </c>
    </row>
    <row r="316" spans="1:10" ht="15" x14ac:dyDescent="0.4">
      <c r="A316" s="13" t="s">
        <v>4118</v>
      </c>
      <c r="B316" s="2" t="s">
        <v>4119</v>
      </c>
      <c r="C316" s="4" t="s">
        <v>21</v>
      </c>
      <c r="D316" s="11">
        <v>40476</v>
      </c>
      <c r="E316" s="7" t="s">
        <v>4120</v>
      </c>
      <c r="F316" s="4" t="s">
        <v>4730</v>
      </c>
      <c r="G316" s="12" t="str">
        <f>IF(AND(Tabela1[[#This Row],[Data nascimento]]&gt;=$J$2,Tabela1[[#This Row],[Data nascimento]]&lt;=$I$2),"INFANTIL A",H316)</f>
        <v>JUVENIL</v>
      </c>
      <c r="H316" s="3" t="str">
        <f>IF(AND(Tabela1[[#This Row],[Data nascimento]]&gt;=$L$2,Tabela1[[#This Row],[Data nascimento]]&lt;=$K$2),"INFANTIL B",I316)</f>
        <v>JUVENIL</v>
      </c>
      <c r="I316" s="9" t="str">
        <f>IF(AND(Tabela1[[#This Row],[Data nascimento]]&gt;=$N$2,Tabela1[[#This Row],[Data nascimento]]&lt;=$M$2),"INICIADO",J316)</f>
        <v>JUVENIL</v>
      </c>
      <c r="J316" s="9" t="str">
        <f>IF(AND(Tabela1[[#This Row],[Data nascimento]]&gt;=$P$2,Tabela1[[#This Row],[Data nascimento]]&lt;=$O$2),"JUVENIL","JÚNIOR")</f>
        <v>JUVENIL</v>
      </c>
    </row>
    <row r="317" spans="1:10" ht="15" x14ac:dyDescent="0.4">
      <c r="A317" s="13" t="s">
        <v>1649</v>
      </c>
      <c r="B317" s="2" t="s">
        <v>1650</v>
      </c>
      <c r="C317" s="4" t="s">
        <v>8</v>
      </c>
      <c r="D317" s="11">
        <v>40303</v>
      </c>
      <c r="E317" s="7" t="s">
        <v>1651</v>
      </c>
      <c r="F317" s="4" t="s">
        <v>4732</v>
      </c>
      <c r="G317" s="12" t="str">
        <f>IF(AND(Tabela1[[#This Row],[Data nascimento]]&gt;=$J$2,Tabela1[[#This Row],[Data nascimento]]&lt;=$I$2),"INFANTIL A",H317)</f>
        <v>JUVENIL</v>
      </c>
      <c r="H317" s="3" t="str">
        <f>IF(AND(Tabela1[[#This Row],[Data nascimento]]&gt;=$L$2,Tabela1[[#This Row],[Data nascimento]]&lt;=$K$2),"INFANTIL B",I317)</f>
        <v>JUVENIL</v>
      </c>
      <c r="I317" s="9" t="str">
        <f>IF(AND(Tabela1[[#This Row],[Data nascimento]]&gt;=$N$2,Tabela1[[#This Row],[Data nascimento]]&lt;=$M$2),"INICIADO",J317)</f>
        <v>JUVENIL</v>
      </c>
      <c r="J317" s="9" t="str">
        <f>IF(AND(Tabela1[[#This Row],[Data nascimento]]&gt;=$P$2,Tabela1[[#This Row],[Data nascimento]]&lt;=$O$2),"JUVENIL","JÚNIOR")</f>
        <v>JUVENIL</v>
      </c>
    </row>
    <row r="318" spans="1:10" ht="15" x14ac:dyDescent="0.4">
      <c r="A318" s="13" t="s">
        <v>4124</v>
      </c>
      <c r="B318" s="2" t="s">
        <v>4125</v>
      </c>
      <c r="C318" s="4" t="s">
        <v>21</v>
      </c>
      <c r="D318" s="11">
        <v>40420</v>
      </c>
      <c r="E318" s="7" t="s">
        <v>4126</v>
      </c>
      <c r="F318" s="4" t="s">
        <v>4726</v>
      </c>
      <c r="G318" s="12" t="str">
        <f>IF(AND(Tabela1[[#This Row],[Data nascimento]]&gt;=$J$2,Tabela1[[#This Row],[Data nascimento]]&lt;=$I$2),"INFANTIL A",H318)</f>
        <v>JUVENIL</v>
      </c>
      <c r="H318" s="3" t="str">
        <f>IF(AND(Tabela1[[#This Row],[Data nascimento]]&gt;=$L$2,Tabela1[[#This Row],[Data nascimento]]&lt;=$K$2),"INFANTIL B",I318)</f>
        <v>JUVENIL</v>
      </c>
      <c r="I318" s="9" t="str">
        <f>IF(AND(Tabela1[[#This Row],[Data nascimento]]&gt;=$N$2,Tabela1[[#This Row],[Data nascimento]]&lt;=$M$2),"INICIADO",J318)</f>
        <v>JUVENIL</v>
      </c>
      <c r="J318" s="9" t="str">
        <f>IF(AND(Tabela1[[#This Row],[Data nascimento]]&gt;=$P$2,Tabela1[[#This Row],[Data nascimento]]&lt;=$O$2),"JUVENIL","JÚNIOR")</f>
        <v>JUVENIL</v>
      </c>
    </row>
    <row r="319" spans="1:10" ht="15" x14ac:dyDescent="0.4">
      <c r="A319" s="13" t="s">
        <v>1652</v>
      </c>
      <c r="B319" s="2" t="s">
        <v>1653</v>
      </c>
      <c r="C319" s="4" t="s">
        <v>8</v>
      </c>
      <c r="D319" s="11">
        <v>40354</v>
      </c>
      <c r="E319" s="7" t="s">
        <v>1654</v>
      </c>
      <c r="F319" s="4" t="s">
        <v>4732</v>
      </c>
      <c r="G319" s="12" t="str">
        <f>IF(AND(Tabela1[[#This Row],[Data nascimento]]&gt;=$J$2,Tabela1[[#This Row],[Data nascimento]]&lt;=$I$2),"INFANTIL A",H319)</f>
        <v>JUVENIL</v>
      </c>
      <c r="H319" s="3" t="str">
        <f>IF(AND(Tabela1[[#This Row],[Data nascimento]]&gt;=$L$2,Tabela1[[#This Row],[Data nascimento]]&lt;=$K$2),"INFANTIL B",I319)</f>
        <v>JUVENIL</v>
      </c>
      <c r="I319" s="9" t="str">
        <f>IF(AND(Tabela1[[#This Row],[Data nascimento]]&gt;=$N$2,Tabela1[[#This Row],[Data nascimento]]&lt;=$M$2),"INICIADO",J319)</f>
        <v>JUVENIL</v>
      </c>
      <c r="J319" s="9" t="str">
        <f>IF(AND(Tabela1[[#This Row],[Data nascimento]]&gt;=$P$2,Tabela1[[#This Row],[Data nascimento]]&lt;=$O$2),"JUVENIL","JÚNIOR")</f>
        <v>JUVENIL</v>
      </c>
    </row>
    <row r="320" spans="1:10" ht="15" x14ac:dyDescent="0.4">
      <c r="A320" s="13" t="s">
        <v>4130</v>
      </c>
      <c r="B320" s="2" t="s">
        <v>4131</v>
      </c>
      <c r="C320" s="4" t="s">
        <v>21</v>
      </c>
      <c r="D320" s="11">
        <v>40181</v>
      </c>
      <c r="E320" s="7" t="s">
        <v>4132</v>
      </c>
      <c r="F320" s="4" t="s">
        <v>4726</v>
      </c>
      <c r="G320" s="12" t="str">
        <f>IF(AND(Tabela1[[#This Row],[Data nascimento]]&gt;=$J$2,Tabela1[[#This Row],[Data nascimento]]&lt;=$I$2),"INFANTIL A",H320)</f>
        <v>JUVENIL</v>
      </c>
      <c r="H320" s="3" t="str">
        <f>IF(AND(Tabela1[[#This Row],[Data nascimento]]&gt;=$L$2,Tabela1[[#This Row],[Data nascimento]]&lt;=$K$2),"INFANTIL B",I320)</f>
        <v>JUVENIL</v>
      </c>
      <c r="I320" s="9" t="str">
        <f>IF(AND(Tabela1[[#This Row],[Data nascimento]]&gt;=$N$2,Tabela1[[#This Row],[Data nascimento]]&lt;=$M$2),"INICIADO",J320)</f>
        <v>JUVENIL</v>
      </c>
      <c r="J320" s="9" t="str">
        <f>IF(AND(Tabela1[[#This Row],[Data nascimento]]&gt;=$P$2,Tabela1[[#This Row],[Data nascimento]]&lt;=$O$2),"JUVENIL","JÚNIOR")</f>
        <v>JUVENIL</v>
      </c>
    </row>
    <row r="321" spans="1:10" ht="15" x14ac:dyDescent="0.4">
      <c r="A321" s="13" t="s">
        <v>1667</v>
      </c>
      <c r="B321" s="2" t="s">
        <v>1668</v>
      </c>
      <c r="C321" s="4" t="s">
        <v>8</v>
      </c>
      <c r="D321" s="11">
        <v>40004</v>
      </c>
      <c r="E321" s="7" t="s">
        <v>1669</v>
      </c>
      <c r="F321" s="4" t="s">
        <v>4732</v>
      </c>
      <c r="G321" s="12" t="str">
        <f>IF(AND(Tabela1[[#This Row],[Data nascimento]]&gt;=$J$2,Tabela1[[#This Row],[Data nascimento]]&lt;=$I$2),"INFANTIL A",H321)</f>
        <v>JUVENIL</v>
      </c>
      <c r="H321" s="3" t="str">
        <f>IF(AND(Tabela1[[#This Row],[Data nascimento]]&gt;=$L$2,Tabela1[[#This Row],[Data nascimento]]&lt;=$K$2),"INFANTIL B",I321)</f>
        <v>JUVENIL</v>
      </c>
      <c r="I321" s="9" t="str">
        <f>IF(AND(Tabela1[[#This Row],[Data nascimento]]&gt;=$N$2,Tabela1[[#This Row],[Data nascimento]]&lt;=$M$2),"INICIADO",J321)</f>
        <v>JUVENIL</v>
      </c>
      <c r="J321" s="9" t="str">
        <f>IF(AND(Tabela1[[#This Row],[Data nascimento]]&gt;=$P$2,Tabela1[[#This Row],[Data nascimento]]&lt;=$O$2),"JUVENIL","JÚNIOR")</f>
        <v>JUVENIL</v>
      </c>
    </row>
    <row r="322" spans="1:10" ht="15" x14ac:dyDescent="0.4">
      <c r="A322" s="13" t="s">
        <v>4136</v>
      </c>
      <c r="B322" s="2" t="s">
        <v>4137</v>
      </c>
      <c r="C322" s="4" t="s">
        <v>21</v>
      </c>
      <c r="D322" s="11">
        <v>40319</v>
      </c>
      <c r="E322" s="7" t="s">
        <v>4138</v>
      </c>
      <c r="F322" s="4" t="s">
        <v>4726</v>
      </c>
      <c r="G322" s="12" t="str">
        <f>IF(AND(Tabela1[[#This Row],[Data nascimento]]&gt;=$J$2,Tabela1[[#This Row],[Data nascimento]]&lt;=$I$2),"INFANTIL A",H322)</f>
        <v>JUVENIL</v>
      </c>
      <c r="H322" s="3" t="str">
        <f>IF(AND(Tabela1[[#This Row],[Data nascimento]]&gt;=$L$2,Tabela1[[#This Row],[Data nascimento]]&lt;=$K$2),"INFANTIL B",I322)</f>
        <v>JUVENIL</v>
      </c>
      <c r="I322" s="9" t="str">
        <f>IF(AND(Tabela1[[#This Row],[Data nascimento]]&gt;=$N$2,Tabela1[[#This Row],[Data nascimento]]&lt;=$M$2),"INICIADO",J322)</f>
        <v>JUVENIL</v>
      </c>
      <c r="J322" s="9" t="str">
        <f>IF(AND(Tabela1[[#This Row],[Data nascimento]]&gt;=$P$2,Tabela1[[#This Row],[Data nascimento]]&lt;=$O$2),"JUVENIL","JÚNIOR")</f>
        <v>JUVENIL</v>
      </c>
    </row>
    <row r="323" spans="1:10" ht="15" x14ac:dyDescent="0.4">
      <c r="A323" s="13" t="s">
        <v>1745</v>
      </c>
      <c r="B323" s="2" t="s">
        <v>1746</v>
      </c>
      <c r="C323" s="4" t="s">
        <v>8</v>
      </c>
      <c r="D323" s="11">
        <v>39988</v>
      </c>
      <c r="E323" s="7" t="s">
        <v>1747</v>
      </c>
      <c r="F323" s="4" t="s">
        <v>4732</v>
      </c>
      <c r="G323" s="12" t="str">
        <f>IF(AND(Tabela1[[#This Row],[Data nascimento]]&gt;=$J$2,Tabela1[[#This Row],[Data nascimento]]&lt;=$I$2),"INFANTIL A",H323)</f>
        <v>JUVENIL</v>
      </c>
      <c r="H323" s="3" t="str">
        <f>IF(AND(Tabela1[[#This Row],[Data nascimento]]&gt;=$L$2,Tabela1[[#This Row],[Data nascimento]]&lt;=$K$2),"INFANTIL B",I323)</f>
        <v>JUVENIL</v>
      </c>
      <c r="I323" s="9" t="str">
        <f>IF(AND(Tabela1[[#This Row],[Data nascimento]]&gt;=$N$2,Tabela1[[#This Row],[Data nascimento]]&lt;=$M$2),"INICIADO",J323)</f>
        <v>JUVENIL</v>
      </c>
      <c r="J323" s="9" t="str">
        <f>IF(AND(Tabela1[[#This Row],[Data nascimento]]&gt;=$P$2,Tabela1[[#This Row],[Data nascimento]]&lt;=$O$2),"JUVENIL","JÚNIOR")</f>
        <v>JUVENIL</v>
      </c>
    </row>
    <row r="324" spans="1:10" ht="15" x14ac:dyDescent="0.4">
      <c r="A324" s="13" t="s">
        <v>1751</v>
      </c>
      <c r="B324" s="2" t="s">
        <v>1752</v>
      </c>
      <c r="C324" s="4" t="s">
        <v>8</v>
      </c>
      <c r="D324" s="11">
        <v>40087</v>
      </c>
      <c r="E324" s="7" t="s">
        <v>1753</v>
      </c>
      <c r="F324" s="4" t="s">
        <v>4732</v>
      </c>
      <c r="G324" s="12" t="str">
        <f>IF(AND(Tabela1[[#This Row],[Data nascimento]]&gt;=$J$2,Tabela1[[#This Row],[Data nascimento]]&lt;=$I$2),"INFANTIL A",H324)</f>
        <v>JUVENIL</v>
      </c>
      <c r="H324" s="3" t="str">
        <f>IF(AND(Tabela1[[#This Row],[Data nascimento]]&gt;=$L$2,Tabela1[[#This Row],[Data nascimento]]&lt;=$K$2),"INFANTIL B",I324)</f>
        <v>JUVENIL</v>
      </c>
      <c r="I324" s="9" t="str">
        <f>IF(AND(Tabela1[[#This Row],[Data nascimento]]&gt;=$N$2,Tabela1[[#This Row],[Data nascimento]]&lt;=$M$2),"INICIADO",J324)</f>
        <v>JUVENIL</v>
      </c>
      <c r="J324" s="9" t="str">
        <f>IF(AND(Tabela1[[#This Row],[Data nascimento]]&gt;=$P$2,Tabela1[[#This Row],[Data nascimento]]&lt;=$O$2),"JUVENIL","JÚNIOR")</f>
        <v>JUVENIL</v>
      </c>
    </row>
    <row r="325" spans="1:10" ht="15" x14ac:dyDescent="0.4">
      <c r="A325" s="13" t="s">
        <v>1166</v>
      </c>
      <c r="B325" s="2" t="s">
        <v>1167</v>
      </c>
      <c r="C325" s="4" t="s">
        <v>8</v>
      </c>
      <c r="D325" s="11">
        <v>40096</v>
      </c>
      <c r="E325" s="7" t="s">
        <v>1168</v>
      </c>
      <c r="F325" s="4" t="s">
        <v>4714</v>
      </c>
      <c r="G325" s="12" t="str">
        <f>IF(AND(Tabela1[[#This Row],[Data nascimento]]&gt;=$J$2,Tabela1[[#This Row],[Data nascimento]]&lt;=$I$2),"INFANTIL A",H325)</f>
        <v>JUVENIL</v>
      </c>
      <c r="H325" s="3" t="str">
        <f>IF(AND(Tabela1[[#This Row],[Data nascimento]]&gt;=$L$2,Tabela1[[#This Row],[Data nascimento]]&lt;=$K$2),"INFANTIL B",I325)</f>
        <v>JUVENIL</v>
      </c>
      <c r="I325" s="9" t="str">
        <f>IF(AND(Tabela1[[#This Row],[Data nascimento]]&gt;=$N$2,Tabela1[[#This Row],[Data nascimento]]&lt;=$M$2),"INICIADO",J325)</f>
        <v>JUVENIL</v>
      </c>
      <c r="J325" s="9" t="str">
        <f>IF(AND(Tabela1[[#This Row],[Data nascimento]]&gt;=$P$2,Tabela1[[#This Row],[Data nascimento]]&lt;=$O$2),"JUVENIL","JÚNIOR")</f>
        <v>JUVENIL</v>
      </c>
    </row>
    <row r="326" spans="1:10" ht="15" x14ac:dyDescent="0.4">
      <c r="A326" s="13" t="s">
        <v>4148</v>
      </c>
      <c r="B326" s="2" t="s">
        <v>4149</v>
      </c>
      <c r="C326" s="4" t="s">
        <v>21</v>
      </c>
      <c r="D326" s="11">
        <v>40307</v>
      </c>
      <c r="E326" s="7" t="s">
        <v>4150</v>
      </c>
      <c r="F326" s="4" t="s">
        <v>4726</v>
      </c>
      <c r="G326" s="12" t="str">
        <f>IF(AND(Tabela1[[#This Row],[Data nascimento]]&gt;=$J$2,Tabela1[[#This Row],[Data nascimento]]&lt;=$I$2),"INFANTIL A",H326)</f>
        <v>JUVENIL</v>
      </c>
      <c r="H326" s="3" t="str">
        <f>IF(AND(Tabela1[[#This Row],[Data nascimento]]&gt;=$L$2,Tabela1[[#This Row],[Data nascimento]]&lt;=$K$2),"INFANTIL B",I326)</f>
        <v>JUVENIL</v>
      </c>
      <c r="I326" s="9" t="str">
        <f>IF(AND(Tabela1[[#This Row],[Data nascimento]]&gt;=$N$2,Tabela1[[#This Row],[Data nascimento]]&lt;=$M$2),"INICIADO",J326)</f>
        <v>JUVENIL</v>
      </c>
      <c r="J326" s="9" t="str">
        <f>IF(AND(Tabela1[[#This Row],[Data nascimento]]&gt;=$P$2,Tabela1[[#This Row],[Data nascimento]]&lt;=$O$2),"JUVENIL","JÚNIOR")</f>
        <v>JUVENIL</v>
      </c>
    </row>
    <row r="327" spans="1:10" ht="15" x14ac:dyDescent="0.4">
      <c r="A327" s="13" t="s">
        <v>4151</v>
      </c>
      <c r="B327" s="2" t="s">
        <v>4152</v>
      </c>
      <c r="C327" s="4" t="s">
        <v>21</v>
      </c>
      <c r="D327" s="11">
        <v>40270</v>
      </c>
      <c r="E327" s="7" t="s">
        <v>4153</v>
      </c>
      <c r="F327" s="4" t="s">
        <v>4726</v>
      </c>
      <c r="G327" s="12" t="str">
        <f>IF(AND(Tabela1[[#This Row],[Data nascimento]]&gt;=$J$2,Tabela1[[#This Row],[Data nascimento]]&lt;=$I$2),"INFANTIL A",H327)</f>
        <v>JUVENIL</v>
      </c>
      <c r="H327" s="3" t="str">
        <f>IF(AND(Tabela1[[#This Row],[Data nascimento]]&gt;=$L$2,Tabela1[[#This Row],[Data nascimento]]&lt;=$K$2),"INFANTIL B",I327)</f>
        <v>JUVENIL</v>
      </c>
      <c r="I327" s="9" t="str">
        <f>IF(AND(Tabela1[[#This Row],[Data nascimento]]&gt;=$N$2,Tabela1[[#This Row],[Data nascimento]]&lt;=$M$2),"INICIADO",J327)</f>
        <v>JUVENIL</v>
      </c>
      <c r="J327" s="9" t="str">
        <f>IF(AND(Tabela1[[#This Row],[Data nascimento]]&gt;=$P$2,Tabela1[[#This Row],[Data nascimento]]&lt;=$O$2),"JUVENIL","JÚNIOR")</f>
        <v>JUVENIL</v>
      </c>
    </row>
    <row r="328" spans="1:10" ht="15" x14ac:dyDescent="0.4">
      <c r="A328" s="13" t="s">
        <v>4154</v>
      </c>
      <c r="B328" s="2" t="s">
        <v>4155</v>
      </c>
      <c r="C328" s="4" t="s">
        <v>21</v>
      </c>
      <c r="D328" s="11">
        <v>40440</v>
      </c>
      <c r="E328" s="7" t="s">
        <v>4156</v>
      </c>
      <c r="F328" s="4" t="s">
        <v>4726</v>
      </c>
      <c r="G328" s="12" t="str">
        <f>IF(AND(Tabela1[[#This Row],[Data nascimento]]&gt;=$J$2,Tabela1[[#This Row],[Data nascimento]]&lt;=$I$2),"INFANTIL A",H328)</f>
        <v>JUVENIL</v>
      </c>
      <c r="H328" s="3" t="str">
        <f>IF(AND(Tabela1[[#This Row],[Data nascimento]]&gt;=$L$2,Tabela1[[#This Row],[Data nascimento]]&lt;=$K$2),"INFANTIL B",I328)</f>
        <v>JUVENIL</v>
      </c>
      <c r="I328" s="9" t="str">
        <f>IF(AND(Tabela1[[#This Row],[Data nascimento]]&gt;=$N$2,Tabela1[[#This Row],[Data nascimento]]&lt;=$M$2),"INICIADO",J328)</f>
        <v>JUVENIL</v>
      </c>
      <c r="J328" s="9" t="str">
        <f>IF(AND(Tabela1[[#This Row],[Data nascimento]]&gt;=$P$2,Tabela1[[#This Row],[Data nascimento]]&lt;=$O$2),"JUVENIL","JÚNIOR")</f>
        <v>JUVENIL</v>
      </c>
    </row>
    <row r="329" spans="1:10" ht="15" x14ac:dyDescent="0.4">
      <c r="A329" s="13" t="s">
        <v>4157</v>
      </c>
      <c r="B329" s="2" t="s">
        <v>4158</v>
      </c>
      <c r="C329" s="4" t="s">
        <v>21</v>
      </c>
      <c r="D329" s="11">
        <v>40348</v>
      </c>
      <c r="E329" s="7" t="s">
        <v>4159</v>
      </c>
      <c r="F329" s="4" t="s">
        <v>4727</v>
      </c>
      <c r="G329" s="12" t="str">
        <f>IF(AND(Tabela1[[#This Row],[Data nascimento]]&gt;=$J$2,Tabela1[[#This Row],[Data nascimento]]&lt;=$I$2),"INFANTIL A",H329)</f>
        <v>JUVENIL</v>
      </c>
      <c r="H329" s="3" t="str">
        <f>IF(AND(Tabela1[[#This Row],[Data nascimento]]&gt;=$L$2,Tabela1[[#This Row],[Data nascimento]]&lt;=$K$2),"INFANTIL B",I329)</f>
        <v>JUVENIL</v>
      </c>
      <c r="I329" s="9" t="str">
        <f>IF(AND(Tabela1[[#This Row],[Data nascimento]]&gt;=$N$2,Tabela1[[#This Row],[Data nascimento]]&lt;=$M$2),"INICIADO",J329)</f>
        <v>JUVENIL</v>
      </c>
      <c r="J329" s="9" t="str">
        <f>IF(AND(Tabela1[[#This Row],[Data nascimento]]&gt;=$P$2,Tabela1[[#This Row],[Data nascimento]]&lt;=$O$2),"JUVENIL","JÚNIOR")</f>
        <v>JUVENIL</v>
      </c>
    </row>
    <row r="330" spans="1:10" ht="15" x14ac:dyDescent="0.4">
      <c r="A330" s="13" t="s">
        <v>1241</v>
      </c>
      <c r="B330" s="2" t="s">
        <v>1242</v>
      </c>
      <c r="C330" s="4" t="s">
        <v>8</v>
      </c>
      <c r="D330" s="11">
        <v>40105</v>
      </c>
      <c r="E330" s="7" t="s">
        <v>1243</v>
      </c>
      <c r="F330" s="4" t="s">
        <v>4714</v>
      </c>
      <c r="G330" s="12" t="str">
        <f>IF(AND(Tabela1[[#This Row],[Data nascimento]]&gt;=$J$2,Tabela1[[#This Row],[Data nascimento]]&lt;=$I$2),"INFANTIL A",H330)</f>
        <v>JUVENIL</v>
      </c>
      <c r="H330" s="3" t="str">
        <f>IF(AND(Tabela1[[#This Row],[Data nascimento]]&gt;=$L$2,Tabela1[[#This Row],[Data nascimento]]&lt;=$K$2),"INFANTIL B",I330)</f>
        <v>JUVENIL</v>
      </c>
      <c r="I330" s="9" t="str">
        <f>IF(AND(Tabela1[[#This Row],[Data nascimento]]&gt;=$N$2,Tabela1[[#This Row],[Data nascimento]]&lt;=$M$2),"INICIADO",J330)</f>
        <v>JUVENIL</v>
      </c>
      <c r="J330" s="9" t="str">
        <f>IF(AND(Tabela1[[#This Row],[Data nascimento]]&gt;=$P$2,Tabela1[[#This Row],[Data nascimento]]&lt;=$O$2),"JUVENIL","JÚNIOR")</f>
        <v>JUVENIL</v>
      </c>
    </row>
    <row r="331" spans="1:10" ht="15" x14ac:dyDescent="0.4">
      <c r="A331" s="13" t="s">
        <v>1757</v>
      </c>
      <c r="B331" s="2" t="s">
        <v>1758</v>
      </c>
      <c r="C331" s="4" t="s">
        <v>21</v>
      </c>
      <c r="D331" s="11">
        <v>40375</v>
      </c>
      <c r="E331" s="7" t="s">
        <v>1759</v>
      </c>
      <c r="F331" s="4" t="s">
        <v>4728</v>
      </c>
      <c r="G331" s="12" t="str">
        <f>IF(AND(Tabela1[[#This Row],[Data nascimento]]&gt;=$J$2,Tabela1[[#This Row],[Data nascimento]]&lt;=$I$2),"INFANTIL A",H331)</f>
        <v>JUVENIL</v>
      </c>
      <c r="H331" s="3" t="str">
        <f>IF(AND(Tabela1[[#This Row],[Data nascimento]]&gt;=$L$2,Tabela1[[#This Row],[Data nascimento]]&lt;=$K$2),"INFANTIL B",I331)</f>
        <v>JUVENIL</v>
      </c>
      <c r="I331" s="9" t="str">
        <f>IF(AND(Tabela1[[#This Row],[Data nascimento]]&gt;=$N$2,Tabela1[[#This Row],[Data nascimento]]&lt;=$M$2),"INICIADO",J331)</f>
        <v>JUVENIL</v>
      </c>
      <c r="J331" s="9" t="str">
        <f>IF(AND(Tabela1[[#This Row],[Data nascimento]]&gt;=$P$2,Tabela1[[#This Row],[Data nascimento]]&lt;=$O$2),"JUVENIL","JÚNIOR")</f>
        <v>JUVENIL</v>
      </c>
    </row>
    <row r="332" spans="1:10" ht="15" x14ac:dyDescent="0.4">
      <c r="A332" s="13" t="s">
        <v>4163</v>
      </c>
      <c r="B332" s="2" t="s">
        <v>4164</v>
      </c>
      <c r="C332" s="4" t="s">
        <v>21</v>
      </c>
      <c r="D332" s="11">
        <v>40523</v>
      </c>
      <c r="E332" s="7" t="s">
        <v>4165</v>
      </c>
      <c r="F332" s="4" t="s">
        <v>4726</v>
      </c>
      <c r="G332" s="12" t="str">
        <f>IF(AND(Tabela1[[#This Row],[Data nascimento]]&gt;=$J$2,Tabela1[[#This Row],[Data nascimento]]&lt;=$I$2),"INFANTIL A",H332)</f>
        <v>JUVENIL</v>
      </c>
      <c r="H332" s="3" t="str">
        <f>IF(AND(Tabela1[[#This Row],[Data nascimento]]&gt;=$L$2,Tabela1[[#This Row],[Data nascimento]]&lt;=$K$2),"INFANTIL B",I332)</f>
        <v>JUVENIL</v>
      </c>
      <c r="I332" s="9" t="str">
        <f>IF(AND(Tabela1[[#This Row],[Data nascimento]]&gt;=$N$2,Tabela1[[#This Row],[Data nascimento]]&lt;=$M$2),"INICIADO",J332)</f>
        <v>JUVENIL</v>
      </c>
      <c r="J332" s="9" t="str">
        <f>IF(AND(Tabela1[[#This Row],[Data nascimento]]&gt;=$P$2,Tabela1[[#This Row],[Data nascimento]]&lt;=$O$2),"JUVENIL","JÚNIOR")</f>
        <v>JUVENIL</v>
      </c>
    </row>
    <row r="333" spans="1:10" ht="15" x14ac:dyDescent="0.4">
      <c r="A333" s="13" t="s">
        <v>4166</v>
      </c>
      <c r="B333" s="2" t="s">
        <v>4167</v>
      </c>
      <c r="C333" s="4" t="s">
        <v>21</v>
      </c>
      <c r="D333" s="11">
        <v>40315</v>
      </c>
      <c r="E333" s="7" t="s">
        <v>4168</v>
      </c>
      <c r="F333" s="4" t="s">
        <v>4727</v>
      </c>
      <c r="G333" s="12" t="str">
        <f>IF(AND(Tabela1[[#This Row],[Data nascimento]]&gt;=$J$2,Tabela1[[#This Row],[Data nascimento]]&lt;=$I$2),"INFANTIL A",H333)</f>
        <v>JUVENIL</v>
      </c>
      <c r="H333" s="3" t="str">
        <f>IF(AND(Tabela1[[#This Row],[Data nascimento]]&gt;=$L$2,Tabela1[[#This Row],[Data nascimento]]&lt;=$K$2),"INFANTIL B",I333)</f>
        <v>JUVENIL</v>
      </c>
      <c r="I333" s="9" t="str">
        <f>IF(AND(Tabela1[[#This Row],[Data nascimento]]&gt;=$N$2,Tabela1[[#This Row],[Data nascimento]]&lt;=$M$2),"INICIADO",J333)</f>
        <v>JUVENIL</v>
      </c>
      <c r="J333" s="9" t="str">
        <f>IF(AND(Tabela1[[#This Row],[Data nascimento]]&gt;=$P$2,Tabela1[[#This Row],[Data nascimento]]&lt;=$O$2),"JUVENIL","JÚNIOR")</f>
        <v>JUVENIL</v>
      </c>
    </row>
    <row r="334" spans="1:10" ht="15" x14ac:dyDescent="0.4">
      <c r="A334" s="13" t="s">
        <v>4169</v>
      </c>
      <c r="B334" s="2" t="s">
        <v>4170</v>
      </c>
      <c r="C334" s="4" t="s">
        <v>21</v>
      </c>
      <c r="D334" s="11">
        <v>40334</v>
      </c>
      <c r="E334" s="7" t="s">
        <v>4171</v>
      </c>
      <c r="F334" s="4" t="s">
        <v>4727</v>
      </c>
      <c r="G334" s="12" t="str">
        <f>IF(AND(Tabela1[[#This Row],[Data nascimento]]&gt;=$J$2,Tabela1[[#This Row],[Data nascimento]]&lt;=$I$2),"INFANTIL A",H334)</f>
        <v>JUVENIL</v>
      </c>
      <c r="H334" s="3" t="str">
        <f>IF(AND(Tabela1[[#This Row],[Data nascimento]]&gt;=$L$2,Tabela1[[#This Row],[Data nascimento]]&lt;=$K$2),"INFANTIL B",I334)</f>
        <v>JUVENIL</v>
      </c>
      <c r="I334" s="9" t="str">
        <f>IF(AND(Tabela1[[#This Row],[Data nascimento]]&gt;=$N$2,Tabela1[[#This Row],[Data nascimento]]&lt;=$M$2),"INICIADO",J334)</f>
        <v>JUVENIL</v>
      </c>
      <c r="J334" s="9" t="str">
        <f>IF(AND(Tabela1[[#This Row],[Data nascimento]]&gt;=$P$2,Tabela1[[#This Row],[Data nascimento]]&lt;=$O$2),"JUVENIL","JÚNIOR")</f>
        <v>JUVENIL</v>
      </c>
    </row>
    <row r="335" spans="1:10" ht="15" x14ac:dyDescent="0.4">
      <c r="A335" s="13" t="s">
        <v>4172</v>
      </c>
      <c r="B335" s="2" t="s">
        <v>4173</v>
      </c>
      <c r="C335" s="4" t="s">
        <v>21</v>
      </c>
      <c r="D335" s="11">
        <v>40398</v>
      </c>
      <c r="E335" s="7" t="s">
        <v>4174</v>
      </c>
      <c r="F335" s="4" t="s">
        <v>4727</v>
      </c>
      <c r="G335" s="12" t="str">
        <f>IF(AND(Tabela1[[#This Row],[Data nascimento]]&gt;=$J$2,Tabela1[[#This Row],[Data nascimento]]&lt;=$I$2),"INFANTIL A",H335)</f>
        <v>JUVENIL</v>
      </c>
      <c r="H335" s="3" t="str">
        <f>IF(AND(Tabela1[[#This Row],[Data nascimento]]&gt;=$L$2,Tabela1[[#This Row],[Data nascimento]]&lt;=$K$2),"INFANTIL B",I335)</f>
        <v>JUVENIL</v>
      </c>
      <c r="I335" s="9" t="str">
        <f>IF(AND(Tabela1[[#This Row],[Data nascimento]]&gt;=$N$2,Tabela1[[#This Row],[Data nascimento]]&lt;=$M$2),"INICIADO",J335)</f>
        <v>JUVENIL</v>
      </c>
      <c r="J335" s="9" t="str">
        <f>IF(AND(Tabela1[[#This Row],[Data nascimento]]&gt;=$P$2,Tabela1[[#This Row],[Data nascimento]]&lt;=$O$2),"JUVENIL","JÚNIOR")</f>
        <v>JUVENIL</v>
      </c>
    </row>
    <row r="336" spans="1:10" ht="15" x14ac:dyDescent="0.4">
      <c r="A336" s="13" t="s">
        <v>1274</v>
      </c>
      <c r="B336" s="2" t="s">
        <v>1275</v>
      </c>
      <c r="C336" s="4" t="s">
        <v>8</v>
      </c>
      <c r="D336" s="11">
        <v>39441</v>
      </c>
      <c r="E336" s="7" t="s">
        <v>1276</v>
      </c>
      <c r="F336" s="4" t="s">
        <v>4714</v>
      </c>
      <c r="G336" s="12" t="str">
        <f>IF(AND(Tabela1[[#This Row],[Data nascimento]]&gt;=$J$2,Tabela1[[#This Row],[Data nascimento]]&lt;=$I$2),"INFANTIL A",H336)</f>
        <v>JÚNIOR</v>
      </c>
      <c r="H336" s="3" t="str">
        <f>IF(AND(Tabela1[[#This Row],[Data nascimento]]&gt;=$L$2,Tabela1[[#This Row],[Data nascimento]]&lt;=$K$2),"INFANTIL B",I336)</f>
        <v>JÚNIOR</v>
      </c>
      <c r="I336" s="9" t="str">
        <f>IF(AND(Tabela1[[#This Row],[Data nascimento]]&gt;=$N$2,Tabela1[[#This Row],[Data nascimento]]&lt;=$M$2),"INICIADO",J336)</f>
        <v>JÚNIOR</v>
      </c>
      <c r="J336" s="9" t="str">
        <f>IF(AND(Tabela1[[#This Row],[Data nascimento]]&gt;=$P$2,Tabela1[[#This Row],[Data nascimento]]&lt;=$O$2),"JUVENIL","JÚNIOR")</f>
        <v>JÚNIOR</v>
      </c>
    </row>
    <row r="337" spans="1:10" ht="15" x14ac:dyDescent="0.4">
      <c r="A337" s="13" t="s">
        <v>1295</v>
      </c>
      <c r="B337" s="2" t="s">
        <v>1296</v>
      </c>
      <c r="C337" s="4" t="s">
        <v>8</v>
      </c>
      <c r="D337" s="11">
        <v>40232</v>
      </c>
      <c r="E337" s="7" t="s">
        <v>1297</v>
      </c>
      <c r="F337" s="4" t="s">
        <v>4714</v>
      </c>
      <c r="G337" s="12" t="str">
        <f>IF(AND(Tabela1[[#This Row],[Data nascimento]]&gt;=$J$2,Tabela1[[#This Row],[Data nascimento]]&lt;=$I$2),"INFANTIL A",H337)</f>
        <v>JUVENIL</v>
      </c>
      <c r="H337" s="3" t="str">
        <f>IF(AND(Tabela1[[#This Row],[Data nascimento]]&gt;=$L$2,Tabela1[[#This Row],[Data nascimento]]&lt;=$K$2),"INFANTIL B",I337)</f>
        <v>JUVENIL</v>
      </c>
      <c r="I337" s="9" t="str">
        <f>IF(AND(Tabela1[[#This Row],[Data nascimento]]&gt;=$N$2,Tabela1[[#This Row],[Data nascimento]]&lt;=$M$2),"INICIADO",J337)</f>
        <v>JUVENIL</v>
      </c>
      <c r="J337" s="9" t="str">
        <f>IF(AND(Tabela1[[#This Row],[Data nascimento]]&gt;=$P$2,Tabela1[[#This Row],[Data nascimento]]&lt;=$O$2),"JUVENIL","JÚNIOR")</f>
        <v>JUVENIL</v>
      </c>
    </row>
    <row r="338" spans="1:10" ht="15" x14ac:dyDescent="0.4">
      <c r="A338" s="13" t="s">
        <v>1433</v>
      </c>
      <c r="B338" s="2" t="s">
        <v>1434</v>
      </c>
      <c r="C338" s="4" t="s">
        <v>8</v>
      </c>
      <c r="D338" s="11">
        <v>40493</v>
      </c>
      <c r="E338" s="7" t="s">
        <v>1435</v>
      </c>
      <c r="F338" s="4" t="s">
        <v>4714</v>
      </c>
      <c r="G338" s="12" t="str">
        <f>IF(AND(Tabela1[[#This Row],[Data nascimento]]&gt;=$J$2,Tabela1[[#This Row],[Data nascimento]]&lt;=$I$2),"INFANTIL A",H338)</f>
        <v>JUVENIL</v>
      </c>
      <c r="H338" s="3" t="str">
        <f>IF(AND(Tabela1[[#This Row],[Data nascimento]]&gt;=$L$2,Tabela1[[#This Row],[Data nascimento]]&lt;=$K$2),"INFANTIL B",I338)</f>
        <v>JUVENIL</v>
      </c>
      <c r="I338" s="9" t="str">
        <f>IF(AND(Tabela1[[#This Row],[Data nascimento]]&gt;=$N$2,Tabela1[[#This Row],[Data nascimento]]&lt;=$M$2),"INICIADO",J338)</f>
        <v>JUVENIL</v>
      </c>
      <c r="J338" s="9" t="str">
        <f>IF(AND(Tabela1[[#This Row],[Data nascimento]]&gt;=$P$2,Tabela1[[#This Row],[Data nascimento]]&lt;=$O$2),"JUVENIL","JÚNIOR")</f>
        <v>JUVENIL</v>
      </c>
    </row>
    <row r="339" spans="1:10" ht="15" x14ac:dyDescent="0.4">
      <c r="A339" s="13" t="s">
        <v>1493</v>
      </c>
      <c r="B339" s="2" t="s">
        <v>1494</v>
      </c>
      <c r="C339" s="4" t="s">
        <v>8</v>
      </c>
      <c r="D339" s="11">
        <v>40317</v>
      </c>
      <c r="E339" s="7" t="s">
        <v>1495</v>
      </c>
      <c r="F339" s="4" t="s">
        <v>4714</v>
      </c>
      <c r="G339" s="12" t="str">
        <f>IF(AND(Tabela1[[#This Row],[Data nascimento]]&gt;=$J$2,Tabela1[[#This Row],[Data nascimento]]&lt;=$I$2),"INFANTIL A",H339)</f>
        <v>JUVENIL</v>
      </c>
      <c r="H339" s="3" t="str">
        <f>IF(AND(Tabela1[[#This Row],[Data nascimento]]&gt;=$L$2,Tabela1[[#This Row],[Data nascimento]]&lt;=$K$2),"INFANTIL B",I339)</f>
        <v>JUVENIL</v>
      </c>
      <c r="I339" s="9" t="str">
        <f>IF(AND(Tabela1[[#This Row],[Data nascimento]]&gt;=$N$2,Tabela1[[#This Row],[Data nascimento]]&lt;=$M$2),"INICIADO",J339)</f>
        <v>JUVENIL</v>
      </c>
      <c r="J339" s="9" t="str">
        <f>IF(AND(Tabela1[[#This Row],[Data nascimento]]&gt;=$P$2,Tabela1[[#This Row],[Data nascimento]]&lt;=$O$2),"JUVENIL","JÚNIOR")</f>
        <v>JUVENIL</v>
      </c>
    </row>
    <row r="340" spans="1:10" ht="15" x14ac:dyDescent="0.4">
      <c r="A340" s="13" t="s">
        <v>4187</v>
      </c>
      <c r="B340" s="2" t="s">
        <v>4188</v>
      </c>
      <c r="C340" s="4" t="s">
        <v>21</v>
      </c>
      <c r="D340" s="11">
        <v>40185</v>
      </c>
      <c r="E340" s="7" t="s">
        <v>4189</v>
      </c>
      <c r="F340" s="4" t="s">
        <v>4727</v>
      </c>
      <c r="G340" s="12" t="str">
        <f>IF(AND(Tabela1[[#This Row],[Data nascimento]]&gt;=$J$2,Tabela1[[#This Row],[Data nascimento]]&lt;=$I$2),"INFANTIL A",H340)</f>
        <v>JUVENIL</v>
      </c>
      <c r="H340" s="3" t="str">
        <f>IF(AND(Tabela1[[#This Row],[Data nascimento]]&gt;=$L$2,Tabela1[[#This Row],[Data nascimento]]&lt;=$K$2),"INFANTIL B",I340)</f>
        <v>JUVENIL</v>
      </c>
      <c r="I340" s="9" t="str">
        <f>IF(AND(Tabela1[[#This Row],[Data nascimento]]&gt;=$N$2,Tabela1[[#This Row],[Data nascimento]]&lt;=$M$2),"INICIADO",J340)</f>
        <v>JUVENIL</v>
      </c>
      <c r="J340" s="9" t="str">
        <f>IF(AND(Tabela1[[#This Row],[Data nascimento]]&gt;=$P$2,Tabela1[[#This Row],[Data nascimento]]&lt;=$O$2),"JUVENIL","JÚNIOR")</f>
        <v>JUVENIL</v>
      </c>
    </row>
    <row r="341" spans="1:10" ht="15" x14ac:dyDescent="0.4">
      <c r="A341" s="13" t="s">
        <v>1676</v>
      </c>
      <c r="B341" s="2" t="s">
        <v>1677</v>
      </c>
      <c r="C341" s="4" t="s">
        <v>8</v>
      </c>
      <c r="D341" s="11">
        <v>39534</v>
      </c>
      <c r="E341" s="7" t="s">
        <v>1678</v>
      </c>
      <c r="F341" s="4" t="s">
        <v>4714</v>
      </c>
      <c r="G341" s="12" t="str">
        <f>IF(AND(Tabela1[[#This Row],[Data nascimento]]&gt;=$J$2,Tabela1[[#This Row],[Data nascimento]]&lt;=$I$2),"INFANTIL A",H341)</f>
        <v>JUVENIL</v>
      </c>
      <c r="H341" s="3" t="str">
        <f>IF(AND(Tabela1[[#This Row],[Data nascimento]]&gt;=$L$2,Tabela1[[#This Row],[Data nascimento]]&lt;=$K$2),"INFANTIL B",I341)</f>
        <v>JUVENIL</v>
      </c>
      <c r="I341" s="9" t="str">
        <f>IF(AND(Tabela1[[#This Row],[Data nascimento]]&gt;=$N$2,Tabela1[[#This Row],[Data nascimento]]&lt;=$M$2),"INICIADO",J341)</f>
        <v>JUVENIL</v>
      </c>
      <c r="J341" s="9" t="str">
        <f>IF(AND(Tabela1[[#This Row],[Data nascimento]]&gt;=$P$2,Tabela1[[#This Row],[Data nascimento]]&lt;=$O$2),"JUVENIL","JÚNIOR")</f>
        <v>JUVENIL</v>
      </c>
    </row>
    <row r="342" spans="1:10" ht="15" x14ac:dyDescent="0.4">
      <c r="A342" s="13" t="s">
        <v>4193</v>
      </c>
      <c r="B342" s="2" t="s">
        <v>4194</v>
      </c>
      <c r="C342" s="4" t="s">
        <v>21</v>
      </c>
      <c r="D342" s="11">
        <v>40221</v>
      </c>
      <c r="E342" s="7" t="s">
        <v>4195</v>
      </c>
      <c r="F342" s="4" t="s">
        <v>4730</v>
      </c>
      <c r="G342" s="12" t="str">
        <f>IF(AND(Tabela1[[#This Row],[Data nascimento]]&gt;=$J$2,Tabela1[[#This Row],[Data nascimento]]&lt;=$I$2),"INFANTIL A",H342)</f>
        <v>JUVENIL</v>
      </c>
      <c r="H342" s="3" t="str">
        <f>IF(AND(Tabela1[[#This Row],[Data nascimento]]&gt;=$L$2,Tabela1[[#This Row],[Data nascimento]]&lt;=$K$2),"INFANTIL B",I342)</f>
        <v>JUVENIL</v>
      </c>
      <c r="I342" s="9" t="str">
        <f>IF(AND(Tabela1[[#This Row],[Data nascimento]]&gt;=$N$2,Tabela1[[#This Row],[Data nascimento]]&lt;=$M$2),"INICIADO",J342)</f>
        <v>JUVENIL</v>
      </c>
      <c r="J342" s="9" t="str">
        <f>IF(AND(Tabela1[[#This Row],[Data nascimento]]&gt;=$P$2,Tabela1[[#This Row],[Data nascimento]]&lt;=$O$2),"JUVENIL","JÚNIOR")</f>
        <v>JUVENIL</v>
      </c>
    </row>
    <row r="343" spans="1:10" ht="15" x14ac:dyDescent="0.4">
      <c r="A343" s="13" t="s">
        <v>1169</v>
      </c>
      <c r="B343" s="2" t="s">
        <v>1170</v>
      </c>
      <c r="C343" s="4" t="s">
        <v>8</v>
      </c>
      <c r="D343" s="11">
        <v>40027</v>
      </c>
      <c r="E343" s="7" t="s">
        <v>1171</v>
      </c>
      <c r="F343" s="4" t="s">
        <v>4733</v>
      </c>
      <c r="G343" s="12" t="str">
        <f>IF(AND(Tabela1[[#This Row],[Data nascimento]]&gt;=$J$2,Tabela1[[#This Row],[Data nascimento]]&lt;=$I$2),"INFANTIL A",H343)</f>
        <v>JUVENIL</v>
      </c>
      <c r="H343" s="3" t="str">
        <f>IF(AND(Tabela1[[#This Row],[Data nascimento]]&gt;=$L$2,Tabela1[[#This Row],[Data nascimento]]&lt;=$K$2),"INFANTIL B",I343)</f>
        <v>JUVENIL</v>
      </c>
      <c r="I343" s="9" t="str">
        <f>IF(AND(Tabela1[[#This Row],[Data nascimento]]&gt;=$N$2,Tabela1[[#This Row],[Data nascimento]]&lt;=$M$2),"INICIADO",J343)</f>
        <v>JUVENIL</v>
      </c>
      <c r="J343" s="9" t="str">
        <f>IF(AND(Tabela1[[#This Row],[Data nascimento]]&gt;=$P$2,Tabela1[[#This Row],[Data nascimento]]&lt;=$O$2),"JUVENIL","JÚNIOR")</f>
        <v>JUVENIL</v>
      </c>
    </row>
    <row r="344" spans="1:10" ht="15" x14ac:dyDescent="0.4">
      <c r="A344" s="13" t="s">
        <v>4199</v>
      </c>
      <c r="B344" s="2" t="s">
        <v>4200</v>
      </c>
      <c r="C344" s="4" t="s">
        <v>21</v>
      </c>
      <c r="D344" s="11">
        <v>40353</v>
      </c>
      <c r="E344" s="7" t="s">
        <v>4201</v>
      </c>
      <c r="F344" s="4" t="s">
        <v>4730</v>
      </c>
      <c r="G344" s="12" t="str">
        <f>IF(AND(Tabela1[[#This Row],[Data nascimento]]&gt;=$J$2,Tabela1[[#This Row],[Data nascimento]]&lt;=$I$2),"INFANTIL A",H344)</f>
        <v>JUVENIL</v>
      </c>
      <c r="H344" s="3" t="str">
        <f>IF(AND(Tabela1[[#This Row],[Data nascimento]]&gt;=$L$2,Tabela1[[#This Row],[Data nascimento]]&lt;=$K$2),"INFANTIL B",I344)</f>
        <v>JUVENIL</v>
      </c>
      <c r="I344" s="9" t="str">
        <f>IF(AND(Tabela1[[#This Row],[Data nascimento]]&gt;=$N$2,Tabela1[[#This Row],[Data nascimento]]&lt;=$M$2),"INICIADO",J344)</f>
        <v>JUVENIL</v>
      </c>
      <c r="J344" s="9" t="str">
        <f>IF(AND(Tabela1[[#This Row],[Data nascimento]]&gt;=$P$2,Tabela1[[#This Row],[Data nascimento]]&lt;=$O$2),"JUVENIL","JÚNIOR")</f>
        <v>JUVENIL</v>
      </c>
    </row>
    <row r="345" spans="1:10" ht="15" x14ac:dyDescent="0.4">
      <c r="A345" s="13" t="s">
        <v>4202</v>
      </c>
      <c r="B345" s="2" t="s">
        <v>4203</v>
      </c>
      <c r="C345" s="4" t="s">
        <v>21</v>
      </c>
      <c r="D345" s="11">
        <v>40333</v>
      </c>
      <c r="E345" s="7" t="s">
        <v>4204</v>
      </c>
      <c r="F345" s="4" t="s">
        <v>4727</v>
      </c>
      <c r="G345" s="12" t="str">
        <f>IF(AND(Tabela1[[#This Row],[Data nascimento]]&gt;=$J$2,Tabela1[[#This Row],[Data nascimento]]&lt;=$I$2),"INFANTIL A",H345)</f>
        <v>JUVENIL</v>
      </c>
      <c r="H345" s="3" t="str">
        <f>IF(AND(Tabela1[[#This Row],[Data nascimento]]&gt;=$L$2,Tabela1[[#This Row],[Data nascimento]]&lt;=$K$2),"INFANTIL B",I345)</f>
        <v>JUVENIL</v>
      </c>
      <c r="I345" s="9" t="str">
        <f>IF(AND(Tabela1[[#This Row],[Data nascimento]]&gt;=$N$2,Tabela1[[#This Row],[Data nascimento]]&lt;=$M$2),"INICIADO",J345)</f>
        <v>JUVENIL</v>
      </c>
      <c r="J345" s="9" t="str">
        <f>IF(AND(Tabela1[[#This Row],[Data nascimento]]&gt;=$P$2,Tabela1[[#This Row],[Data nascimento]]&lt;=$O$2),"JUVENIL","JÚNIOR")</f>
        <v>JUVENIL</v>
      </c>
    </row>
    <row r="346" spans="1:10" ht="15" x14ac:dyDescent="0.4">
      <c r="A346" s="13" t="s">
        <v>4205</v>
      </c>
      <c r="B346" s="2" t="s">
        <v>4206</v>
      </c>
      <c r="C346" s="4" t="s">
        <v>21</v>
      </c>
      <c r="D346" s="11">
        <v>40387</v>
      </c>
      <c r="E346" s="7" t="s">
        <v>4207</v>
      </c>
      <c r="F346" s="4" t="s">
        <v>4730</v>
      </c>
      <c r="G346" s="12" t="str">
        <f>IF(AND(Tabela1[[#This Row],[Data nascimento]]&gt;=$J$2,Tabela1[[#This Row],[Data nascimento]]&lt;=$I$2),"INFANTIL A",H346)</f>
        <v>JUVENIL</v>
      </c>
      <c r="H346" s="3" t="str">
        <f>IF(AND(Tabela1[[#This Row],[Data nascimento]]&gt;=$L$2,Tabela1[[#This Row],[Data nascimento]]&lt;=$K$2),"INFANTIL B",I346)</f>
        <v>JUVENIL</v>
      </c>
      <c r="I346" s="9" t="str">
        <f>IF(AND(Tabela1[[#This Row],[Data nascimento]]&gt;=$N$2,Tabela1[[#This Row],[Data nascimento]]&lt;=$M$2),"INICIADO",J346)</f>
        <v>JUVENIL</v>
      </c>
      <c r="J346" s="9" t="str">
        <f>IF(AND(Tabela1[[#This Row],[Data nascimento]]&gt;=$P$2,Tabela1[[#This Row],[Data nascimento]]&lt;=$O$2),"JUVENIL","JÚNIOR")</f>
        <v>JUVENIL</v>
      </c>
    </row>
    <row r="347" spans="1:10" ht="15" x14ac:dyDescent="0.4">
      <c r="A347" s="13" t="s">
        <v>1190</v>
      </c>
      <c r="B347" s="2" t="s">
        <v>1191</v>
      </c>
      <c r="C347" s="4" t="s">
        <v>8</v>
      </c>
      <c r="D347" s="11">
        <v>40250</v>
      </c>
      <c r="E347" s="7" t="s">
        <v>1192</v>
      </c>
      <c r="F347" s="4" t="s">
        <v>4733</v>
      </c>
      <c r="G347" s="12" t="str">
        <f>IF(AND(Tabela1[[#This Row],[Data nascimento]]&gt;=$J$2,Tabela1[[#This Row],[Data nascimento]]&lt;=$I$2),"INFANTIL A",H347)</f>
        <v>JUVENIL</v>
      </c>
      <c r="H347" s="3" t="str">
        <f>IF(AND(Tabela1[[#This Row],[Data nascimento]]&gt;=$L$2,Tabela1[[#This Row],[Data nascimento]]&lt;=$K$2),"INFANTIL B",I347)</f>
        <v>JUVENIL</v>
      </c>
      <c r="I347" s="9" t="str">
        <f>IF(AND(Tabela1[[#This Row],[Data nascimento]]&gt;=$N$2,Tabela1[[#This Row],[Data nascimento]]&lt;=$M$2),"INICIADO",J347)</f>
        <v>JUVENIL</v>
      </c>
      <c r="J347" s="9" t="str">
        <f>IF(AND(Tabela1[[#This Row],[Data nascimento]]&gt;=$P$2,Tabela1[[#This Row],[Data nascimento]]&lt;=$O$2),"JUVENIL","JÚNIOR")</f>
        <v>JUVENIL</v>
      </c>
    </row>
    <row r="348" spans="1:10" ht="15" x14ac:dyDescent="0.4">
      <c r="A348" s="13" t="s">
        <v>1193</v>
      </c>
      <c r="B348" s="2" t="s">
        <v>1194</v>
      </c>
      <c r="C348" s="4" t="s">
        <v>8</v>
      </c>
      <c r="D348" s="11">
        <v>40470</v>
      </c>
      <c r="E348" s="7" t="s">
        <v>1195</v>
      </c>
      <c r="F348" s="4" t="s">
        <v>4733</v>
      </c>
      <c r="G348" s="12" t="str">
        <f>IF(AND(Tabela1[[#This Row],[Data nascimento]]&gt;=$J$2,Tabela1[[#This Row],[Data nascimento]]&lt;=$I$2),"INFANTIL A",H348)</f>
        <v>JUVENIL</v>
      </c>
      <c r="H348" s="3" t="str">
        <f>IF(AND(Tabela1[[#This Row],[Data nascimento]]&gt;=$L$2,Tabela1[[#This Row],[Data nascimento]]&lt;=$K$2),"INFANTIL B",I348)</f>
        <v>JUVENIL</v>
      </c>
      <c r="I348" s="9" t="str">
        <f>IF(AND(Tabela1[[#This Row],[Data nascimento]]&gt;=$N$2,Tabela1[[#This Row],[Data nascimento]]&lt;=$M$2),"INICIADO",J348)</f>
        <v>JUVENIL</v>
      </c>
      <c r="J348" s="9" t="str">
        <f>IF(AND(Tabela1[[#This Row],[Data nascimento]]&gt;=$P$2,Tabela1[[#This Row],[Data nascimento]]&lt;=$O$2),"JUVENIL","JÚNIOR")</f>
        <v>JUVENIL</v>
      </c>
    </row>
    <row r="349" spans="1:10" ht="15" x14ac:dyDescent="0.4">
      <c r="A349" s="13" t="s">
        <v>4214</v>
      </c>
      <c r="B349" s="2" t="s">
        <v>4215</v>
      </c>
      <c r="C349" s="4" t="s">
        <v>21</v>
      </c>
      <c r="D349" s="11">
        <v>40498</v>
      </c>
      <c r="E349" s="7" t="s">
        <v>4216</v>
      </c>
      <c r="F349" s="4" t="s">
        <v>4730</v>
      </c>
      <c r="G349" s="12" t="str">
        <f>IF(AND(Tabela1[[#This Row],[Data nascimento]]&gt;=$J$2,Tabela1[[#This Row],[Data nascimento]]&lt;=$I$2),"INFANTIL A",H349)</f>
        <v>JUVENIL</v>
      </c>
      <c r="H349" s="3" t="str">
        <f>IF(AND(Tabela1[[#This Row],[Data nascimento]]&gt;=$L$2,Tabela1[[#This Row],[Data nascimento]]&lt;=$K$2),"INFANTIL B",I349)</f>
        <v>JUVENIL</v>
      </c>
      <c r="I349" s="9" t="str">
        <f>IF(AND(Tabela1[[#This Row],[Data nascimento]]&gt;=$N$2,Tabela1[[#This Row],[Data nascimento]]&lt;=$M$2),"INICIADO",J349)</f>
        <v>JUVENIL</v>
      </c>
      <c r="J349" s="9" t="str">
        <f>IF(AND(Tabela1[[#This Row],[Data nascimento]]&gt;=$P$2,Tabela1[[#This Row],[Data nascimento]]&lt;=$O$2),"JUVENIL","JÚNIOR")</f>
        <v>JUVENIL</v>
      </c>
    </row>
    <row r="350" spans="1:10" ht="15" x14ac:dyDescent="0.4">
      <c r="A350" s="13" t="s">
        <v>1205</v>
      </c>
      <c r="B350" s="2" t="s">
        <v>1206</v>
      </c>
      <c r="C350" s="4" t="s">
        <v>8</v>
      </c>
      <c r="D350" s="11">
        <v>40174</v>
      </c>
      <c r="E350" s="7" t="s">
        <v>1207</v>
      </c>
      <c r="F350" s="4" t="s">
        <v>4733</v>
      </c>
      <c r="G350" s="12" t="str">
        <f>IF(AND(Tabela1[[#This Row],[Data nascimento]]&gt;=$J$2,Tabela1[[#This Row],[Data nascimento]]&lt;=$I$2),"INFANTIL A",H350)</f>
        <v>JUVENIL</v>
      </c>
      <c r="H350" s="3" t="str">
        <f>IF(AND(Tabela1[[#This Row],[Data nascimento]]&gt;=$L$2,Tabela1[[#This Row],[Data nascimento]]&lt;=$K$2),"INFANTIL B",I350)</f>
        <v>JUVENIL</v>
      </c>
      <c r="I350" s="9" t="str">
        <f>IF(AND(Tabela1[[#This Row],[Data nascimento]]&gt;=$N$2,Tabela1[[#This Row],[Data nascimento]]&lt;=$M$2),"INICIADO",J350)</f>
        <v>JUVENIL</v>
      </c>
      <c r="J350" s="9" t="str">
        <f>IF(AND(Tabela1[[#This Row],[Data nascimento]]&gt;=$P$2,Tabela1[[#This Row],[Data nascimento]]&lt;=$O$2),"JUVENIL","JÚNIOR")</f>
        <v>JUVENIL</v>
      </c>
    </row>
    <row r="351" spans="1:10" ht="15" x14ac:dyDescent="0.4">
      <c r="A351" s="13" t="s">
        <v>4220</v>
      </c>
      <c r="B351" s="2" t="s">
        <v>4221</v>
      </c>
      <c r="C351" s="4" t="s">
        <v>21</v>
      </c>
      <c r="D351" s="11">
        <v>40389</v>
      </c>
      <c r="E351" s="7" t="s">
        <v>4222</v>
      </c>
      <c r="F351" s="4" t="s">
        <v>4730</v>
      </c>
      <c r="G351" s="12" t="str">
        <f>IF(AND(Tabela1[[#This Row],[Data nascimento]]&gt;=$J$2,Tabela1[[#This Row],[Data nascimento]]&lt;=$I$2),"INFANTIL A",H351)</f>
        <v>JUVENIL</v>
      </c>
      <c r="H351" s="3" t="str">
        <f>IF(AND(Tabela1[[#This Row],[Data nascimento]]&gt;=$L$2,Tabela1[[#This Row],[Data nascimento]]&lt;=$K$2),"INFANTIL B",I351)</f>
        <v>JUVENIL</v>
      </c>
      <c r="I351" s="9" t="str">
        <f>IF(AND(Tabela1[[#This Row],[Data nascimento]]&gt;=$N$2,Tabela1[[#This Row],[Data nascimento]]&lt;=$M$2),"INICIADO",J351)</f>
        <v>JUVENIL</v>
      </c>
      <c r="J351" s="9" t="str">
        <f>IF(AND(Tabela1[[#This Row],[Data nascimento]]&gt;=$P$2,Tabela1[[#This Row],[Data nascimento]]&lt;=$O$2),"JUVENIL","JÚNIOR")</f>
        <v>JUVENIL</v>
      </c>
    </row>
    <row r="352" spans="1:10" ht="15" x14ac:dyDescent="0.4">
      <c r="A352" s="13" t="s">
        <v>1235</v>
      </c>
      <c r="B352" s="2" t="s">
        <v>1236</v>
      </c>
      <c r="C352" s="4" t="s">
        <v>8</v>
      </c>
      <c r="D352" s="11">
        <v>40450</v>
      </c>
      <c r="E352" s="7" t="s">
        <v>1237</v>
      </c>
      <c r="F352" s="4" t="s">
        <v>4733</v>
      </c>
      <c r="G352" s="12" t="str">
        <f>IF(AND(Tabela1[[#This Row],[Data nascimento]]&gt;=$J$2,Tabela1[[#This Row],[Data nascimento]]&lt;=$I$2),"INFANTIL A",H352)</f>
        <v>JUVENIL</v>
      </c>
      <c r="H352" s="3" t="str">
        <f>IF(AND(Tabela1[[#This Row],[Data nascimento]]&gt;=$L$2,Tabela1[[#This Row],[Data nascimento]]&lt;=$K$2),"INFANTIL B",I352)</f>
        <v>JUVENIL</v>
      </c>
      <c r="I352" s="9" t="str">
        <f>IF(AND(Tabela1[[#This Row],[Data nascimento]]&gt;=$N$2,Tabela1[[#This Row],[Data nascimento]]&lt;=$M$2),"INICIADO",J352)</f>
        <v>JUVENIL</v>
      </c>
      <c r="J352" s="9" t="str">
        <f>IF(AND(Tabela1[[#This Row],[Data nascimento]]&gt;=$P$2,Tabela1[[#This Row],[Data nascimento]]&lt;=$O$2),"JUVENIL","JÚNIOR")</f>
        <v>JUVENIL</v>
      </c>
    </row>
    <row r="353" spans="1:10" ht="15" x14ac:dyDescent="0.4">
      <c r="A353" s="13" t="s">
        <v>4226</v>
      </c>
      <c r="B353" s="2" t="s">
        <v>4227</v>
      </c>
      <c r="C353" s="4" t="s">
        <v>21</v>
      </c>
      <c r="D353" s="11">
        <v>40423</v>
      </c>
      <c r="E353" s="7" t="s">
        <v>4228</v>
      </c>
      <c r="F353" s="4" t="s">
        <v>4730</v>
      </c>
      <c r="G353" s="12" t="str">
        <f>IF(AND(Tabela1[[#This Row],[Data nascimento]]&gt;=$J$2,Tabela1[[#This Row],[Data nascimento]]&lt;=$I$2),"INFANTIL A",H353)</f>
        <v>JUVENIL</v>
      </c>
      <c r="H353" s="3" t="str">
        <f>IF(AND(Tabela1[[#This Row],[Data nascimento]]&gt;=$L$2,Tabela1[[#This Row],[Data nascimento]]&lt;=$K$2),"INFANTIL B",I353)</f>
        <v>JUVENIL</v>
      </c>
      <c r="I353" s="9" t="str">
        <f>IF(AND(Tabela1[[#This Row],[Data nascimento]]&gt;=$N$2,Tabela1[[#This Row],[Data nascimento]]&lt;=$M$2),"INICIADO",J353)</f>
        <v>JUVENIL</v>
      </c>
      <c r="J353" s="9" t="str">
        <f>IF(AND(Tabela1[[#This Row],[Data nascimento]]&gt;=$P$2,Tabela1[[#This Row],[Data nascimento]]&lt;=$O$2),"JUVENIL","JÚNIOR")</f>
        <v>JUVENIL</v>
      </c>
    </row>
    <row r="354" spans="1:10" ht="15" x14ac:dyDescent="0.4">
      <c r="A354" s="13" t="s">
        <v>4229</v>
      </c>
      <c r="B354" s="2" t="s">
        <v>4230</v>
      </c>
      <c r="C354" s="4" t="s">
        <v>21</v>
      </c>
      <c r="D354" s="11">
        <v>39865</v>
      </c>
      <c r="E354" s="7" t="s">
        <v>4231</v>
      </c>
      <c r="F354" s="4" t="s">
        <v>4727</v>
      </c>
      <c r="G354" s="12" t="str">
        <f>IF(AND(Tabela1[[#This Row],[Data nascimento]]&gt;=$J$2,Tabela1[[#This Row],[Data nascimento]]&lt;=$I$2),"INFANTIL A",H354)</f>
        <v>JUVENIL</v>
      </c>
      <c r="H354" s="3" t="str">
        <f>IF(AND(Tabela1[[#This Row],[Data nascimento]]&gt;=$L$2,Tabela1[[#This Row],[Data nascimento]]&lt;=$K$2),"INFANTIL B",I354)</f>
        <v>JUVENIL</v>
      </c>
      <c r="I354" s="9" t="str">
        <f>IF(AND(Tabela1[[#This Row],[Data nascimento]]&gt;=$N$2,Tabela1[[#This Row],[Data nascimento]]&lt;=$M$2),"INICIADO",J354)</f>
        <v>JUVENIL</v>
      </c>
      <c r="J354" s="9" t="str">
        <f>IF(AND(Tabela1[[#This Row],[Data nascimento]]&gt;=$P$2,Tabela1[[#This Row],[Data nascimento]]&lt;=$O$2),"JUVENIL","JÚNIOR")</f>
        <v>JUVENIL</v>
      </c>
    </row>
    <row r="355" spans="1:10" ht="15" x14ac:dyDescent="0.4">
      <c r="A355" s="13" t="s">
        <v>1253</v>
      </c>
      <c r="B355" s="2" t="s">
        <v>1254</v>
      </c>
      <c r="C355" s="4" t="s">
        <v>8</v>
      </c>
      <c r="D355" s="11">
        <v>40453</v>
      </c>
      <c r="E355" s="7" t="s">
        <v>1255</v>
      </c>
      <c r="F355" s="4" t="s">
        <v>4733</v>
      </c>
      <c r="G355" s="12" t="str">
        <f>IF(AND(Tabela1[[#This Row],[Data nascimento]]&gt;=$J$2,Tabela1[[#This Row],[Data nascimento]]&lt;=$I$2),"INFANTIL A",H355)</f>
        <v>JUVENIL</v>
      </c>
      <c r="H355" s="3" t="str">
        <f>IF(AND(Tabela1[[#This Row],[Data nascimento]]&gt;=$L$2,Tabela1[[#This Row],[Data nascimento]]&lt;=$K$2),"INFANTIL B",I355)</f>
        <v>JUVENIL</v>
      </c>
      <c r="I355" s="9" t="str">
        <f>IF(AND(Tabela1[[#This Row],[Data nascimento]]&gt;=$N$2,Tabela1[[#This Row],[Data nascimento]]&lt;=$M$2),"INICIADO",J355)</f>
        <v>JUVENIL</v>
      </c>
      <c r="J355" s="9" t="str">
        <f>IF(AND(Tabela1[[#This Row],[Data nascimento]]&gt;=$P$2,Tabela1[[#This Row],[Data nascimento]]&lt;=$O$2),"JUVENIL","JÚNIOR")</f>
        <v>JUVENIL</v>
      </c>
    </row>
    <row r="356" spans="1:10" ht="15" x14ac:dyDescent="0.4">
      <c r="A356" s="13" t="s">
        <v>4235</v>
      </c>
      <c r="B356" s="2" t="s">
        <v>4236</v>
      </c>
      <c r="C356" s="4" t="s">
        <v>21</v>
      </c>
      <c r="D356" s="11">
        <v>40381</v>
      </c>
      <c r="E356" s="7" t="s">
        <v>4237</v>
      </c>
      <c r="F356" s="4" t="s">
        <v>4730</v>
      </c>
      <c r="G356" s="12" t="str">
        <f>IF(AND(Tabela1[[#This Row],[Data nascimento]]&gt;=$J$2,Tabela1[[#This Row],[Data nascimento]]&lt;=$I$2),"INFANTIL A",H356)</f>
        <v>JUVENIL</v>
      </c>
      <c r="H356" s="3" t="str">
        <f>IF(AND(Tabela1[[#This Row],[Data nascimento]]&gt;=$L$2,Tabela1[[#This Row],[Data nascimento]]&lt;=$K$2),"INFANTIL B",I356)</f>
        <v>JUVENIL</v>
      </c>
      <c r="I356" s="9" t="str">
        <f>IF(AND(Tabela1[[#This Row],[Data nascimento]]&gt;=$N$2,Tabela1[[#This Row],[Data nascimento]]&lt;=$M$2),"INICIADO",J356)</f>
        <v>JUVENIL</v>
      </c>
      <c r="J356" s="9" t="str">
        <f>IF(AND(Tabela1[[#This Row],[Data nascimento]]&gt;=$P$2,Tabela1[[#This Row],[Data nascimento]]&lt;=$O$2),"JUVENIL","JÚNIOR")</f>
        <v>JUVENIL</v>
      </c>
    </row>
    <row r="357" spans="1:10" ht="15" x14ac:dyDescent="0.4">
      <c r="A357" s="13" t="s">
        <v>4238</v>
      </c>
      <c r="B357" s="2" t="s">
        <v>4239</v>
      </c>
      <c r="C357" s="4" t="s">
        <v>21</v>
      </c>
      <c r="D357" s="11">
        <v>40095</v>
      </c>
      <c r="E357" s="7" t="s">
        <v>4240</v>
      </c>
      <c r="F357" s="4" t="s">
        <v>4727</v>
      </c>
      <c r="G357" s="12" t="str">
        <f>IF(AND(Tabela1[[#This Row],[Data nascimento]]&gt;=$J$2,Tabela1[[#This Row],[Data nascimento]]&lt;=$I$2),"INFANTIL A",H357)</f>
        <v>JUVENIL</v>
      </c>
      <c r="H357" s="3" t="str">
        <f>IF(AND(Tabela1[[#This Row],[Data nascimento]]&gt;=$L$2,Tabela1[[#This Row],[Data nascimento]]&lt;=$K$2),"INFANTIL B",I357)</f>
        <v>JUVENIL</v>
      </c>
      <c r="I357" s="9" t="str">
        <f>IF(AND(Tabela1[[#This Row],[Data nascimento]]&gt;=$N$2,Tabela1[[#This Row],[Data nascimento]]&lt;=$M$2),"INICIADO",J357)</f>
        <v>JUVENIL</v>
      </c>
      <c r="J357" s="9" t="str">
        <f>IF(AND(Tabela1[[#This Row],[Data nascimento]]&gt;=$P$2,Tabela1[[#This Row],[Data nascimento]]&lt;=$O$2),"JUVENIL","JÚNIOR")</f>
        <v>JUVENIL</v>
      </c>
    </row>
    <row r="358" spans="1:10" ht="15" x14ac:dyDescent="0.4">
      <c r="A358" s="13" t="s">
        <v>4241</v>
      </c>
      <c r="B358" s="2" t="s">
        <v>4242</v>
      </c>
      <c r="C358" s="4" t="s">
        <v>21</v>
      </c>
      <c r="D358" s="11">
        <v>40003</v>
      </c>
      <c r="E358" s="7" t="s">
        <v>4243</v>
      </c>
      <c r="F358" s="4" t="s">
        <v>4730</v>
      </c>
      <c r="G358" s="12" t="str">
        <f>IF(AND(Tabela1[[#This Row],[Data nascimento]]&gt;=$J$2,Tabela1[[#This Row],[Data nascimento]]&lt;=$I$2),"INFANTIL A",H358)</f>
        <v>JUVENIL</v>
      </c>
      <c r="H358" s="3" t="str">
        <f>IF(AND(Tabela1[[#This Row],[Data nascimento]]&gt;=$L$2,Tabela1[[#This Row],[Data nascimento]]&lt;=$K$2),"INFANTIL B",I358)</f>
        <v>JUVENIL</v>
      </c>
      <c r="I358" s="9" t="str">
        <f>IF(AND(Tabela1[[#This Row],[Data nascimento]]&gt;=$N$2,Tabela1[[#This Row],[Data nascimento]]&lt;=$M$2),"INICIADO",J358)</f>
        <v>JUVENIL</v>
      </c>
      <c r="J358" s="9" t="str">
        <f>IF(AND(Tabela1[[#This Row],[Data nascimento]]&gt;=$P$2,Tabela1[[#This Row],[Data nascimento]]&lt;=$O$2),"JUVENIL","JÚNIOR")</f>
        <v>JUVENIL</v>
      </c>
    </row>
    <row r="359" spans="1:10" ht="15" x14ac:dyDescent="0.4">
      <c r="A359" s="13" t="s">
        <v>1265</v>
      </c>
      <c r="B359" s="2" t="s">
        <v>1266</v>
      </c>
      <c r="C359" s="4" t="s">
        <v>8</v>
      </c>
      <c r="D359" s="11">
        <v>40466</v>
      </c>
      <c r="E359" s="7" t="s">
        <v>1267</v>
      </c>
      <c r="F359" s="4" t="s">
        <v>4733</v>
      </c>
      <c r="G359" s="12" t="str">
        <f>IF(AND(Tabela1[[#This Row],[Data nascimento]]&gt;=$J$2,Tabela1[[#This Row],[Data nascimento]]&lt;=$I$2),"INFANTIL A",H359)</f>
        <v>JUVENIL</v>
      </c>
      <c r="H359" s="3" t="str">
        <f>IF(AND(Tabela1[[#This Row],[Data nascimento]]&gt;=$L$2,Tabela1[[#This Row],[Data nascimento]]&lt;=$K$2),"INFANTIL B",I359)</f>
        <v>JUVENIL</v>
      </c>
      <c r="I359" s="9" t="str">
        <f>IF(AND(Tabela1[[#This Row],[Data nascimento]]&gt;=$N$2,Tabela1[[#This Row],[Data nascimento]]&lt;=$M$2),"INICIADO",J359)</f>
        <v>JUVENIL</v>
      </c>
      <c r="J359" s="9" t="str">
        <f>IF(AND(Tabela1[[#This Row],[Data nascimento]]&gt;=$P$2,Tabela1[[#This Row],[Data nascimento]]&lt;=$O$2),"JUVENIL","JÚNIOR")</f>
        <v>JUVENIL</v>
      </c>
    </row>
    <row r="360" spans="1:10" ht="15" x14ac:dyDescent="0.4">
      <c r="A360" s="13" t="s">
        <v>1310</v>
      </c>
      <c r="B360" s="2" t="s">
        <v>1311</v>
      </c>
      <c r="C360" s="4" t="s">
        <v>8</v>
      </c>
      <c r="D360" s="11">
        <v>40490</v>
      </c>
      <c r="E360" s="7" t="s">
        <v>1312</v>
      </c>
      <c r="F360" s="4" t="s">
        <v>4733</v>
      </c>
      <c r="G360" s="12" t="str">
        <f>IF(AND(Tabela1[[#This Row],[Data nascimento]]&gt;=$J$2,Tabela1[[#This Row],[Data nascimento]]&lt;=$I$2),"INFANTIL A",H360)</f>
        <v>JUVENIL</v>
      </c>
      <c r="H360" s="3" t="str">
        <f>IF(AND(Tabela1[[#This Row],[Data nascimento]]&gt;=$L$2,Tabela1[[#This Row],[Data nascimento]]&lt;=$K$2),"INFANTIL B",I360)</f>
        <v>JUVENIL</v>
      </c>
      <c r="I360" s="9" t="str">
        <f>IF(AND(Tabela1[[#This Row],[Data nascimento]]&gt;=$N$2,Tabela1[[#This Row],[Data nascimento]]&lt;=$M$2),"INICIADO",J360)</f>
        <v>JUVENIL</v>
      </c>
      <c r="J360" s="9" t="str">
        <f>IF(AND(Tabela1[[#This Row],[Data nascimento]]&gt;=$P$2,Tabela1[[#This Row],[Data nascimento]]&lt;=$O$2),"JUVENIL","JÚNIOR")</f>
        <v>JUVENIL</v>
      </c>
    </row>
    <row r="361" spans="1:10" ht="15" x14ac:dyDescent="0.4">
      <c r="A361" s="13" t="s">
        <v>1379</v>
      </c>
      <c r="B361" s="2" t="s">
        <v>1380</v>
      </c>
      <c r="C361" s="4" t="s">
        <v>8</v>
      </c>
      <c r="D361" s="11">
        <v>40471</v>
      </c>
      <c r="E361" s="7" t="s">
        <v>1381</v>
      </c>
      <c r="F361" s="4" t="s">
        <v>4733</v>
      </c>
      <c r="G361" s="12" t="str">
        <f>IF(AND(Tabela1[[#This Row],[Data nascimento]]&gt;=$J$2,Tabela1[[#This Row],[Data nascimento]]&lt;=$I$2),"INFANTIL A",H361)</f>
        <v>JUVENIL</v>
      </c>
      <c r="H361" s="3" t="str">
        <f>IF(AND(Tabela1[[#This Row],[Data nascimento]]&gt;=$L$2,Tabela1[[#This Row],[Data nascimento]]&lt;=$K$2),"INFANTIL B",I361)</f>
        <v>JUVENIL</v>
      </c>
      <c r="I361" s="9" t="str">
        <f>IF(AND(Tabela1[[#This Row],[Data nascimento]]&gt;=$N$2,Tabela1[[#This Row],[Data nascimento]]&lt;=$M$2),"INICIADO",J361)</f>
        <v>JUVENIL</v>
      </c>
      <c r="J361" s="9" t="str">
        <f>IF(AND(Tabela1[[#This Row],[Data nascimento]]&gt;=$P$2,Tabela1[[#This Row],[Data nascimento]]&lt;=$O$2),"JUVENIL","JÚNIOR")</f>
        <v>JUVENIL</v>
      </c>
    </row>
    <row r="362" spans="1:10" ht="15" x14ac:dyDescent="0.4">
      <c r="A362" s="13" t="s">
        <v>4253</v>
      </c>
      <c r="B362" s="2" t="s">
        <v>4254</v>
      </c>
      <c r="C362" s="4" t="s">
        <v>21</v>
      </c>
      <c r="D362" s="11">
        <v>40341</v>
      </c>
      <c r="E362" s="7" t="s">
        <v>4255</v>
      </c>
      <c r="F362" s="4" t="s">
        <v>4730</v>
      </c>
      <c r="G362" s="12" t="str">
        <f>IF(AND(Tabela1[[#This Row],[Data nascimento]]&gt;=$J$2,Tabela1[[#This Row],[Data nascimento]]&lt;=$I$2),"INFANTIL A",H362)</f>
        <v>JUVENIL</v>
      </c>
      <c r="H362" s="3" t="str">
        <f>IF(AND(Tabela1[[#This Row],[Data nascimento]]&gt;=$L$2,Tabela1[[#This Row],[Data nascimento]]&lt;=$K$2),"INFANTIL B",I362)</f>
        <v>JUVENIL</v>
      </c>
      <c r="I362" s="9" t="str">
        <f>IF(AND(Tabela1[[#This Row],[Data nascimento]]&gt;=$N$2,Tabela1[[#This Row],[Data nascimento]]&lt;=$M$2),"INICIADO",J362)</f>
        <v>JUVENIL</v>
      </c>
      <c r="J362" s="9" t="str">
        <f>IF(AND(Tabela1[[#This Row],[Data nascimento]]&gt;=$P$2,Tabela1[[#This Row],[Data nascimento]]&lt;=$O$2),"JUVENIL","JÚNIOR")</f>
        <v>JUVENIL</v>
      </c>
    </row>
    <row r="363" spans="1:10" ht="15" x14ac:dyDescent="0.4">
      <c r="A363" s="13" t="s">
        <v>1571</v>
      </c>
      <c r="B363" s="2" t="s">
        <v>1572</v>
      </c>
      <c r="C363" s="4" t="s">
        <v>8</v>
      </c>
      <c r="D363" s="11">
        <v>40116</v>
      </c>
      <c r="E363" s="7" t="s">
        <v>1573</v>
      </c>
      <c r="F363" s="4" t="s">
        <v>4733</v>
      </c>
      <c r="G363" s="12" t="str">
        <f>IF(AND(Tabela1[[#This Row],[Data nascimento]]&gt;=$J$2,Tabela1[[#This Row],[Data nascimento]]&lt;=$I$2),"INFANTIL A",H363)</f>
        <v>JUVENIL</v>
      </c>
      <c r="H363" s="3" t="str">
        <f>IF(AND(Tabela1[[#This Row],[Data nascimento]]&gt;=$L$2,Tabela1[[#This Row],[Data nascimento]]&lt;=$K$2),"INFANTIL B",I363)</f>
        <v>JUVENIL</v>
      </c>
      <c r="I363" s="9" t="str">
        <f>IF(AND(Tabela1[[#This Row],[Data nascimento]]&gt;=$N$2,Tabela1[[#This Row],[Data nascimento]]&lt;=$M$2),"INICIADO",J363)</f>
        <v>JUVENIL</v>
      </c>
      <c r="J363" s="9" t="str">
        <f>IF(AND(Tabela1[[#This Row],[Data nascimento]]&gt;=$P$2,Tabela1[[#This Row],[Data nascimento]]&lt;=$O$2),"JUVENIL","JÚNIOR")</f>
        <v>JUVENIL</v>
      </c>
    </row>
    <row r="364" spans="1:10" ht="15" x14ac:dyDescent="0.4">
      <c r="A364" s="13" t="s">
        <v>4259</v>
      </c>
      <c r="B364" s="2" t="s">
        <v>4260</v>
      </c>
      <c r="C364" s="4" t="s">
        <v>21</v>
      </c>
      <c r="D364" s="11">
        <v>40222</v>
      </c>
      <c r="E364" s="7" t="s">
        <v>4261</v>
      </c>
      <c r="F364" s="4" t="s">
        <v>4730</v>
      </c>
      <c r="G364" s="12" t="str">
        <f>IF(AND(Tabela1[[#This Row],[Data nascimento]]&gt;=$J$2,Tabela1[[#This Row],[Data nascimento]]&lt;=$I$2),"INFANTIL A",H364)</f>
        <v>JUVENIL</v>
      </c>
      <c r="H364" s="3" t="str">
        <f>IF(AND(Tabela1[[#This Row],[Data nascimento]]&gt;=$L$2,Tabela1[[#This Row],[Data nascimento]]&lt;=$K$2),"INFANTIL B",I364)</f>
        <v>JUVENIL</v>
      </c>
      <c r="I364" s="9" t="str">
        <f>IF(AND(Tabela1[[#This Row],[Data nascimento]]&gt;=$N$2,Tabela1[[#This Row],[Data nascimento]]&lt;=$M$2),"INICIADO",J364)</f>
        <v>JUVENIL</v>
      </c>
      <c r="J364" s="9" t="str">
        <f>IF(AND(Tabela1[[#This Row],[Data nascimento]]&gt;=$P$2,Tabela1[[#This Row],[Data nascimento]]&lt;=$O$2),"JUVENIL","JÚNIOR")</f>
        <v>JUVENIL</v>
      </c>
    </row>
    <row r="365" spans="1:10" ht="15" x14ac:dyDescent="0.4">
      <c r="A365" s="13" t="s">
        <v>4262</v>
      </c>
      <c r="B365" s="2" t="s">
        <v>4263</v>
      </c>
      <c r="C365" s="4" t="s">
        <v>21</v>
      </c>
      <c r="D365" s="11">
        <v>39992</v>
      </c>
      <c r="E365" s="7" t="s">
        <v>4264</v>
      </c>
      <c r="F365" s="4" t="s">
        <v>4727</v>
      </c>
      <c r="G365" s="12" t="str">
        <f>IF(AND(Tabela1[[#This Row],[Data nascimento]]&gt;=$J$2,Tabela1[[#This Row],[Data nascimento]]&lt;=$I$2),"INFANTIL A",H365)</f>
        <v>JUVENIL</v>
      </c>
      <c r="H365" s="3" t="str">
        <f>IF(AND(Tabela1[[#This Row],[Data nascimento]]&gt;=$L$2,Tabela1[[#This Row],[Data nascimento]]&lt;=$K$2),"INFANTIL B",I365)</f>
        <v>JUVENIL</v>
      </c>
      <c r="I365" s="9" t="str">
        <f>IF(AND(Tabela1[[#This Row],[Data nascimento]]&gt;=$N$2,Tabela1[[#This Row],[Data nascimento]]&lt;=$M$2),"INICIADO",J365)</f>
        <v>JUVENIL</v>
      </c>
      <c r="J365" s="9" t="str">
        <f>IF(AND(Tabela1[[#This Row],[Data nascimento]]&gt;=$P$2,Tabela1[[#This Row],[Data nascimento]]&lt;=$O$2),"JUVENIL","JÚNIOR")</f>
        <v>JUVENIL</v>
      </c>
    </row>
    <row r="366" spans="1:10" ht="15" x14ac:dyDescent="0.4">
      <c r="A366" s="13" t="s">
        <v>1604</v>
      </c>
      <c r="B366" s="2" t="s">
        <v>1605</v>
      </c>
      <c r="C366" s="4" t="s">
        <v>8</v>
      </c>
      <c r="D366" s="11">
        <v>39741</v>
      </c>
      <c r="E366" s="7" t="s">
        <v>1606</v>
      </c>
      <c r="F366" s="4" t="s">
        <v>4733</v>
      </c>
      <c r="G366" s="12" t="str">
        <f>IF(AND(Tabela1[[#This Row],[Data nascimento]]&gt;=$J$2,Tabela1[[#This Row],[Data nascimento]]&lt;=$I$2),"INFANTIL A",H366)</f>
        <v>JUVENIL</v>
      </c>
      <c r="H366" s="3" t="str">
        <f>IF(AND(Tabela1[[#This Row],[Data nascimento]]&gt;=$L$2,Tabela1[[#This Row],[Data nascimento]]&lt;=$K$2),"INFANTIL B",I366)</f>
        <v>JUVENIL</v>
      </c>
      <c r="I366" s="9" t="str">
        <f>IF(AND(Tabela1[[#This Row],[Data nascimento]]&gt;=$N$2,Tabela1[[#This Row],[Data nascimento]]&lt;=$M$2),"INICIADO",J366)</f>
        <v>JUVENIL</v>
      </c>
      <c r="J366" s="9" t="str">
        <f>IF(AND(Tabela1[[#This Row],[Data nascimento]]&gt;=$P$2,Tabela1[[#This Row],[Data nascimento]]&lt;=$O$2),"JUVENIL","JÚNIOR")</f>
        <v>JUVENIL</v>
      </c>
    </row>
    <row r="367" spans="1:10" ht="15" x14ac:dyDescent="0.4">
      <c r="A367" s="13" t="s">
        <v>1607</v>
      </c>
      <c r="B367" s="2" t="s">
        <v>1608</v>
      </c>
      <c r="C367" s="4" t="s">
        <v>8</v>
      </c>
      <c r="D367" s="11">
        <v>40101</v>
      </c>
      <c r="E367" s="7" t="s">
        <v>1609</v>
      </c>
      <c r="F367" s="4" t="s">
        <v>4733</v>
      </c>
      <c r="G367" s="12" t="str">
        <f>IF(AND(Tabela1[[#This Row],[Data nascimento]]&gt;=$J$2,Tabela1[[#This Row],[Data nascimento]]&lt;=$I$2),"INFANTIL A",H367)</f>
        <v>JUVENIL</v>
      </c>
      <c r="H367" s="3" t="str">
        <f>IF(AND(Tabela1[[#This Row],[Data nascimento]]&gt;=$L$2,Tabela1[[#This Row],[Data nascimento]]&lt;=$K$2),"INFANTIL B",I367)</f>
        <v>JUVENIL</v>
      </c>
      <c r="I367" s="9" t="str">
        <f>IF(AND(Tabela1[[#This Row],[Data nascimento]]&gt;=$N$2,Tabela1[[#This Row],[Data nascimento]]&lt;=$M$2),"INICIADO",J367)</f>
        <v>JUVENIL</v>
      </c>
      <c r="J367" s="9" t="str">
        <f>IF(AND(Tabela1[[#This Row],[Data nascimento]]&gt;=$P$2,Tabela1[[#This Row],[Data nascimento]]&lt;=$O$2),"JUVENIL","JÚNIOR")</f>
        <v>JUVENIL</v>
      </c>
    </row>
    <row r="368" spans="1:10" ht="15" x14ac:dyDescent="0.4">
      <c r="A368" s="13" t="s">
        <v>1610</v>
      </c>
      <c r="B368" s="2" t="s">
        <v>1611</v>
      </c>
      <c r="C368" s="4" t="s">
        <v>8</v>
      </c>
      <c r="D368" s="11">
        <v>39471</v>
      </c>
      <c r="E368" s="7" t="s">
        <v>1612</v>
      </c>
      <c r="F368" s="4" t="s">
        <v>4733</v>
      </c>
      <c r="G368" s="12" t="str">
        <f>IF(AND(Tabela1[[#This Row],[Data nascimento]]&gt;=$J$2,Tabela1[[#This Row],[Data nascimento]]&lt;=$I$2),"INFANTIL A",H368)</f>
        <v>JUVENIL</v>
      </c>
      <c r="H368" s="3" t="str">
        <f>IF(AND(Tabela1[[#This Row],[Data nascimento]]&gt;=$L$2,Tabela1[[#This Row],[Data nascimento]]&lt;=$K$2),"INFANTIL B",I368)</f>
        <v>JUVENIL</v>
      </c>
      <c r="I368" s="9" t="str">
        <f>IF(AND(Tabela1[[#This Row],[Data nascimento]]&gt;=$N$2,Tabela1[[#This Row],[Data nascimento]]&lt;=$M$2),"INICIADO",J368)</f>
        <v>JUVENIL</v>
      </c>
      <c r="J368" s="9" t="str">
        <f>IF(AND(Tabela1[[#This Row],[Data nascimento]]&gt;=$P$2,Tabela1[[#This Row],[Data nascimento]]&lt;=$O$2),"JUVENIL","JÚNIOR")</f>
        <v>JUVENIL</v>
      </c>
    </row>
    <row r="369" spans="1:10" ht="15" x14ac:dyDescent="0.4">
      <c r="A369" s="13" t="s">
        <v>4274</v>
      </c>
      <c r="B369" s="2" t="s">
        <v>4275</v>
      </c>
      <c r="C369" s="4" t="s">
        <v>21</v>
      </c>
      <c r="D369" s="11">
        <v>39919</v>
      </c>
      <c r="E369" s="7" t="s">
        <v>4276</v>
      </c>
      <c r="F369" s="4" t="s">
        <v>4727</v>
      </c>
      <c r="G369" s="12" t="str">
        <f>IF(AND(Tabela1[[#This Row],[Data nascimento]]&gt;=$J$2,Tabela1[[#This Row],[Data nascimento]]&lt;=$I$2),"INFANTIL A",H369)</f>
        <v>JUVENIL</v>
      </c>
      <c r="H369" s="3" t="str">
        <f>IF(AND(Tabela1[[#This Row],[Data nascimento]]&gt;=$L$2,Tabela1[[#This Row],[Data nascimento]]&lt;=$K$2),"INFANTIL B",I369)</f>
        <v>JUVENIL</v>
      </c>
      <c r="I369" s="9" t="str">
        <f>IF(AND(Tabela1[[#This Row],[Data nascimento]]&gt;=$N$2,Tabela1[[#This Row],[Data nascimento]]&lt;=$M$2),"INICIADO",J369)</f>
        <v>JUVENIL</v>
      </c>
      <c r="J369" s="9" t="str">
        <f>IF(AND(Tabela1[[#This Row],[Data nascimento]]&gt;=$P$2,Tabela1[[#This Row],[Data nascimento]]&lt;=$O$2),"JUVENIL","JÚNIOR")</f>
        <v>JUVENIL</v>
      </c>
    </row>
    <row r="370" spans="1:10" ht="15" x14ac:dyDescent="0.4">
      <c r="A370" s="13" t="s">
        <v>4277</v>
      </c>
      <c r="B370" s="2" t="s">
        <v>4278</v>
      </c>
      <c r="C370" s="4" t="s">
        <v>21</v>
      </c>
      <c r="D370" s="11">
        <v>40030</v>
      </c>
      <c r="E370" s="7" t="s">
        <v>4279</v>
      </c>
      <c r="F370" s="4" t="s">
        <v>4725</v>
      </c>
      <c r="G370" s="12" t="str">
        <f>IF(AND(Tabela1[[#This Row],[Data nascimento]]&gt;=$J$2,Tabela1[[#This Row],[Data nascimento]]&lt;=$I$2),"INFANTIL A",H370)</f>
        <v>JUVENIL</v>
      </c>
      <c r="H370" s="3" t="str">
        <f>IF(AND(Tabela1[[#This Row],[Data nascimento]]&gt;=$L$2,Tabela1[[#This Row],[Data nascimento]]&lt;=$K$2),"INFANTIL B",I370)</f>
        <v>JUVENIL</v>
      </c>
      <c r="I370" s="9" t="str">
        <f>IF(AND(Tabela1[[#This Row],[Data nascimento]]&gt;=$N$2,Tabela1[[#This Row],[Data nascimento]]&lt;=$M$2),"INICIADO",J370)</f>
        <v>JUVENIL</v>
      </c>
      <c r="J370" s="9" t="str">
        <f>IF(AND(Tabela1[[#This Row],[Data nascimento]]&gt;=$P$2,Tabela1[[#This Row],[Data nascimento]]&lt;=$O$2),"JUVENIL","JÚNIOR")</f>
        <v>JUVENIL</v>
      </c>
    </row>
    <row r="371" spans="1:10" ht="15" x14ac:dyDescent="0.4">
      <c r="A371" s="13" t="s">
        <v>4280</v>
      </c>
      <c r="B371" s="2" t="s">
        <v>4281</v>
      </c>
      <c r="C371" s="4" t="s">
        <v>21</v>
      </c>
      <c r="D371" s="11">
        <v>40269</v>
      </c>
      <c r="E371" s="7" t="s">
        <v>4282</v>
      </c>
      <c r="F371" s="4" t="s">
        <v>4727</v>
      </c>
      <c r="G371" s="12" t="str">
        <f>IF(AND(Tabela1[[#This Row],[Data nascimento]]&gt;=$J$2,Tabela1[[#This Row],[Data nascimento]]&lt;=$I$2),"INFANTIL A",H371)</f>
        <v>JUVENIL</v>
      </c>
      <c r="H371" s="3" t="str">
        <f>IF(AND(Tabela1[[#This Row],[Data nascimento]]&gt;=$L$2,Tabela1[[#This Row],[Data nascimento]]&lt;=$K$2),"INFANTIL B",I371)</f>
        <v>JUVENIL</v>
      </c>
      <c r="I371" s="9" t="str">
        <f>IF(AND(Tabela1[[#This Row],[Data nascimento]]&gt;=$N$2,Tabela1[[#This Row],[Data nascimento]]&lt;=$M$2),"INICIADO",J371)</f>
        <v>JUVENIL</v>
      </c>
      <c r="J371" s="9" t="str">
        <f>IF(AND(Tabela1[[#This Row],[Data nascimento]]&gt;=$P$2,Tabela1[[#This Row],[Data nascimento]]&lt;=$O$2),"JUVENIL","JÚNIOR")</f>
        <v>JUVENIL</v>
      </c>
    </row>
    <row r="372" spans="1:10" ht="15" x14ac:dyDescent="0.4">
      <c r="A372" s="13" t="s">
        <v>1613</v>
      </c>
      <c r="B372" s="2" t="s">
        <v>1614</v>
      </c>
      <c r="C372" s="4" t="s">
        <v>8</v>
      </c>
      <c r="D372" s="11">
        <v>39434</v>
      </c>
      <c r="E372" s="7" t="s">
        <v>1615</v>
      </c>
      <c r="F372" s="4" t="s">
        <v>4733</v>
      </c>
      <c r="G372" s="12" t="str">
        <f>IF(AND(Tabela1[[#This Row],[Data nascimento]]&gt;=$J$2,Tabela1[[#This Row],[Data nascimento]]&lt;=$I$2),"INFANTIL A",H372)</f>
        <v>JÚNIOR</v>
      </c>
      <c r="H372" s="3" t="str">
        <f>IF(AND(Tabela1[[#This Row],[Data nascimento]]&gt;=$L$2,Tabela1[[#This Row],[Data nascimento]]&lt;=$K$2),"INFANTIL B",I372)</f>
        <v>JÚNIOR</v>
      </c>
      <c r="I372" s="9" t="str">
        <f>IF(AND(Tabela1[[#This Row],[Data nascimento]]&gt;=$N$2,Tabela1[[#This Row],[Data nascimento]]&lt;=$M$2),"INICIADO",J372)</f>
        <v>JÚNIOR</v>
      </c>
      <c r="J372" s="9" t="str">
        <f>IF(AND(Tabela1[[#This Row],[Data nascimento]]&gt;=$P$2,Tabela1[[#This Row],[Data nascimento]]&lt;=$O$2),"JUVENIL","JÚNIOR")</f>
        <v>JÚNIOR</v>
      </c>
    </row>
    <row r="373" spans="1:10" ht="15" x14ac:dyDescent="0.4">
      <c r="A373" s="13" t="s">
        <v>4286</v>
      </c>
      <c r="B373" s="2" t="s">
        <v>4287</v>
      </c>
      <c r="C373" s="4" t="s">
        <v>21</v>
      </c>
      <c r="D373" s="11">
        <v>40407</v>
      </c>
      <c r="E373" s="7" t="s">
        <v>4288</v>
      </c>
      <c r="F373" s="4" t="s">
        <v>4727</v>
      </c>
      <c r="G373" s="12" t="str">
        <f>IF(AND(Tabela1[[#This Row],[Data nascimento]]&gt;=$J$2,Tabela1[[#This Row],[Data nascimento]]&lt;=$I$2),"INFANTIL A",H373)</f>
        <v>JUVENIL</v>
      </c>
      <c r="H373" s="3" t="str">
        <f>IF(AND(Tabela1[[#This Row],[Data nascimento]]&gt;=$L$2,Tabela1[[#This Row],[Data nascimento]]&lt;=$K$2),"INFANTIL B",I373)</f>
        <v>JUVENIL</v>
      </c>
      <c r="I373" s="9" t="str">
        <f>IF(AND(Tabela1[[#This Row],[Data nascimento]]&gt;=$N$2,Tabela1[[#This Row],[Data nascimento]]&lt;=$M$2),"INICIADO",J373)</f>
        <v>JUVENIL</v>
      </c>
      <c r="J373" s="9" t="str">
        <f>IF(AND(Tabela1[[#This Row],[Data nascimento]]&gt;=$P$2,Tabela1[[#This Row],[Data nascimento]]&lt;=$O$2),"JUVENIL","JÚNIOR")</f>
        <v>JUVENIL</v>
      </c>
    </row>
    <row r="374" spans="1:10" ht="15" x14ac:dyDescent="0.4">
      <c r="A374" s="13" t="s">
        <v>1616</v>
      </c>
      <c r="B374" s="2" t="s">
        <v>1617</v>
      </c>
      <c r="C374" s="4" t="s">
        <v>8</v>
      </c>
      <c r="D374" s="11">
        <v>40352</v>
      </c>
      <c r="E374" s="7" t="s">
        <v>1618</v>
      </c>
      <c r="F374" s="4" t="s">
        <v>4733</v>
      </c>
      <c r="G374" s="12" t="str">
        <f>IF(AND(Tabela1[[#This Row],[Data nascimento]]&gt;=$J$2,Tabela1[[#This Row],[Data nascimento]]&lt;=$I$2),"INFANTIL A",H374)</f>
        <v>JUVENIL</v>
      </c>
      <c r="H374" s="3" t="str">
        <f>IF(AND(Tabela1[[#This Row],[Data nascimento]]&gt;=$L$2,Tabela1[[#This Row],[Data nascimento]]&lt;=$K$2),"INFANTIL B",I374)</f>
        <v>JUVENIL</v>
      </c>
      <c r="I374" s="9" t="str">
        <f>IF(AND(Tabela1[[#This Row],[Data nascimento]]&gt;=$N$2,Tabela1[[#This Row],[Data nascimento]]&lt;=$M$2),"INICIADO",J374)</f>
        <v>JUVENIL</v>
      </c>
      <c r="J374" s="9" t="str">
        <f>IF(AND(Tabela1[[#This Row],[Data nascimento]]&gt;=$P$2,Tabela1[[#This Row],[Data nascimento]]&lt;=$O$2),"JUVENIL","JÚNIOR")</f>
        <v>JUVENIL</v>
      </c>
    </row>
    <row r="375" spans="1:10" ht="15" x14ac:dyDescent="0.4">
      <c r="A375" s="13" t="s">
        <v>4316</v>
      </c>
      <c r="B375" s="2" t="s">
        <v>4317</v>
      </c>
      <c r="C375" s="4" t="s">
        <v>21</v>
      </c>
      <c r="D375" s="11">
        <v>40197</v>
      </c>
      <c r="E375" s="7" t="s">
        <v>4318</v>
      </c>
      <c r="F375" s="4" t="s">
        <v>4716</v>
      </c>
      <c r="G375" s="12" t="str">
        <f>IF(AND(Tabela1[[#This Row],[Data nascimento]]&gt;=$J$2,Tabela1[[#This Row],[Data nascimento]]&lt;=$I$2),"INFANTIL A",H375)</f>
        <v>JUVENIL</v>
      </c>
      <c r="H375" s="3" t="str">
        <f>IF(AND(Tabela1[[#This Row],[Data nascimento]]&gt;=$L$2,Tabela1[[#This Row],[Data nascimento]]&lt;=$K$2),"INFANTIL B",I375)</f>
        <v>JUVENIL</v>
      </c>
      <c r="I375" s="9" t="str">
        <f>IF(AND(Tabela1[[#This Row],[Data nascimento]]&gt;=$N$2,Tabela1[[#This Row],[Data nascimento]]&lt;=$M$2),"INICIADO",J375)</f>
        <v>JUVENIL</v>
      </c>
      <c r="J375" s="9" t="str">
        <f>IF(AND(Tabela1[[#This Row],[Data nascimento]]&gt;=$P$2,Tabela1[[#This Row],[Data nascimento]]&lt;=$O$2),"JUVENIL","JÚNIOR")</f>
        <v>JUVENIL</v>
      </c>
    </row>
    <row r="376" spans="1:10" ht="15" x14ac:dyDescent="0.4">
      <c r="A376" s="13" t="s">
        <v>4319</v>
      </c>
      <c r="B376" s="2" t="s">
        <v>4320</v>
      </c>
      <c r="C376" s="4" t="s">
        <v>21</v>
      </c>
      <c r="D376" s="11">
        <v>40075</v>
      </c>
      <c r="E376" s="7" t="s">
        <v>4321</v>
      </c>
      <c r="F376" s="4" t="s">
        <v>4718</v>
      </c>
      <c r="G376" s="12" t="str">
        <f>IF(AND(Tabela1[[#This Row],[Data nascimento]]&gt;=$J$2,Tabela1[[#This Row],[Data nascimento]]&lt;=$I$2),"INFANTIL A",H376)</f>
        <v>JUVENIL</v>
      </c>
      <c r="H376" s="3" t="str">
        <f>IF(AND(Tabela1[[#This Row],[Data nascimento]]&gt;=$L$2,Tabela1[[#This Row],[Data nascimento]]&lt;=$K$2),"INFANTIL B",I376)</f>
        <v>JUVENIL</v>
      </c>
      <c r="I376" s="9" t="str">
        <f>IF(AND(Tabela1[[#This Row],[Data nascimento]]&gt;=$N$2,Tabela1[[#This Row],[Data nascimento]]&lt;=$M$2),"INICIADO",J376)</f>
        <v>JUVENIL</v>
      </c>
      <c r="J376" s="9" t="str">
        <f>IF(AND(Tabela1[[#This Row],[Data nascimento]]&gt;=$P$2,Tabela1[[#This Row],[Data nascimento]]&lt;=$O$2),"JUVENIL","JÚNIOR")</f>
        <v>JUVENIL</v>
      </c>
    </row>
    <row r="377" spans="1:10" ht="15" x14ac:dyDescent="0.4">
      <c r="A377" s="13" t="s">
        <v>4322</v>
      </c>
      <c r="B377" s="2" t="s">
        <v>4323</v>
      </c>
      <c r="C377" s="4" t="s">
        <v>21</v>
      </c>
      <c r="D377" s="11">
        <v>40483</v>
      </c>
      <c r="E377" s="7" t="s">
        <v>4324</v>
      </c>
      <c r="F377" s="4" t="s">
        <v>4724</v>
      </c>
      <c r="G377" s="12" t="str">
        <f>IF(AND(Tabela1[[#This Row],[Data nascimento]]&gt;=$J$2,Tabela1[[#This Row],[Data nascimento]]&lt;=$I$2),"INFANTIL A",H377)</f>
        <v>JUVENIL</v>
      </c>
      <c r="H377" s="3" t="str">
        <f>IF(AND(Tabela1[[#This Row],[Data nascimento]]&gt;=$L$2,Tabela1[[#This Row],[Data nascimento]]&lt;=$K$2),"INFANTIL B",I377)</f>
        <v>JUVENIL</v>
      </c>
      <c r="I377" s="9" t="str">
        <f>IF(AND(Tabela1[[#This Row],[Data nascimento]]&gt;=$N$2,Tabela1[[#This Row],[Data nascimento]]&lt;=$M$2),"INICIADO",J377)</f>
        <v>JUVENIL</v>
      </c>
      <c r="J377" s="9" t="str">
        <f>IF(AND(Tabela1[[#This Row],[Data nascimento]]&gt;=$P$2,Tabela1[[#This Row],[Data nascimento]]&lt;=$O$2),"JUVENIL","JÚNIOR")</f>
        <v>JUVENIL</v>
      </c>
    </row>
    <row r="378" spans="1:10" ht="15" x14ac:dyDescent="0.4">
      <c r="A378" s="13" t="s">
        <v>4325</v>
      </c>
      <c r="B378" s="2" t="s">
        <v>4326</v>
      </c>
      <c r="C378" s="4" t="s">
        <v>21</v>
      </c>
      <c r="D378" s="11">
        <v>40540</v>
      </c>
      <c r="E378" s="7" t="s">
        <v>4327</v>
      </c>
      <c r="F378" s="4" t="s">
        <v>4724</v>
      </c>
      <c r="G378" s="12" t="str">
        <f>IF(AND(Tabela1[[#This Row],[Data nascimento]]&gt;=$J$2,Tabela1[[#This Row],[Data nascimento]]&lt;=$I$2),"INFANTIL A",H378)</f>
        <v>JUVENIL</v>
      </c>
      <c r="H378" s="3" t="str">
        <f>IF(AND(Tabela1[[#This Row],[Data nascimento]]&gt;=$L$2,Tabela1[[#This Row],[Data nascimento]]&lt;=$K$2),"INFANTIL B",I378)</f>
        <v>JUVENIL</v>
      </c>
      <c r="I378" s="9" t="str">
        <f>IF(AND(Tabela1[[#This Row],[Data nascimento]]&gt;=$N$2,Tabela1[[#This Row],[Data nascimento]]&lt;=$M$2),"INICIADO",J378)</f>
        <v>JUVENIL</v>
      </c>
      <c r="J378" s="9" t="str">
        <f>IF(AND(Tabela1[[#This Row],[Data nascimento]]&gt;=$P$2,Tabela1[[#This Row],[Data nascimento]]&lt;=$O$2),"JUVENIL","JÚNIOR")</f>
        <v>JUVENIL</v>
      </c>
    </row>
    <row r="379" spans="1:10" ht="15" x14ac:dyDescent="0.4">
      <c r="A379" s="13" t="s">
        <v>4328</v>
      </c>
      <c r="B379" s="2" t="s">
        <v>4329</v>
      </c>
      <c r="C379" s="4" t="s">
        <v>21</v>
      </c>
      <c r="D379" s="11">
        <v>40179</v>
      </c>
      <c r="E379" s="7" t="s">
        <v>4330</v>
      </c>
      <c r="F379" s="4" t="s">
        <v>4727</v>
      </c>
      <c r="G379" s="12" t="str">
        <f>IF(AND(Tabela1[[#This Row],[Data nascimento]]&gt;=$J$2,Tabela1[[#This Row],[Data nascimento]]&lt;=$I$2),"INFANTIL A",H379)</f>
        <v>JUVENIL</v>
      </c>
      <c r="H379" s="3" t="str">
        <f>IF(AND(Tabela1[[#This Row],[Data nascimento]]&gt;=$L$2,Tabela1[[#This Row],[Data nascimento]]&lt;=$K$2),"INFANTIL B",I379)</f>
        <v>JUVENIL</v>
      </c>
      <c r="I379" s="9" t="str">
        <f>IF(AND(Tabela1[[#This Row],[Data nascimento]]&gt;=$N$2,Tabela1[[#This Row],[Data nascimento]]&lt;=$M$2),"INICIADO",J379)</f>
        <v>JUVENIL</v>
      </c>
      <c r="J379" s="9" t="str">
        <f>IF(AND(Tabela1[[#This Row],[Data nascimento]]&gt;=$P$2,Tabela1[[#This Row],[Data nascimento]]&lt;=$O$2),"JUVENIL","JÚNIOR")</f>
        <v>JUVENIL</v>
      </c>
    </row>
    <row r="380" spans="1:10" ht="15" x14ac:dyDescent="0.4">
      <c r="A380" s="13" t="s">
        <v>1619</v>
      </c>
      <c r="B380" s="2" t="s">
        <v>1620</v>
      </c>
      <c r="C380" s="4" t="s">
        <v>8</v>
      </c>
      <c r="D380" s="11">
        <v>40182</v>
      </c>
      <c r="E380" s="7" t="s">
        <v>1621</v>
      </c>
      <c r="F380" s="4" t="s">
        <v>4733</v>
      </c>
      <c r="G380" s="12" t="str">
        <f>IF(AND(Tabela1[[#This Row],[Data nascimento]]&gt;=$J$2,Tabela1[[#This Row],[Data nascimento]]&lt;=$I$2),"INFANTIL A",H380)</f>
        <v>JUVENIL</v>
      </c>
      <c r="H380" s="3" t="str">
        <f>IF(AND(Tabela1[[#This Row],[Data nascimento]]&gt;=$L$2,Tabela1[[#This Row],[Data nascimento]]&lt;=$K$2),"INFANTIL B",I380)</f>
        <v>JUVENIL</v>
      </c>
      <c r="I380" s="9" t="str">
        <f>IF(AND(Tabela1[[#This Row],[Data nascimento]]&gt;=$N$2,Tabela1[[#This Row],[Data nascimento]]&lt;=$M$2),"INICIADO",J380)</f>
        <v>JUVENIL</v>
      </c>
      <c r="J380" s="9" t="str">
        <f>IF(AND(Tabela1[[#This Row],[Data nascimento]]&gt;=$P$2,Tabela1[[#This Row],[Data nascimento]]&lt;=$O$2),"JUVENIL","JÚNIOR")</f>
        <v>JUVENIL</v>
      </c>
    </row>
    <row r="381" spans="1:10" ht="15" x14ac:dyDescent="0.4">
      <c r="A381" s="13" t="s">
        <v>4334</v>
      </c>
      <c r="B381" s="2" t="s">
        <v>4335</v>
      </c>
      <c r="C381" s="4" t="s">
        <v>21</v>
      </c>
      <c r="D381" s="11">
        <v>39959</v>
      </c>
      <c r="E381" s="7" t="s">
        <v>4336</v>
      </c>
      <c r="F381" s="4" t="s">
        <v>4727</v>
      </c>
      <c r="G381" s="12" t="str">
        <f>IF(AND(Tabela1[[#This Row],[Data nascimento]]&gt;=$J$2,Tabela1[[#This Row],[Data nascimento]]&lt;=$I$2),"INFANTIL A",H381)</f>
        <v>JUVENIL</v>
      </c>
      <c r="H381" s="3" t="str">
        <f>IF(AND(Tabela1[[#This Row],[Data nascimento]]&gt;=$L$2,Tabela1[[#This Row],[Data nascimento]]&lt;=$K$2),"INFANTIL B",I381)</f>
        <v>JUVENIL</v>
      </c>
      <c r="I381" s="9" t="str">
        <f>IF(AND(Tabela1[[#This Row],[Data nascimento]]&gt;=$N$2,Tabela1[[#This Row],[Data nascimento]]&lt;=$M$2),"INICIADO",J381)</f>
        <v>JUVENIL</v>
      </c>
      <c r="J381" s="9" t="str">
        <f>IF(AND(Tabela1[[#This Row],[Data nascimento]]&gt;=$P$2,Tabela1[[#This Row],[Data nascimento]]&lt;=$O$2),"JUVENIL","JÚNIOR")</f>
        <v>JUVENIL</v>
      </c>
    </row>
    <row r="382" spans="1:10" ht="15" x14ac:dyDescent="0.4">
      <c r="A382" s="13" t="s">
        <v>4346</v>
      </c>
      <c r="B382" s="2" t="s">
        <v>4347</v>
      </c>
      <c r="C382" s="4" t="s">
        <v>21</v>
      </c>
      <c r="D382" s="11">
        <v>40064</v>
      </c>
      <c r="E382" s="7" t="s">
        <v>4348</v>
      </c>
      <c r="F382" s="4" t="s">
        <v>4730</v>
      </c>
      <c r="G382" s="12" t="str">
        <f>IF(AND(Tabela1[[#This Row],[Data nascimento]]&gt;=$J$2,Tabela1[[#This Row],[Data nascimento]]&lt;=$I$2),"INFANTIL A",H382)</f>
        <v>JUVENIL</v>
      </c>
      <c r="H382" s="3" t="str">
        <f>IF(AND(Tabela1[[#This Row],[Data nascimento]]&gt;=$L$2,Tabela1[[#This Row],[Data nascimento]]&lt;=$K$2),"INFANTIL B",I382)</f>
        <v>JUVENIL</v>
      </c>
      <c r="I382" s="9" t="str">
        <f>IF(AND(Tabela1[[#This Row],[Data nascimento]]&gt;=$N$2,Tabela1[[#This Row],[Data nascimento]]&lt;=$M$2),"INICIADO",J382)</f>
        <v>JUVENIL</v>
      </c>
      <c r="J382" s="9" t="str">
        <f>IF(AND(Tabela1[[#This Row],[Data nascimento]]&gt;=$P$2,Tabela1[[#This Row],[Data nascimento]]&lt;=$O$2),"JUVENIL","JÚNIOR")</f>
        <v>JUVENIL</v>
      </c>
    </row>
    <row r="383" spans="1:10" ht="15" x14ac:dyDescent="0.4">
      <c r="A383" s="13" t="s">
        <v>4349</v>
      </c>
      <c r="B383" s="2" t="s">
        <v>4350</v>
      </c>
      <c r="C383" s="4" t="s">
        <v>21</v>
      </c>
      <c r="D383" s="11">
        <v>40417</v>
      </c>
      <c r="E383" s="7" t="s">
        <v>4351</v>
      </c>
      <c r="F383" s="4" t="s">
        <v>4730</v>
      </c>
      <c r="G383" s="12" t="str">
        <f>IF(AND(Tabela1[[#This Row],[Data nascimento]]&gt;=$J$2,Tabela1[[#This Row],[Data nascimento]]&lt;=$I$2),"INFANTIL A",H383)</f>
        <v>JUVENIL</v>
      </c>
      <c r="H383" s="3" t="str">
        <f>IF(AND(Tabela1[[#This Row],[Data nascimento]]&gt;=$L$2,Tabela1[[#This Row],[Data nascimento]]&lt;=$K$2),"INFANTIL B",I383)</f>
        <v>JUVENIL</v>
      </c>
      <c r="I383" s="9" t="str">
        <f>IF(AND(Tabela1[[#This Row],[Data nascimento]]&gt;=$N$2,Tabela1[[#This Row],[Data nascimento]]&lt;=$M$2),"INICIADO",J383)</f>
        <v>JUVENIL</v>
      </c>
      <c r="J383" s="9" t="str">
        <f>IF(AND(Tabela1[[#This Row],[Data nascimento]]&gt;=$P$2,Tabela1[[#This Row],[Data nascimento]]&lt;=$O$2),"JUVENIL","JÚNIOR")</f>
        <v>JUVENIL</v>
      </c>
    </row>
    <row r="384" spans="1:10" ht="15" x14ac:dyDescent="0.4">
      <c r="A384" s="13" t="s">
        <v>1622</v>
      </c>
      <c r="B384" s="2" t="s">
        <v>1623</v>
      </c>
      <c r="C384" s="4" t="s">
        <v>8</v>
      </c>
      <c r="D384" s="11">
        <v>40383</v>
      </c>
      <c r="E384" s="7" t="s">
        <v>1624</v>
      </c>
      <c r="F384" s="4" t="s">
        <v>4733</v>
      </c>
      <c r="G384" s="12" t="str">
        <f>IF(AND(Tabela1[[#This Row],[Data nascimento]]&gt;=$J$2,Tabela1[[#This Row],[Data nascimento]]&lt;=$I$2),"INFANTIL A",H384)</f>
        <v>JUVENIL</v>
      </c>
      <c r="H384" s="3" t="str">
        <f>IF(AND(Tabela1[[#This Row],[Data nascimento]]&gt;=$L$2,Tabela1[[#This Row],[Data nascimento]]&lt;=$K$2),"INFANTIL B",I384)</f>
        <v>JUVENIL</v>
      </c>
      <c r="I384" s="9" t="str">
        <f>IF(AND(Tabela1[[#This Row],[Data nascimento]]&gt;=$N$2,Tabela1[[#This Row],[Data nascimento]]&lt;=$M$2),"INICIADO",J384)</f>
        <v>JUVENIL</v>
      </c>
      <c r="J384" s="9" t="str">
        <f>IF(AND(Tabela1[[#This Row],[Data nascimento]]&gt;=$P$2,Tabela1[[#This Row],[Data nascimento]]&lt;=$O$2),"JUVENIL","JÚNIOR")</f>
        <v>JUVENIL</v>
      </c>
    </row>
    <row r="385" spans="1:10" ht="15" x14ac:dyDescent="0.4">
      <c r="A385" s="13" t="s">
        <v>4355</v>
      </c>
      <c r="B385" s="2" t="s">
        <v>4356</v>
      </c>
      <c r="C385" s="4" t="s">
        <v>21</v>
      </c>
      <c r="D385" s="11">
        <v>39846</v>
      </c>
      <c r="E385" s="7" t="s">
        <v>4357</v>
      </c>
      <c r="F385" s="4" t="s">
        <v>4725</v>
      </c>
      <c r="G385" s="12" t="str">
        <f>IF(AND(Tabela1[[#This Row],[Data nascimento]]&gt;=$J$2,Tabela1[[#This Row],[Data nascimento]]&lt;=$I$2),"INFANTIL A",H385)</f>
        <v>JUVENIL</v>
      </c>
      <c r="H385" s="3" t="str">
        <f>IF(AND(Tabela1[[#This Row],[Data nascimento]]&gt;=$L$2,Tabela1[[#This Row],[Data nascimento]]&lt;=$K$2),"INFANTIL B",I385)</f>
        <v>JUVENIL</v>
      </c>
      <c r="I385" s="9" t="str">
        <f>IF(AND(Tabela1[[#This Row],[Data nascimento]]&gt;=$N$2,Tabela1[[#This Row],[Data nascimento]]&lt;=$M$2),"INICIADO",J385)</f>
        <v>JUVENIL</v>
      </c>
      <c r="J385" s="9" t="str">
        <f>IF(AND(Tabela1[[#This Row],[Data nascimento]]&gt;=$P$2,Tabela1[[#This Row],[Data nascimento]]&lt;=$O$2),"JUVENIL","JÚNIOR")</f>
        <v>JUVENIL</v>
      </c>
    </row>
    <row r="386" spans="1:10" ht="15" x14ac:dyDescent="0.4">
      <c r="A386" s="13" t="s">
        <v>1625</v>
      </c>
      <c r="B386" s="2" t="s">
        <v>1626</v>
      </c>
      <c r="C386" s="4" t="s">
        <v>8</v>
      </c>
      <c r="D386" s="11">
        <v>40324</v>
      </c>
      <c r="E386" s="7" t="s">
        <v>1627</v>
      </c>
      <c r="F386" s="4" t="s">
        <v>4733</v>
      </c>
      <c r="G386" s="12" t="str">
        <f>IF(AND(Tabela1[[#This Row],[Data nascimento]]&gt;=$J$2,Tabela1[[#This Row],[Data nascimento]]&lt;=$I$2),"INFANTIL A",H386)</f>
        <v>JUVENIL</v>
      </c>
      <c r="H386" s="3" t="str">
        <f>IF(AND(Tabela1[[#This Row],[Data nascimento]]&gt;=$L$2,Tabela1[[#This Row],[Data nascimento]]&lt;=$K$2),"INFANTIL B",I386)</f>
        <v>JUVENIL</v>
      </c>
      <c r="I386" s="9" t="str">
        <f>IF(AND(Tabela1[[#This Row],[Data nascimento]]&gt;=$N$2,Tabela1[[#This Row],[Data nascimento]]&lt;=$M$2),"INICIADO",J386)</f>
        <v>JUVENIL</v>
      </c>
      <c r="J386" s="9" t="str">
        <f>IF(AND(Tabela1[[#This Row],[Data nascimento]]&gt;=$P$2,Tabela1[[#This Row],[Data nascimento]]&lt;=$O$2),"JUVENIL","JÚNIOR")</f>
        <v>JUVENIL</v>
      </c>
    </row>
    <row r="387" spans="1:10" ht="15" x14ac:dyDescent="0.4">
      <c r="A387" s="13" t="s">
        <v>4361</v>
      </c>
      <c r="B387" s="2" t="s">
        <v>4362</v>
      </c>
      <c r="C387" s="4" t="s">
        <v>21</v>
      </c>
      <c r="D387" s="11">
        <v>40256</v>
      </c>
      <c r="E387" s="7" t="s">
        <v>4363</v>
      </c>
      <c r="F387" s="4" t="s">
        <v>4712</v>
      </c>
      <c r="G387" s="12" t="str">
        <f>IF(AND(Tabela1[[#This Row],[Data nascimento]]&gt;=$J$2,Tabela1[[#This Row],[Data nascimento]]&lt;=$I$2),"INFANTIL A",H387)</f>
        <v>JUVENIL</v>
      </c>
      <c r="H387" s="3" t="str">
        <f>IF(AND(Tabela1[[#This Row],[Data nascimento]]&gt;=$L$2,Tabela1[[#This Row],[Data nascimento]]&lt;=$K$2),"INFANTIL B",I387)</f>
        <v>JUVENIL</v>
      </c>
      <c r="I387" s="9" t="str">
        <f>IF(AND(Tabela1[[#This Row],[Data nascimento]]&gt;=$N$2,Tabela1[[#This Row],[Data nascimento]]&lt;=$M$2),"INICIADO",J387)</f>
        <v>JUVENIL</v>
      </c>
      <c r="J387" s="9" t="str">
        <f>IF(AND(Tabela1[[#This Row],[Data nascimento]]&gt;=$P$2,Tabela1[[#This Row],[Data nascimento]]&lt;=$O$2),"JUVENIL","JÚNIOR")</f>
        <v>JUVENIL</v>
      </c>
    </row>
    <row r="388" spans="1:10" ht="15" x14ac:dyDescent="0.4">
      <c r="A388" s="13" t="s">
        <v>1628</v>
      </c>
      <c r="B388" s="2" t="s">
        <v>1629</v>
      </c>
      <c r="C388" s="4" t="s">
        <v>8</v>
      </c>
      <c r="D388" s="11">
        <v>40117</v>
      </c>
      <c r="E388" s="7" t="s">
        <v>1630</v>
      </c>
      <c r="F388" s="4" t="s">
        <v>4733</v>
      </c>
      <c r="G388" s="12" t="str">
        <f>IF(AND(Tabela1[[#This Row],[Data nascimento]]&gt;=$J$2,Tabela1[[#This Row],[Data nascimento]]&lt;=$I$2),"INFANTIL A",H388)</f>
        <v>JUVENIL</v>
      </c>
      <c r="H388" s="3" t="str">
        <f>IF(AND(Tabela1[[#This Row],[Data nascimento]]&gt;=$L$2,Tabela1[[#This Row],[Data nascimento]]&lt;=$K$2),"INFANTIL B",I388)</f>
        <v>JUVENIL</v>
      </c>
      <c r="I388" s="9" t="str">
        <f>IF(AND(Tabela1[[#This Row],[Data nascimento]]&gt;=$N$2,Tabela1[[#This Row],[Data nascimento]]&lt;=$M$2),"INICIADO",J388)</f>
        <v>JUVENIL</v>
      </c>
      <c r="J388" s="9" t="str">
        <f>IF(AND(Tabela1[[#This Row],[Data nascimento]]&gt;=$P$2,Tabela1[[#This Row],[Data nascimento]]&lt;=$O$2),"JUVENIL","JÚNIOR")</f>
        <v>JUVENIL</v>
      </c>
    </row>
    <row r="389" spans="1:10" ht="15" x14ac:dyDescent="0.4">
      <c r="A389" s="13" t="s">
        <v>4367</v>
      </c>
      <c r="B389" s="2" t="s">
        <v>4368</v>
      </c>
      <c r="C389" s="4" t="s">
        <v>21</v>
      </c>
      <c r="D389" s="11">
        <v>40511</v>
      </c>
      <c r="E389" s="7" t="s">
        <v>4369</v>
      </c>
      <c r="F389" s="4" t="s">
        <v>4718</v>
      </c>
      <c r="G389" s="12" t="str">
        <f>IF(AND(Tabela1[[#This Row],[Data nascimento]]&gt;=$J$2,Tabela1[[#This Row],[Data nascimento]]&lt;=$I$2),"INFANTIL A",H389)</f>
        <v>JUVENIL</v>
      </c>
      <c r="H389" s="3" t="str">
        <f>IF(AND(Tabela1[[#This Row],[Data nascimento]]&gt;=$L$2,Tabela1[[#This Row],[Data nascimento]]&lt;=$K$2),"INFANTIL B",I389)</f>
        <v>JUVENIL</v>
      </c>
      <c r="I389" s="9" t="str">
        <f>IF(AND(Tabela1[[#This Row],[Data nascimento]]&gt;=$N$2,Tabela1[[#This Row],[Data nascimento]]&lt;=$M$2),"INICIADO",J389)</f>
        <v>JUVENIL</v>
      </c>
      <c r="J389" s="9" t="str">
        <f>IF(AND(Tabela1[[#This Row],[Data nascimento]]&gt;=$P$2,Tabela1[[#This Row],[Data nascimento]]&lt;=$O$2),"JUVENIL","JÚNIOR")</f>
        <v>JUVENIL</v>
      </c>
    </row>
    <row r="390" spans="1:10" ht="15" x14ac:dyDescent="0.4">
      <c r="A390" s="13" t="s">
        <v>4370</v>
      </c>
      <c r="B390" s="2" t="s">
        <v>4371</v>
      </c>
      <c r="C390" s="4" t="s">
        <v>21</v>
      </c>
      <c r="D390" s="11">
        <v>40403</v>
      </c>
      <c r="E390" s="7" t="s">
        <v>4372</v>
      </c>
      <c r="F390" s="4" t="s">
        <v>4723</v>
      </c>
      <c r="G390" s="12" t="str">
        <f>IF(AND(Tabela1[[#This Row],[Data nascimento]]&gt;=$J$2,Tabela1[[#This Row],[Data nascimento]]&lt;=$I$2),"INFANTIL A",H390)</f>
        <v>JUVENIL</v>
      </c>
      <c r="H390" s="3" t="str">
        <f>IF(AND(Tabela1[[#This Row],[Data nascimento]]&gt;=$L$2,Tabela1[[#This Row],[Data nascimento]]&lt;=$K$2),"INFANTIL B",I390)</f>
        <v>JUVENIL</v>
      </c>
      <c r="I390" s="9" t="str">
        <f>IF(AND(Tabela1[[#This Row],[Data nascimento]]&gt;=$N$2,Tabela1[[#This Row],[Data nascimento]]&lt;=$M$2),"INICIADO",J390)</f>
        <v>JUVENIL</v>
      </c>
      <c r="J390" s="9" t="str">
        <f>IF(AND(Tabela1[[#This Row],[Data nascimento]]&gt;=$P$2,Tabela1[[#This Row],[Data nascimento]]&lt;=$O$2),"JUVENIL","JÚNIOR")</f>
        <v>JUVENIL</v>
      </c>
    </row>
    <row r="391" spans="1:10" ht="15" x14ac:dyDescent="0.4">
      <c r="A391" s="13" t="s">
        <v>4373</v>
      </c>
      <c r="B391" s="2" t="s">
        <v>4374</v>
      </c>
      <c r="C391" s="4" t="s">
        <v>21</v>
      </c>
      <c r="D391" s="11">
        <v>40211</v>
      </c>
      <c r="E391" s="7" t="s">
        <v>4375</v>
      </c>
      <c r="F391" s="4" t="s">
        <v>4723</v>
      </c>
      <c r="G391" s="12" t="str">
        <f>IF(AND(Tabela1[[#This Row],[Data nascimento]]&gt;=$J$2,Tabela1[[#This Row],[Data nascimento]]&lt;=$I$2),"INFANTIL A",H391)</f>
        <v>JUVENIL</v>
      </c>
      <c r="H391" s="3" t="str">
        <f>IF(AND(Tabela1[[#This Row],[Data nascimento]]&gt;=$L$2,Tabela1[[#This Row],[Data nascimento]]&lt;=$K$2),"INFANTIL B",I391)</f>
        <v>JUVENIL</v>
      </c>
      <c r="I391" s="9" t="str">
        <f>IF(AND(Tabela1[[#This Row],[Data nascimento]]&gt;=$N$2,Tabela1[[#This Row],[Data nascimento]]&lt;=$M$2),"INICIADO",J391)</f>
        <v>JUVENIL</v>
      </c>
      <c r="J391" s="9" t="str">
        <f>IF(AND(Tabela1[[#This Row],[Data nascimento]]&gt;=$P$2,Tabela1[[#This Row],[Data nascimento]]&lt;=$O$2),"JUVENIL","JÚNIOR")</f>
        <v>JUVENIL</v>
      </c>
    </row>
    <row r="392" spans="1:10" ht="15" x14ac:dyDescent="0.4">
      <c r="A392" s="13" t="s">
        <v>4376</v>
      </c>
      <c r="B392" s="2" t="s">
        <v>4377</v>
      </c>
      <c r="C392" s="4" t="s">
        <v>21</v>
      </c>
      <c r="D392" s="11">
        <v>40406</v>
      </c>
      <c r="E392" s="7" t="s">
        <v>4378</v>
      </c>
      <c r="F392" s="4" t="s">
        <v>4723</v>
      </c>
      <c r="G392" s="12" t="str">
        <f>IF(AND(Tabela1[[#This Row],[Data nascimento]]&gt;=$J$2,Tabela1[[#This Row],[Data nascimento]]&lt;=$I$2),"INFANTIL A",H392)</f>
        <v>JUVENIL</v>
      </c>
      <c r="H392" s="3" t="str">
        <f>IF(AND(Tabela1[[#This Row],[Data nascimento]]&gt;=$L$2,Tabela1[[#This Row],[Data nascimento]]&lt;=$K$2),"INFANTIL B",I392)</f>
        <v>JUVENIL</v>
      </c>
      <c r="I392" s="9" t="str">
        <f>IF(AND(Tabela1[[#This Row],[Data nascimento]]&gt;=$N$2,Tabela1[[#This Row],[Data nascimento]]&lt;=$M$2),"INICIADO",J392)</f>
        <v>JUVENIL</v>
      </c>
      <c r="J392" s="9" t="str">
        <f>IF(AND(Tabela1[[#This Row],[Data nascimento]]&gt;=$P$2,Tabela1[[#This Row],[Data nascimento]]&lt;=$O$2),"JUVENIL","JÚNIOR")</f>
        <v>JUVENIL</v>
      </c>
    </row>
    <row r="393" spans="1:10" ht="15" x14ac:dyDescent="0.4">
      <c r="A393" s="13" t="s">
        <v>4379</v>
      </c>
      <c r="B393" s="2" t="s">
        <v>4380</v>
      </c>
      <c r="C393" s="4" t="s">
        <v>21</v>
      </c>
      <c r="D393" s="11">
        <v>40258</v>
      </c>
      <c r="E393" s="7" t="s">
        <v>4381</v>
      </c>
      <c r="F393" s="4" t="s">
        <v>4723</v>
      </c>
      <c r="G393" s="12" t="str">
        <f>IF(AND(Tabela1[[#This Row],[Data nascimento]]&gt;=$J$2,Tabela1[[#This Row],[Data nascimento]]&lt;=$I$2),"INFANTIL A",H393)</f>
        <v>JUVENIL</v>
      </c>
      <c r="H393" s="3" t="str">
        <f>IF(AND(Tabela1[[#This Row],[Data nascimento]]&gt;=$L$2,Tabela1[[#This Row],[Data nascimento]]&lt;=$K$2),"INFANTIL B",I393)</f>
        <v>JUVENIL</v>
      </c>
      <c r="I393" s="9" t="str">
        <f>IF(AND(Tabela1[[#This Row],[Data nascimento]]&gt;=$N$2,Tabela1[[#This Row],[Data nascimento]]&lt;=$M$2),"INICIADO",J393)</f>
        <v>JUVENIL</v>
      </c>
      <c r="J393" s="9" t="str">
        <f>IF(AND(Tabela1[[#This Row],[Data nascimento]]&gt;=$P$2,Tabela1[[#This Row],[Data nascimento]]&lt;=$O$2),"JUVENIL","JÚNIOR")</f>
        <v>JUVENIL</v>
      </c>
    </row>
    <row r="394" spans="1:10" ht="15" x14ac:dyDescent="0.4">
      <c r="A394" s="13" t="s">
        <v>1631</v>
      </c>
      <c r="B394" s="2" t="s">
        <v>1632</v>
      </c>
      <c r="C394" s="4" t="s">
        <v>8</v>
      </c>
      <c r="D394" s="11">
        <v>40432</v>
      </c>
      <c r="E394" s="7" t="s">
        <v>1633</v>
      </c>
      <c r="F394" s="4" t="s">
        <v>4733</v>
      </c>
      <c r="G394" s="12" t="str">
        <f>IF(AND(Tabela1[[#This Row],[Data nascimento]]&gt;=$J$2,Tabela1[[#This Row],[Data nascimento]]&lt;=$I$2),"INFANTIL A",H394)</f>
        <v>JUVENIL</v>
      </c>
      <c r="H394" s="3" t="str">
        <f>IF(AND(Tabela1[[#This Row],[Data nascimento]]&gt;=$L$2,Tabela1[[#This Row],[Data nascimento]]&lt;=$K$2),"INFANTIL B",I394)</f>
        <v>JUVENIL</v>
      </c>
      <c r="I394" s="9" t="str">
        <f>IF(AND(Tabela1[[#This Row],[Data nascimento]]&gt;=$N$2,Tabela1[[#This Row],[Data nascimento]]&lt;=$M$2),"INICIADO",J394)</f>
        <v>JUVENIL</v>
      </c>
      <c r="J394" s="9" t="str">
        <f>IF(AND(Tabela1[[#This Row],[Data nascimento]]&gt;=$P$2,Tabela1[[#This Row],[Data nascimento]]&lt;=$O$2),"JUVENIL","JÚNIOR")</f>
        <v>JUVENIL</v>
      </c>
    </row>
    <row r="395" spans="1:10" ht="15" x14ac:dyDescent="0.4">
      <c r="A395" s="13" t="s">
        <v>1634</v>
      </c>
      <c r="B395" s="2" t="s">
        <v>1635</v>
      </c>
      <c r="C395" s="4" t="s">
        <v>8</v>
      </c>
      <c r="D395" s="11">
        <v>40289</v>
      </c>
      <c r="E395" s="7" t="s">
        <v>1636</v>
      </c>
      <c r="F395" s="4" t="s">
        <v>4733</v>
      </c>
      <c r="G395" s="12" t="str">
        <f>IF(AND(Tabela1[[#This Row],[Data nascimento]]&gt;=$J$2,Tabela1[[#This Row],[Data nascimento]]&lt;=$I$2),"INFANTIL A",H395)</f>
        <v>JUVENIL</v>
      </c>
      <c r="H395" s="3" t="str">
        <f>IF(AND(Tabela1[[#This Row],[Data nascimento]]&gt;=$L$2,Tabela1[[#This Row],[Data nascimento]]&lt;=$K$2),"INFANTIL B",I395)</f>
        <v>JUVENIL</v>
      </c>
      <c r="I395" s="9" t="str">
        <f>IF(AND(Tabela1[[#This Row],[Data nascimento]]&gt;=$N$2,Tabela1[[#This Row],[Data nascimento]]&lt;=$M$2),"INICIADO",J395)</f>
        <v>JUVENIL</v>
      </c>
      <c r="J395" s="9" t="str">
        <f>IF(AND(Tabela1[[#This Row],[Data nascimento]]&gt;=$P$2,Tabela1[[#This Row],[Data nascimento]]&lt;=$O$2),"JUVENIL","JÚNIOR")</f>
        <v>JUVENIL</v>
      </c>
    </row>
    <row r="396" spans="1:10" ht="15" x14ac:dyDescent="0.4">
      <c r="A396" s="13" t="s">
        <v>4391</v>
      </c>
      <c r="B396" s="2" t="s">
        <v>4392</v>
      </c>
      <c r="C396" s="4" t="s">
        <v>21</v>
      </c>
      <c r="D396" s="11">
        <v>40435</v>
      </c>
      <c r="E396" s="7" t="s">
        <v>4393</v>
      </c>
      <c r="F396" s="4" t="s">
        <v>4723</v>
      </c>
      <c r="G396" s="12" t="str">
        <f>IF(AND(Tabela1[[#This Row],[Data nascimento]]&gt;=$J$2,Tabela1[[#This Row],[Data nascimento]]&lt;=$I$2),"INFANTIL A",H396)</f>
        <v>JUVENIL</v>
      </c>
      <c r="H396" s="3" t="str">
        <f>IF(AND(Tabela1[[#This Row],[Data nascimento]]&gt;=$L$2,Tabela1[[#This Row],[Data nascimento]]&lt;=$K$2),"INFANTIL B",I396)</f>
        <v>JUVENIL</v>
      </c>
      <c r="I396" s="9" t="str">
        <f>IF(AND(Tabela1[[#This Row],[Data nascimento]]&gt;=$N$2,Tabela1[[#This Row],[Data nascimento]]&lt;=$M$2),"INICIADO",J396)</f>
        <v>JUVENIL</v>
      </c>
      <c r="J396" s="9" t="str">
        <f>IF(AND(Tabela1[[#This Row],[Data nascimento]]&gt;=$P$2,Tabela1[[#This Row],[Data nascimento]]&lt;=$O$2),"JUVENIL","JÚNIOR")</f>
        <v>JUVENIL</v>
      </c>
    </row>
    <row r="397" spans="1:10" ht="15" x14ac:dyDescent="0.4">
      <c r="A397" s="13" t="s">
        <v>1700</v>
      </c>
      <c r="B397" s="2" t="s">
        <v>1701</v>
      </c>
      <c r="C397" s="4" t="s">
        <v>8</v>
      </c>
      <c r="D397" s="11">
        <v>39821</v>
      </c>
      <c r="E397" s="7" t="s">
        <v>1702</v>
      </c>
      <c r="F397" s="4" t="s">
        <v>4733</v>
      </c>
      <c r="G397" s="12" t="str">
        <f>IF(AND(Tabela1[[#This Row],[Data nascimento]]&gt;=$J$2,Tabela1[[#This Row],[Data nascimento]]&lt;=$I$2),"INFANTIL A",H397)</f>
        <v>JUVENIL</v>
      </c>
      <c r="H397" s="3" t="str">
        <f>IF(AND(Tabela1[[#This Row],[Data nascimento]]&gt;=$L$2,Tabela1[[#This Row],[Data nascimento]]&lt;=$K$2),"INFANTIL B",I397)</f>
        <v>JUVENIL</v>
      </c>
      <c r="I397" s="9" t="str">
        <f>IF(AND(Tabela1[[#This Row],[Data nascimento]]&gt;=$N$2,Tabela1[[#This Row],[Data nascimento]]&lt;=$M$2),"INICIADO",J397)</f>
        <v>JUVENIL</v>
      </c>
      <c r="J397" s="9" t="str">
        <f>IF(AND(Tabela1[[#This Row],[Data nascimento]]&gt;=$P$2,Tabela1[[#This Row],[Data nascimento]]&lt;=$O$2),"JUVENIL","JÚNIOR")</f>
        <v>JUVENIL</v>
      </c>
    </row>
    <row r="398" spans="1:10" ht="15" x14ac:dyDescent="0.4">
      <c r="A398" s="13" t="s">
        <v>1460</v>
      </c>
      <c r="B398" s="2" t="s">
        <v>1461</v>
      </c>
      <c r="C398" s="4" t="s">
        <v>8</v>
      </c>
      <c r="D398" s="11">
        <v>40319</v>
      </c>
      <c r="E398" s="7" t="s">
        <v>1462</v>
      </c>
      <c r="F398" s="4" t="s">
        <v>4734</v>
      </c>
      <c r="G398" s="12" t="str">
        <f>IF(AND(Tabela1[[#This Row],[Data nascimento]]&gt;=$J$2,Tabela1[[#This Row],[Data nascimento]]&lt;=$I$2),"INFANTIL A",H398)</f>
        <v>JUVENIL</v>
      </c>
      <c r="H398" s="3" t="str">
        <f>IF(AND(Tabela1[[#This Row],[Data nascimento]]&gt;=$L$2,Tabela1[[#This Row],[Data nascimento]]&lt;=$K$2),"INFANTIL B",I398)</f>
        <v>JUVENIL</v>
      </c>
      <c r="I398" s="9" t="str">
        <f>IF(AND(Tabela1[[#This Row],[Data nascimento]]&gt;=$N$2,Tabela1[[#This Row],[Data nascimento]]&lt;=$M$2),"INICIADO",J398)</f>
        <v>JUVENIL</v>
      </c>
      <c r="J398" s="9" t="str">
        <f>IF(AND(Tabela1[[#This Row],[Data nascimento]]&gt;=$P$2,Tabela1[[#This Row],[Data nascimento]]&lt;=$O$2),"JUVENIL","JÚNIOR")</f>
        <v>JUVENIL</v>
      </c>
    </row>
    <row r="399" spans="1:10" ht="15" x14ac:dyDescent="0.4">
      <c r="A399" s="13" t="s">
        <v>4436</v>
      </c>
      <c r="B399" s="2" t="s">
        <v>4437</v>
      </c>
      <c r="C399" s="4" t="s">
        <v>21</v>
      </c>
      <c r="D399" s="11">
        <v>40254</v>
      </c>
      <c r="E399" s="7" t="s">
        <v>4438</v>
      </c>
      <c r="F399" s="4" t="s">
        <v>4723</v>
      </c>
      <c r="G399" s="12" t="str">
        <f>IF(AND(Tabela1[[#This Row],[Data nascimento]]&gt;=$J$2,Tabela1[[#This Row],[Data nascimento]]&lt;=$I$2),"INFANTIL A",H399)</f>
        <v>JUVENIL</v>
      </c>
      <c r="H399" s="3" t="str">
        <f>IF(AND(Tabela1[[#This Row],[Data nascimento]]&gt;=$L$2,Tabela1[[#This Row],[Data nascimento]]&lt;=$K$2),"INFANTIL B",I399)</f>
        <v>JUVENIL</v>
      </c>
      <c r="I399" s="9" t="str">
        <f>IF(AND(Tabela1[[#This Row],[Data nascimento]]&gt;=$N$2,Tabela1[[#This Row],[Data nascimento]]&lt;=$M$2),"INICIADO",J399)</f>
        <v>JUVENIL</v>
      </c>
      <c r="J399" s="9" t="str">
        <f>IF(AND(Tabela1[[#This Row],[Data nascimento]]&gt;=$P$2,Tabela1[[#This Row],[Data nascimento]]&lt;=$O$2),"JUVENIL","JÚNIOR")</f>
        <v>JUVENIL</v>
      </c>
    </row>
    <row r="400" spans="1:10" ht="15" x14ac:dyDescent="0.4">
      <c r="A400" s="13" t="s">
        <v>1463</v>
      </c>
      <c r="B400" s="2" t="s">
        <v>1464</v>
      </c>
      <c r="C400" s="4" t="s">
        <v>8</v>
      </c>
      <c r="D400" s="11">
        <v>40300</v>
      </c>
      <c r="E400" s="7" t="s">
        <v>1465</v>
      </c>
      <c r="F400" s="4" t="s">
        <v>4734</v>
      </c>
      <c r="G400" s="12" t="str">
        <f>IF(AND(Tabela1[[#This Row],[Data nascimento]]&gt;=$J$2,Tabela1[[#This Row],[Data nascimento]]&lt;=$I$2),"INFANTIL A",H400)</f>
        <v>JUVENIL</v>
      </c>
      <c r="H400" s="3" t="str">
        <f>IF(AND(Tabela1[[#This Row],[Data nascimento]]&gt;=$L$2,Tabela1[[#This Row],[Data nascimento]]&lt;=$K$2),"INFANTIL B",I400)</f>
        <v>JUVENIL</v>
      </c>
      <c r="I400" s="9" t="str">
        <f>IF(AND(Tabela1[[#This Row],[Data nascimento]]&gt;=$N$2,Tabela1[[#This Row],[Data nascimento]]&lt;=$M$2),"INICIADO",J400)</f>
        <v>JUVENIL</v>
      </c>
      <c r="J400" s="9" t="str">
        <f>IF(AND(Tabela1[[#This Row],[Data nascimento]]&gt;=$P$2,Tabela1[[#This Row],[Data nascimento]]&lt;=$O$2),"JUVENIL","JÚNIOR")</f>
        <v>JUVENIL</v>
      </c>
    </row>
    <row r="401" spans="1:10" ht="15" x14ac:dyDescent="0.4">
      <c r="A401" s="13" t="s">
        <v>1466</v>
      </c>
      <c r="B401" s="2" t="s">
        <v>1467</v>
      </c>
      <c r="C401" s="4" t="s">
        <v>8</v>
      </c>
      <c r="D401" s="11">
        <v>40415</v>
      </c>
      <c r="E401" s="7" t="s">
        <v>1468</v>
      </c>
      <c r="F401" s="4" t="s">
        <v>4734</v>
      </c>
      <c r="G401" s="12" t="str">
        <f>IF(AND(Tabela1[[#This Row],[Data nascimento]]&gt;=$J$2,Tabela1[[#This Row],[Data nascimento]]&lt;=$I$2),"INFANTIL A",H401)</f>
        <v>JUVENIL</v>
      </c>
      <c r="H401" s="3" t="str">
        <f>IF(AND(Tabela1[[#This Row],[Data nascimento]]&gt;=$L$2,Tabela1[[#This Row],[Data nascimento]]&lt;=$K$2),"INFANTIL B",I401)</f>
        <v>JUVENIL</v>
      </c>
      <c r="I401" s="9" t="str">
        <f>IF(AND(Tabela1[[#This Row],[Data nascimento]]&gt;=$N$2,Tabela1[[#This Row],[Data nascimento]]&lt;=$M$2),"INICIADO",J401)</f>
        <v>JUVENIL</v>
      </c>
      <c r="J401" s="9" t="str">
        <f>IF(AND(Tabela1[[#This Row],[Data nascimento]]&gt;=$P$2,Tabela1[[#This Row],[Data nascimento]]&lt;=$O$2),"JUVENIL","JÚNIOR")</f>
        <v>JUVENIL</v>
      </c>
    </row>
    <row r="402" spans="1:10" ht="15" x14ac:dyDescent="0.4">
      <c r="A402" s="13" t="s">
        <v>4451</v>
      </c>
      <c r="B402" s="2" t="s">
        <v>4452</v>
      </c>
      <c r="C402" s="4" t="s">
        <v>21</v>
      </c>
      <c r="D402" s="11">
        <v>40229</v>
      </c>
      <c r="E402" s="7" t="s">
        <v>4453</v>
      </c>
      <c r="F402" s="4" t="s">
        <v>4727</v>
      </c>
      <c r="G402" s="12" t="str">
        <f>IF(AND(Tabela1[[#This Row],[Data nascimento]]&gt;=$J$2,Tabela1[[#This Row],[Data nascimento]]&lt;=$I$2),"INFANTIL A",H402)</f>
        <v>JUVENIL</v>
      </c>
      <c r="H402" s="3" t="str">
        <f>IF(AND(Tabela1[[#This Row],[Data nascimento]]&gt;=$L$2,Tabela1[[#This Row],[Data nascimento]]&lt;=$K$2),"INFANTIL B",I402)</f>
        <v>JUVENIL</v>
      </c>
      <c r="I402" s="9" t="str">
        <f>IF(AND(Tabela1[[#This Row],[Data nascimento]]&gt;=$N$2,Tabela1[[#This Row],[Data nascimento]]&lt;=$M$2),"INICIADO",J402)</f>
        <v>JUVENIL</v>
      </c>
      <c r="J402" s="9" t="str">
        <f>IF(AND(Tabela1[[#This Row],[Data nascimento]]&gt;=$P$2,Tabela1[[#This Row],[Data nascimento]]&lt;=$O$2),"JUVENIL","JÚNIOR")</f>
        <v>JUVENIL</v>
      </c>
    </row>
    <row r="403" spans="1:10" ht="15" x14ac:dyDescent="0.4">
      <c r="A403" s="13" t="s">
        <v>1469</v>
      </c>
      <c r="B403" s="2" t="s">
        <v>1470</v>
      </c>
      <c r="C403" s="4" t="s">
        <v>8</v>
      </c>
      <c r="D403" s="11">
        <v>40437</v>
      </c>
      <c r="E403" s="7" t="s">
        <v>1471</v>
      </c>
      <c r="F403" s="4" t="s">
        <v>4734</v>
      </c>
      <c r="G403" s="12" t="str">
        <f>IF(AND(Tabela1[[#This Row],[Data nascimento]]&gt;=$J$2,Tabela1[[#This Row],[Data nascimento]]&lt;=$I$2),"INFANTIL A",H403)</f>
        <v>JUVENIL</v>
      </c>
      <c r="H403" s="3" t="str">
        <f>IF(AND(Tabela1[[#This Row],[Data nascimento]]&gt;=$L$2,Tabela1[[#This Row],[Data nascimento]]&lt;=$K$2),"INFANTIL B",I403)</f>
        <v>JUVENIL</v>
      </c>
      <c r="I403" s="9" t="str">
        <f>IF(AND(Tabela1[[#This Row],[Data nascimento]]&gt;=$N$2,Tabela1[[#This Row],[Data nascimento]]&lt;=$M$2),"INICIADO",J403)</f>
        <v>JUVENIL</v>
      </c>
      <c r="J403" s="9" t="str">
        <f>IF(AND(Tabela1[[#This Row],[Data nascimento]]&gt;=$P$2,Tabela1[[#This Row],[Data nascimento]]&lt;=$O$2),"JUVENIL","JÚNIOR")</f>
        <v>JUVENIL</v>
      </c>
    </row>
    <row r="404" spans="1:10" ht="15" x14ac:dyDescent="0.4">
      <c r="A404" s="13" t="s">
        <v>1586</v>
      </c>
      <c r="B404" s="2" t="s">
        <v>1587</v>
      </c>
      <c r="C404" s="4" t="s">
        <v>8</v>
      </c>
      <c r="D404" s="11">
        <v>40202</v>
      </c>
      <c r="E404" s="7" t="s">
        <v>1588</v>
      </c>
      <c r="F404" s="4" t="s">
        <v>4734</v>
      </c>
      <c r="G404" s="12" t="str">
        <f>IF(AND(Tabela1[[#This Row],[Data nascimento]]&gt;=$J$2,Tabela1[[#This Row],[Data nascimento]]&lt;=$I$2),"INFANTIL A",H404)</f>
        <v>JUVENIL</v>
      </c>
      <c r="H404" s="3" t="str">
        <f>IF(AND(Tabela1[[#This Row],[Data nascimento]]&gt;=$L$2,Tabela1[[#This Row],[Data nascimento]]&lt;=$K$2),"INFANTIL B",I404)</f>
        <v>JUVENIL</v>
      </c>
      <c r="I404" s="9" t="str">
        <f>IF(AND(Tabela1[[#This Row],[Data nascimento]]&gt;=$N$2,Tabela1[[#This Row],[Data nascimento]]&lt;=$M$2),"INICIADO",J404)</f>
        <v>JUVENIL</v>
      </c>
      <c r="J404" s="9" t="str">
        <f>IF(AND(Tabela1[[#This Row],[Data nascimento]]&gt;=$P$2,Tabela1[[#This Row],[Data nascimento]]&lt;=$O$2),"JUVENIL","JÚNIOR")</f>
        <v>JUVENIL</v>
      </c>
    </row>
    <row r="405" spans="1:10" ht="15" x14ac:dyDescent="0.4">
      <c r="A405" s="13" t="s">
        <v>1589</v>
      </c>
      <c r="B405" s="2" t="s">
        <v>1590</v>
      </c>
      <c r="C405" s="4" t="s">
        <v>8</v>
      </c>
      <c r="D405" s="11">
        <v>40002</v>
      </c>
      <c r="E405" s="7" t="s">
        <v>1591</v>
      </c>
      <c r="F405" s="4" t="s">
        <v>4734</v>
      </c>
      <c r="G405" s="12" t="str">
        <f>IF(AND(Tabela1[[#This Row],[Data nascimento]]&gt;=$J$2,Tabela1[[#This Row],[Data nascimento]]&lt;=$I$2),"INFANTIL A",H405)</f>
        <v>JUVENIL</v>
      </c>
      <c r="H405" s="3" t="str">
        <f>IF(AND(Tabela1[[#This Row],[Data nascimento]]&gt;=$L$2,Tabela1[[#This Row],[Data nascimento]]&lt;=$K$2),"INFANTIL B",I405)</f>
        <v>JUVENIL</v>
      </c>
      <c r="I405" s="9" t="str">
        <f>IF(AND(Tabela1[[#This Row],[Data nascimento]]&gt;=$N$2,Tabela1[[#This Row],[Data nascimento]]&lt;=$M$2),"INICIADO",J405)</f>
        <v>JUVENIL</v>
      </c>
      <c r="J405" s="9" t="str">
        <f>IF(AND(Tabela1[[#This Row],[Data nascimento]]&gt;=$P$2,Tabela1[[#This Row],[Data nascimento]]&lt;=$O$2),"JUVENIL","JÚNIOR")</f>
        <v>JUVENIL</v>
      </c>
    </row>
    <row r="406" spans="1:10" ht="15" x14ac:dyDescent="0.4">
      <c r="A406" s="13" t="s">
        <v>4520</v>
      </c>
      <c r="B406" s="2" t="s">
        <v>4521</v>
      </c>
      <c r="C406" s="4" t="s">
        <v>21</v>
      </c>
      <c r="D406" s="11">
        <v>40150</v>
      </c>
      <c r="E406" s="7" t="s">
        <v>4522</v>
      </c>
      <c r="F406" s="4" t="s">
        <v>4722</v>
      </c>
      <c r="G406" s="12" t="str">
        <f>IF(AND(Tabela1[[#This Row],[Data nascimento]]&gt;=$J$2,Tabela1[[#This Row],[Data nascimento]]&lt;=$I$2),"INFANTIL A",H406)</f>
        <v>JUVENIL</v>
      </c>
      <c r="H406" s="3" t="str">
        <f>IF(AND(Tabela1[[#This Row],[Data nascimento]]&gt;=$L$2,Tabela1[[#This Row],[Data nascimento]]&lt;=$K$2),"INFANTIL B",I406)</f>
        <v>JUVENIL</v>
      </c>
      <c r="I406" s="9" t="str">
        <f>IF(AND(Tabela1[[#This Row],[Data nascimento]]&gt;=$N$2,Tabela1[[#This Row],[Data nascimento]]&lt;=$M$2),"INICIADO",J406)</f>
        <v>JUVENIL</v>
      </c>
      <c r="J406" s="9" t="str">
        <f>IF(AND(Tabela1[[#This Row],[Data nascimento]]&gt;=$P$2,Tabela1[[#This Row],[Data nascimento]]&lt;=$O$2),"JUVENIL","JÚNIOR")</f>
        <v>JUVENIL</v>
      </c>
    </row>
    <row r="407" spans="1:10" ht="15" x14ac:dyDescent="0.4">
      <c r="A407" s="13" t="s">
        <v>1592</v>
      </c>
      <c r="B407" s="2" t="s">
        <v>1593</v>
      </c>
      <c r="C407" s="4" t="s">
        <v>8</v>
      </c>
      <c r="D407" s="11">
        <v>40345</v>
      </c>
      <c r="E407" s="7" t="s">
        <v>1594</v>
      </c>
      <c r="F407" s="4" t="s">
        <v>4734</v>
      </c>
      <c r="G407" s="12" t="str">
        <f>IF(AND(Tabela1[[#This Row],[Data nascimento]]&gt;=$J$2,Tabela1[[#This Row],[Data nascimento]]&lt;=$I$2),"INFANTIL A",H407)</f>
        <v>JUVENIL</v>
      </c>
      <c r="H407" s="3" t="str">
        <f>IF(AND(Tabela1[[#This Row],[Data nascimento]]&gt;=$L$2,Tabela1[[#This Row],[Data nascimento]]&lt;=$K$2),"INFANTIL B",I407)</f>
        <v>JUVENIL</v>
      </c>
      <c r="I407" s="9" t="str">
        <f>IF(AND(Tabela1[[#This Row],[Data nascimento]]&gt;=$N$2,Tabela1[[#This Row],[Data nascimento]]&lt;=$M$2),"INICIADO",J407)</f>
        <v>JUVENIL</v>
      </c>
      <c r="J407" s="9" t="str">
        <f>IF(AND(Tabela1[[#This Row],[Data nascimento]]&gt;=$P$2,Tabela1[[#This Row],[Data nascimento]]&lt;=$O$2),"JUVENIL","JÚNIOR")</f>
        <v>JUVENIL</v>
      </c>
    </row>
    <row r="408" spans="1:10" ht="15" x14ac:dyDescent="0.4">
      <c r="A408" s="13" t="s">
        <v>1595</v>
      </c>
      <c r="B408" s="2" t="s">
        <v>1596</v>
      </c>
      <c r="C408" s="4" t="s">
        <v>8</v>
      </c>
      <c r="D408" s="11">
        <v>40310</v>
      </c>
      <c r="E408" s="7" t="s">
        <v>1597</v>
      </c>
      <c r="F408" s="4" t="s">
        <v>4734</v>
      </c>
      <c r="G408" s="12" t="str">
        <f>IF(AND(Tabela1[[#This Row],[Data nascimento]]&gt;=$J$2,Tabela1[[#This Row],[Data nascimento]]&lt;=$I$2),"INFANTIL A",H408)</f>
        <v>JUVENIL</v>
      </c>
      <c r="H408" s="3" t="str">
        <f>IF(AND(Tabela1[[#This Row],[Data nascimento]]&gt;=$L$2,Tabela1[[#This Row],[Data nascimento]]&lt;=$K$2),"INFANTIL B",I408)</f>
        <v>JUVENIL</v>
      </c>
      <c r="I408" s="9" t="str">
        <f>IF(AND(Tabela1[[#This Row],[Data nascimento]]&gt;=$N$2,Tabela1[[#This Row],[Data nascimento]]&lt;=$M$2),"INICIADO",J408)</f>
        <v>JUVENIL</v>
      </c>
      <c r="J408" s="9" t="str">
        <f>IF(AND(Tabela1[[#This Row],[Data nascimento]]&gt;=$P$2,Tabela1[[#This Row],[Data nascimento]]&lt;=$O$2),"JUVENIL","JÚNIOR")</f>
        <v>JUVENIL</v>
      </c>
    </row>
    <row r="409" spans="1:10" ht="15" x14ac:dyDescent="0.4">
      <c r="A409" s="13" t="s">
        <v>1598</v>
      </c>
      <c r="B409" s="2" t="s">
        <v>1599</v>
      </c>
      <c r="C409" s="4" t="s">
        <v>8</v>
      </c>
      <c r="D409" s="11">
        <v>40431</v>
      </c>
      <c r="E409" s="7" t="s">
        <v>1600</v>
      </c>
      <c r="F409" s="4" t="s">
        <v>4734</v>
      </c>
      <c r="G409" s="12" t="str">
        <f>IF(AND(Tabela1[[#This Row],[Data nascimento]]&gt;=$J$2,Tabela1[[#This Row],[Data nascimento]]&lt;=$I$2),"INFANTIL A",H409)</f>
        <v>JUVENIL</v>
      </c>
      <c r="H409" s="3" t="str">
        <f>IF(AND(Tabela1[[#This Row],[Data nascimento]]&gt;=$L$2,Tabela1[[#This Row],[Data nascimento]]&lt;=$K$2),"INFANTIL B",I409)</f>
        <v>JUVENIL</v>
      </c>
      <c r="I409" s="9" t="str">
        <f>IF(AND(Tabela1[[#This Row],[Data nascimento]]&gt;=$N$2,Tabela1[[#This Row],[Data nascimento]]&lt;=$M$2),"INICIADO",J409)</f>
        <v>JUVENIL</v>
      </c>
      <c r="J409" s="9" t="str">
        <f>IF(AND(Tabela1[[#This Row],[Data nascimento]]&gt;=$P$2,Tabela1[[#This Row],[Data nascimento]]&lt;=$O$2),"JUVENIL","JÚNIOR")</f>
        <v>JUVENIL</v>
      </c>
    </row>
    <row r="410" spans="1:10" ht="15" x14ac:dyDescent="0.4">
      <c r="A410" s="13" t="s">
        <v>4553</v>
      </c>
      <c r="B410" s="2" t="s">
        <v>4554</v>
      </c>
      <c r="C410" s="4" t="s">
        <v>21</v>
      </c>
      <c r="D410" s="11">
        <v>40506</v>
      </c>
      <c r="E410" s="7" t="s">
        <v>4555</v>
      </c>
      <c r="F410" s="4" t="s">
        <v>4728</v>
      </c>
      <c r="G410" s="12" t="str">
        <f>IF(AND(Tabela1[[#This Row],[Data nascimento]]&gt;=$J$2,Tabela1[[#This Row],[Data nascimento]]&lt;=$I$2),"INFANTIL A",H410)</f>
        <v>JUVENIL</v>
      </c>
      <c r="H410" s="3" t="str">
        <f>IF(AND(Tabela1[[#This Row],[Data nascimento]]&gt;=$L$2,Tabela1[[#This Row],[Data nascimento]]&lt;=$K$2),"INFANTIL B",I410)</f>
        <v>JUVENIL</v>
      </c>
      <c r="I410" s="9" t="str">
        <f>IF(AND(Tabela1[[#This Row],[Data nascimento]]&gt;=$N$2,Tabela1[[#This Row],[Data nascimento]]&lt;=$M$2),"INICIADO",J410)</f>
        <v>JUVENIL</v>
      </c>
      <c r="J410" s="9" t="str">
        <f>IF(AND(Tabela1[[#This Row],[Data nascimento]]&gt;=$P$2,Tabela1[[#This Row],[Data nascimento]]&lt;=$O$2),"JUVENIL","JÚNIOR")</f>
        <v>JUVENIL</v>
      </c>
    </row>
    <row r="411" spans="1:10" ht="15" x14ac:dyDescent="0.4">
      <c r="A411" s="13" t="s">
        <v>1601</v>
      </c>
      <c r="B411" s="2" t="s">
        <v>1602</v>
      </c>
      <c r="C411" s="4" t="s">
        <v>8</v>
      </c>
      <c r="D411" s="11">
        <v>40487</v>
      </c>
      <c r="E411" s="7" t="s">
        <v>1603</v>
      </c>
      <c r="F411" s="4" t="s">
        <v>4734</v>
      </c>
      <c r="G411" s="12" t="str">
        <f>IF(AND(Tabela1[[#This Row],[Data nascimento]]&gt;=$J$2,Tabela1[[#This Row],[Data nascimento]]&lt;=$I$2),"INFANTIL A",H411)</f>
        <v>JUVENIL</v>
      </c>
      <c r="H411" s="3" t="str">
        <f>IF(AND(Tabela1[[#This Row],[Data nascimento]]&gt;=$L$2,Tabela1[[#This Row],[Data nascimento]]&lt;=$K$2),"INFANTIL B",I411)</f>
        <v>JUVENIL</v>
      </c>
      <c r="I411" s="9" t="str">
        <f>IF(AND(Tabela1[[#This Row],[Data nascimento]]&gt;=$N$2,Tabela1[[#This Row],[Data nascimento]]&lt;=$M$2),"INICIADO",J411)</f>
        <v>JUVENIL</v>
      </c>
      <c r="J411" s="9" t="str">
        <f>IF(AND(Tabela1[[#This Row],[Data nascimento]]&gt;=$P$2,Tabela1[[#This Row],[Data nascimento]]&lt;=$O$2),"JUVENIL","JÚNIOR")</f>
        <v>JUVENIL</v>
      </c>
    </row>
    <row r="412" spans="1:10" ht="15" x14ac:dyDescent="0.4">
      <c r="A412" s="13" t="s">
        <v>1664</v>
      </c>
      <c r="B412" s="2" t="s">
        <v>1665</v>
      </c>
      <c r="C412" s="4" t="s">
        <v>8</v>
      </c>
      <c r="D412" s="11">
        <v>40536</v>
      </c>
      <c r="E412" s="7" t="s">
        <v>1666</v>
      </c>
      <c r="F412" s="4" t="s">
        <v>4734</v>
      </c>
      <c r="G412" s="12" t="str">
        <f>IF(AND(Tabela1[[#This Row],[Data nascimento]]&gt;=$J$2,Tabela1[[#This Row],[Data nascimento]]&lt;=$I$2),"INFANTIL A",H412)</f>
        <v>JUVENIL</v>
      </c>
      <c r="H412" s="3" t="str">
        <f>IF(AND(Tabela1[[#This Row],[Data nascimento]]&gt;=$L$2,Tabela1[[#This Row],[Data nascimento]]&lt;=$K$2),"INFANTIL B",I412)</f>
        <v>JUVENIL</v>
      </c>
      <c r="I412" s="9" t="str">
        <f>IF(AND(Tabela1[[#This Row],[Data nascimento]]&gt;=$N$2,Tabela1[[#This Row],[Data nascimento]]&lt;=$M$2),"INICIADO",J412)</f>
        <v>JUVENIL</v>
      </c>
      <c r="J412" s="9" t="str">
        <f>IF(AND(Tabela1[[#This Row],[Data nascimento]]&gt;=$P$2,Tabela1[[#This Row],[Data nascimento]]&lt;=$O$2),"JUVENIL","JÚNIOR")</f>
        <v>JUVENIL</v>
      </c>
    </row>
    <row r="413" spans="1:10" ht="15" x14ac:dyDescent="0.4">
      <c r="A413" s="13" t="s">
        <v>4379</v>
      </c>
      <c r="B413" s="2" t="s">
        <v>4380</v>
      </c>
      <c r="C413" s="4" t="s">
        <v>21</v>
      </c>
      <c r="D413" s="11">
        <v>40258</v>
      </c>
      <c r="E413" s="7" t="s">
        <v>4381</v>
      </c>
      <c r="F413" s="4" t="s">
        <v>4718</v>
      </c>
      <c r="G413" s="12" t="str">
        <f>IF(AND(Tabela1[[#This Row],[Data nascimento]]&gt;=$J$2,Tabela1[[#This Row],[Data nascimento]]&lt;=$I$2),"INFANTIL A",H413)</f>
        <v>JUVENIL</v>
      </c>
      <c r="H413" s="3" t="str">
        <f>IF(AND(Tabela1[[#This Row],[Data nascimento]]&gt;=$L$2,Tabela1[[#This Row],[Data nascimento]]&lt;=$K$2),"INFANTIL B",I413)</f>
        <v>JUVENIL</v>
      </c>
      <c r="I413" s="9" t="str">
        <f>IF(AND(Tabela1[[#This Row],[Data nascimento]]&gt;=$N$2,Tabela1[[#This Row],[Data nascimento]]&lt;=$M$2),"INICIADO",J413)</f>
        <v>JUVENIL</v>
      </c>
      <c r="J413" s="9" t="str">
        <f>IF(AND(Tabela1[[#This Row],[Data nascimento]]&gt;=$P$2,Tabela1[[#This Row],[Data nascimento]]&lt;=$O$2),"JUVENIL","JÚNIOR")</f>
        <v>JUVENIL</v>
      </c>
    </row>
    <row r="414" spans="1:10" ht="15" x14ac:dyDescent="0.4">
      <c r="A414" s="13" t="s">
        <v>4595</v>
      </c>
      <c r="B414" s="2" t="s">
        <v>4596</v>
      </c>
      <c r="C414" s="4" t="s">
        <v>21</v>
      </c>
      <c r="D414" s="11">
        <v>40472</v>
      </c>
      <c r="E414" s="7" t="s">
        <v>4597</v>
      </c>
      <c r="F414" s="4" t="s">
        <v>4723</v>
      </c>
      <c r="G414" s="12" t="str">
        <f>IF(AND(Tabela1[[#This Row],[Data nascimento]]&gt;=$J$2,Tabela1[[#This Row],[Data nascimento]]&lt;=$I$2),"INFANTIL A",H414)</f>
        <v>JUVENIL</v>
      </c>
      <c r="H414" s="3" t="str">
        <f>IF(AND(Tabela1[[#This Row],[Data nascimento]]&gt;=$L$2,Tabela1[[#This Row],[Data nascimento]]&lt;=$K$2),"INFANTIL B",I414)</f>
        <v>JUVENIL</v>
      </c>
      <c r="I414" s="9" t="str">
        <f>IF(AND(Tabela1[[#This Row],[Data nascimento]]&gt;=$N$2,Tabela1[[#This Row],[Data nascimento]]&lt;=$M$2),"INICIADO",J414)</f>
        <v>JUVENIL</v>
      </c>
      <c r="J414" s="9" t="str">
        <f>IF(AND(Tabela1[[#This Row],[Data nascimento]]&gt;=$P$2,Tabela1[[#This Row],[Data nascimento]]&lt;=$O$2),"JUVENIL","JÚNIOR")</f>
        <v>JUVENIL</v>
      </c>
    </row>
    <row r="415" spans="1:10" ht="15" x14ac:dyDescent="0.4">
      <c r="A415" s="13" t="s">
        <v>4613</v>
      </c>
      <c r="B415" s="2" t="s">
        <v>4614</v>
      </c>
      <c r="C415" s="4" t="s">
        <v>21</v>
      </c>
      <c r="D415" s="11">
        <v>39989</v>
      </c>
      <c r="E415" s="7" t="s">
        <v>4615</v>
      </c>
      <c r="F415" s="4" t="s">
        <v>4725</v>
      </c>
      <c r="G415" s="12" t="str">
        <f>IF(AND(Tabela1[[#This Row],[Data nascimento]]&gt;=$J$2,Tabela1[[#This Row],[Data nascimento]]&lt;=$I$2),"INFANTIL A",H415)</f>
        <v>JUVENIL</v>
      </c>
      <c r="H415" s="3" t="str">
        <f>IF(AND(Tabela1[[#This Row],[Data nascimento]]&gt;=$L$2,Tabela1[[#This Row],[Data nascimento]]&lt;=$K$2),"INFANTIL B",I415)</f>
        <v>JUVENIL</v>
      </c>
      <c r="I415" s="9" t="str">
        <f>IF(AND(Tabela1[[#This Row],[Data nascimento]]&gt;=$N$2,Tabela1[[#This Row],[Data nascimento]]&lt;=$M$2),"INICIADO",J415)</f>
        <v>JUVENIL</v>
      </c>
      <c r="J415" s="9" t="str">
        <f>IF(AND(Tabela1[[#This Row],[Data nascimento]]&gt;=$P$2,Tabela1[[#This Row],[Data nascimento]]&lt;=$O$2),"JUVENIL","JÚNIOR")</f>
        <v>JUVENIL</v>
      </c>
    </row>
    <row r="416" spans="1:10" ht="15" x14ac:dyDescent="0.4">
      <c r="A416" s="13" t="s">
        <v>4631</v>
      </c>
      <c r="B416" s="2" t="s">
        <v>4632</v>
      </c>
      <c r="C416" s="4" t="s">
        <v>21</v>
      </c>
      <c r="D416" s="11">
        <v>40007</v>
      </c>
      <c r="E416" s="7" t="s">
        <v>4633</v>
      </c>
      <c r="F416" s="4" t="s">
        <v>4727</v>
      </c>
      <c r="G416" s="12" t="str">
        <f>IF(AND(Tabela1[[#This Row],[Data nascimento]]&gt;=$J$2,Tabela1[[#This Row],[Data nascimento]]&lt;=$I$2),"INFANTIL A",H416)</f>
        <v>JUVENIL</v>
      </c>
      <c r="H416" s="3" t="str">
        <f>IF(AND(Tabela1[[#This Row],[Data nascimento]]&gt;=$L$2,Tabela1[[#This Row],[Data nascimento]]&lt;=$K$2),"INFANTIL B",I416)</f>
        <v>JUVENIL</v>
      </c>
      <c r="I416" s="9" t="str">
        <f>IF(AND(Tabela1[[#This Row],[Data nascimento]]&gt;=$N$2,Tabela1[[#This Row],[Data nascimento]]&lt;=$M$2),"INICIADO",J416)</f>
        <v>JUVENIL</v>
      </c>
      <c r="J416" s="9" t="str">
        <f>IF(AND(Tabela1[[#This Row],[Data nascimento]]&gt;=$P$2,Tabela1[[#This Row],[Data nascimento]]&lt;=$O$2),"JUVENIL","JÚNIOR")</f>
        <v>JUVENIL</v>
      </c>
    </row>
    <row r="417" spans="1:10" ht="15" x14ac:dyDescent="0.4">
      <c r="A417" s="13" t="s">
        <v>1697</v>
      </c>
      <c r="B417" s="2" t="s">
        <v>1698</v>
      </c>
      <c r="C417" s="4" t="s">
        <v>8</v>
      </c>
      <c r="D417" s="11">
        <v>40340</v>
      </c>
      <c r="E417" s="7" t="s">
        <v>1699</v>
      </c>
      <c r="F417" s="4" t="s">
        <v>4734</v>
      </c>
      <c r="G417" s="12" t="str">
        <f>IF(AND(Tabela1[[#This Row],[Data nascimento]]&gt;=$J$2,Tabela1[[#This Row],[Data nascimento]]&lt;=$I$2),"INFANTIL A",H417)</f>
        <v>JUVENIL</v>
      </c>
      <c r="H417" s="3" t="str">
        <f>IF(AND(Tabela1[[#This Row],[Data nascimento]]&gt;=$L$2,Tabela1[[#This Row],[Data nascimento]]&lt;=$K$2),"INFANTIL B",I417)</f>
        <v>JUVENIL</v>
      </c>
      <c r="I417" s="9" t="str">
        <f>IF(AND(Tabela1[[#This Row],[Data nascimento]]&gt;=$N$2,Tabela1[[#This Row],[Data nascimento]]&lt;=$M$2),"INICIADO",J417)</f>
        <v>JUVENIL</v>
      </c>
      <c r="J417" s="9" t="str">
        <f>IF(AND(Tabela1[[#This Row],[Data nascimento]]&gt;=$P$2,Tabela1[[#This Row],[Data nascimento]]&lt;=$O$2),"JUVENIL","JÚNIOR")</f>
        <v>JUVENIL</v>
      </c>
    </row>
    <row r="418" spans="1:10" ht="15" x14ac:dyDescent="0.4">
      <c r="A418" s="13" t="s">
        <v>4643</v>
      </c>
      <c r="B418" s="2" t="s">
        <v>4644</v>
      </c>
      <c r="C418" s="4" t="s">
        <v>21</v>
      </c>
      <c r="D418" s="11">
        <v>39694</v>
      </c>
      <c r="E418" s="7" t="s">
        <v>4645</v>
      </c>
      <c r="F418" s="4" t="s">
        <v>4728</v>
      </c>
      <c r="G418" s="12" t="str">
        <f>IF(AND(Tabela1[[#This Row],[Data nascimento]]&gt;=$J$2,Tabela1[[#This Row],[Data nascimento]]&lt;=$I$2),"INFANTIL A",H418)</f>
        <v>JUVENIL</v>
      </c>
      <c r="H418" s="3" t="str">
        <f>IF(AND(Tabela1[[#This Row],[Data nascimento]]&gt;=$L$2,Tabela1[[#This Row],[Data nascimento]]&lt;=$K$2),"INFANTIL B",I418)</f>
        <v>JUVENIL</v>
      </c>
      <c r="I418" s="9" t="str">
        <f>IF(AND(Tabela1[[#This Row],[Data nascimento]]&gt;=$N$2,Tabela1[[#This Row],[Data nascimento]]&lt;=$M$2),"INICIADO",J418)</f>
        <v>JUVENIL</v>
      </c>
      <c r="J418" s="9" t="str">
        <f>IF(AND(Tabela1[[#This Row],[Data nascimento]]&gt;=$P$2,Tabela1[[#This Row],[Data nascimento]]&lt;=$O$2),"JUVENIL","JÚNIOR")</f>
        <v>JUVENIL</v>
      </c>
    </row>
    <row r="419" spans="1:10" ht="15" x14ac:dyDescent="0.4">
      <c r="A419" s="13" t="s">
        <v>1760</v>
      </c>
      <c r="B419" s="2" t="s">
        <v>1761</v>
      </c>
      <c r="C419" s="4" t="s">
        <v>8</v>
      </c>
      <c r="D419" s="11">
        <v>40431</v>
      </c>
      <c r="E419" s="7" t="s">
        <v>1762</v>
      </c>
      <c r="F419" s="4" t="s">
        <v>4734</v>
      </c>
      <c r="G419" s="12" t="str">
        <f>IF(AND(Tabela1[[#This Row],[Data nascimento]]&gt;=$J$2,Tabela1[[#This Row],[Data nascimento]]&lt;=$I$2),"INFANTIL A",H419)</f>
        <v>JUVENIL</v>
      </c>
      <c r="H419" s="3" t="str">
        <f>IF(AND(Tabela1[[#This Row],[Data nascimento]]&gt;=$L$2,Tabela1[[#This Row],[Data nascimento]]&lt;=$K$2),"INFANTIL B",I419)</f>
        <v>JUVENIL</v>
      </c>
      <c r="I419" s="9" t="str">
        <f>IF(AND(Tabela1[[#This Row],[Data nascimento]]&gt;=$N$2,Tabela1[[#This Row],[Data nascimento]]&lt;=$M$2),"INICIADO",J419)</f>
        <v>JUVENIL</v>
      </c>
      <c r="J419" s="9" t="str">
        <f>IF(AND(Tabela1[[#This Row],[Data nascimento]]&gt;=$P$2,Tabela1[[#This Row],[Data nascimento]]&lt;=$O$2),"JUVENIL","JÚNIOR")</f>
        <v>JUVENIL</v>
      </c>
    </row>
    <row r="420" spans="1:10" ht="15" x14ac:dyDescent="0.4">
      <c r="A420" s="13" t="s">
        <v>4649</v>
      </c>
      <c r="B420" s="2" t="s">
        <v>4650</v>
      </c>
      <c r="C420" s="4" t="s">
        <v>21</v>
      </c>
      <c r="D420" s="11">
        <v>40121</v>
      </c>
      <c r="E420" s="7" t="s">
        <v>4651</v>
      </c>
      <c r="F420" s="4" t="s">
        <v>4724</v>
      </c>
      <c r="G420" s="12" t="str">
        <f>IF(AND(Tabela1[[#This Row],[Data nascimento]]&gt;=$J$2,Tabela1[[#This Row],[Data nascimento]]&lt;=$I$2),"INFANTIL A",H420)</f>
        <v>JUVENIL</v>
      </c>
      <c r="H420" s="3" t="str">
        <f>IF(AND(Tabela1[[#This Row],[Data nascimento]]&gt;=$L$2,Tabela1[[#This Row],[Data nascimento]]&lt;=$K$2),"INFANTIL B",I420)</f>
        <v>JUVENIL</v>
      </c>
      <c r="I420" s="9" t="str">
        <f>IF(AND(Tabela1[[#This Row],[Data nascimento]]&gt;=$N$2,Tabela1[[#This Row],[Data nascimento]]&lt;=$M$2),"INICIADO",J420)</f>
        <v>JUVENIL</v>
      </c>
      <c r="J420" s="9" t="str">
        <f>IF(AND(Tabela1[[#This Row],[Data nascimento]]&gt;=$P$2,Tabela1[[#This Row],[Data nascimento]]&lt;=$O$2),"JUVENIL","JÚNIOR")</f>
        <v>JUVENIL</v>
      </c>
    </row>
    <row r="421" spans="1:10" ht="15" x14ac:dyDescent="0.4">
      <c r="A421" s="13" t="s">
        <v>1154</v>
      </c>
      <c r="B421" s="2" t="s">
        <v>1155</v>
      </c>
      <c r="C421" s="4" t="s">
        <v>8</v>
      </c>
      <c r="D421" s="11">
        <v>39750</v>
      </c>
      <c r="E421" s="7" t="s">
        <v>1156</v>
      </c>
      <c r="F421" s="4" t="s">
        <v>4713</v>
      </c>
      <c r="G421" s="12" t="str">
        <f>IF(AND(Tabela1[[#This Row],[Data nascimento]]&gt;=$J$2,Tabela1[[#This Row],[Data nascimento]]&lt;=$I$2),"INFANTIL A",H421)</f>
        <v>JUVENIL</v>
      </c>
      <c r="H421" s="3" t="str">
        <f>IF(AND(Tabela1[[#This Row],[Data nascimento]]&gt;=$L$2,Tabela1[[#This Row],[Data nascimento]]&lt;=$K$2),"INFANTIL B",I421)</f>
        <v>JUVENIL</v>
      </c>
      <c r="I421" s="9" t="str">
        <f>IF(AND(Tabela1[[#This Row],[Data nascimento]]&gt;=$N$2,Tabela1[[#This Row],[Data nascimento]]&lt;=$M$2),"INICIADO",J421)</f>
        <v>JUVENIL</v>
      </c>
      <c r="J421" s="9" t="str">
        <f>IF(AND(Tabela1[[#This Row],[Data nascimento]]&gt;=$P$2,Tabela1[[#This Row],[Data nascimento]]&lt;=$O$2),"JUVENIL","JÚNIOR")</f>
        <v>JUVENIL</v>
      </c>
    </row>
    <row r="422" spans="1:10" ht="15" x14ac:dyDescent="0.4">
      <c r="A422" s="13" t="s">
        <v>4667</v>
      </c>
      <c r="B422" s="2" t="s">
        <v>4668</v>
      </c>
      <c r="C422" s="4" t="s">
        <v>21</v>
      </c>
      <c r="D422" s="11">
        <v>40143</v>
      </c>
      <c r="E422" s="7" t="s">
        <v>4669</v>
      </c>
      <c r="F422" s="4" t="s">
        <v>4728</v>
      </c>
      <c r="G422" s="12" t="str">
        <f>IF(AND(Tabela1[[#This Row],[Data nascimento]]&gt;=$J$2,Tabela1[[#This Row],[Data nascimento]]&lt;=$I$2),"INFANTIL A",H422)</f>
        <v>JUVENIL</v>
      </c>
      <c r="H422" s="3" t="str">
        <f>IF(AND(Tabela1[[#This Row],[Data nascimento]]&gt;=$L$2,Tabela1[[#This Row],[Data nascimento]]&lt;=$K$2),"INFANTIL B",I422)</f>
        <v>JUVENIL</v>
      </c>
      <c r="I422" s="9" t="str">
        <f>IF(AND(Tabela1[[#This Row],[Data nascimento]]&gt;=$N$2,Tabela1[[#This Row],[Data nascimento]]&lt;=$M$2),"INICIADO",J422)</f>
        <v>JUVENIL</v>
      </c>
      <c r="J422" s="9" t="str">
        <f>IF(AND(Tabela1[[#This Row],[Data nascimento]]&gt;=$P$2,Tabela1[[#This Row],[Data nascimento]]&lt;=$O$2),"JUVENIL","JÚNIOR")</f>
        <v>JUVENIL</v>
      </c>
    </row>
    <row r="423" spans="1:10" ht="15" x14ac:dyDescent="0.4">
      <c r="A423" s="13" t="s">
        <v>4673</v>
      </c>
      <c r="B423" s="2" t="s">
        <v>4674</v>
      </c>
      <c r="C423" s="4" t="s">
        <v>21</v>
      </c>
      <c r="D423" s="11">
        <v>40215</v>
      </c>
      <c r="E423" s="7" t="s">
        <v>4675</v>
      </c>
      <c r="F423" s="4" t="s">
        <v>4722</v>
      </c>
      <c r="G423" s="12" t="str">
        <f>IF(AND(Tabela1[[#This Row],[Data nascimento]]&gt;=$J$2,Tabela1[[#This Row],[Data nascimento]]&lt;=$I$2),"INFANTIL A",H423)</f>
        <v>JUVENIL</v>
      </c>
      <c r="H423" s="3" t="str">
        <f>IF(AND(Tabela1[[#This Row],[Data nascimento]]&gt;=$L$2,Tabela1[[#This Row],[Data nascimento]]&lt;=$K$2),"INFANTIL B",I423)</f>
        <v>JUVENIL</v>
      </c>
      <c r="I423" s="9" t="str">
        <f>IF(AND(Tabela1[[#This Row],[Data nascimento]]&gt;=$N$2,Tabela1[[#This Row],[Data nascimento]]&lt;=$M$2),"INICIADO",J423)</f>
        <v>JUVENIL</v>
      </c>
      <c r="J423" s="9" t="str">
        <f>IF(AND(Tabela1[[#This Row],[Data nascimento]]&gt;=$P$2,Tabela1[[#This Row],[Data nascimento]]&lt;=$O$2),"JUVENIL","JÚNIOR")</f>
        <v>JUVENIL</v>
      </c>
    </row>
    <row r="424" spans="1:10" ht="15" x14ac:dyDescent="0.4">
      <c r="A424" s="13" t="s">
        <v>1160</v>
      </c>
      <c r="B424" s="2" t="s">
        <v>1161</v>
      </c>
      <c r="C424" s="4" t="s">
        <v>8</v>
      </c>
      <c r="D424" s="11">
        <v>39952</v>
      </c>
      <c r="E424" s="7" t="s">
        <v>1162</v>
      </c>
      <c r="F424" s="4" t="s">
        <v>4713</v>
      </c>
      <c r="G424" s="12" t="str">
        <f>IF(AND(Tabela1[[#This Row],[Data nascimento]]&gt;=$J$2,Tabela1[[#This Row],[Data nascimento]]&lt;=$I$2),"INFANTIL A",H424)</f>
        <v>JUVENIL</v>
      </c>
      <c r="H424" s="3" t="str">
        <f>IF(AND(Tabela1[[#This Row],[Data nascimento]]&gt;=$L$2,Tabela1[[#This Row],[Data nascimento]]&lt;=$K$2),"INFANTIL B",I424)</f>
        <v>JUVENIL</v>
      </c>
      <c r="I424" s="9" t="str">
        <f>IF(AND(Tabela1[[#This Row],[Data nascimento]]&gt;=$N$2,Tabela1[[#This Row],[Data nascimento]]&lt;=$M$2),"INICIADO",J424)</f>
        <v>JUVENIL</v>
      </c>
      <c r="J424" s="9" t="str">
        <f>IF(AND(Tabela1[[#This Row],[Data nascimento]]&gt;=$P$2,Tabela1[[#This Row],[Data nascimento]]&lt;=$O$2),"JUVENIL","JÚNIOR")</f>
        <v>JUVENIL</v>
      </c>
    </row>
    <row r="425" spans="1:10" ht="15" x14ac:dyDescent="0.4">
      <c r="A425" s="13" t="s">
        <v>1178</v>
      </c>
      <c r="B425" s="2" t="s">
        <v>1179</v>
      </c>
      <c r="C425" s="4" t="s">
        <v>8</v>
      </c>
      <c r="D425" s="11">
        <v>40284</v>
      </c>
      <c r="E425" s="7" t="s">
        <v>1180</v>
      </c>
      <c r="F425" s="4" t="s">
        <v>4713</v>
      </c>
      <c r="G425" s="12" t="str">
        <f>IF(AND(Tabela1[[#This Row],[Data nascimento]]&gt;=$J$2,Tabela1[[#This Row],[Data nascimento]]&lt;=$I$2),"INFANTIL A",H425)</f>
        <v>JUVENIL</v>
      </c>
      <c r="H425" s="3" t="str">
        <f>IF(AND(Tabela1[[#This Row],[Data nascimento]]&gt;=$L$2,Tabela1[[#This Row],[Data nascimento]]&lt;=$K$2),"INFANTIL B",I425)</f>
        <v>JUVENIL</v>
      </c>
      <c r="I425" s="9" t="str">
        <f>IF(AND(Tabela1[[#This Row],[Data nascimento]]&gt;=$N$2,Tabela1[[#This Row],[Data nascimento]]&lt;=$M$2),"INICIADO",J425)</f>
        <v>JUVENIL</v>
      </c>
      <c r="J425" s="9" t="str">
        <f>IF(AND(Tabela1[[#This Row],[Data nascimento]]&gt;=$P$2,Tabela1[[#This Row],[Data nascimento]]&lt;=$O$2),"JUVENIL","JÚNIOR")</f>
        <v>JUVENIL</v>
      </c>
    </row>
    <row r="426" spans="1:10" ht="15" x14ac:dyDescent="0.4">
      <c r="A426" s="13" t="s">
        <v>1499</v>
      </c>
      <c r="B426" s="2" t="s">
        <v>1500</v>
      </c>
      <c r="C426" s="4" t="s">
        <v>21</v>
      </c>
      <c r="D426" s="11">
        <v>40423</v>
      </c>
      <c r="E426" s="7" t="s">
        <v>1501</v>
      </c>
      <c r="F426" s="4" t="s">
        <v>4730</v>
      </c>
      <c r="G426" s="12" t="str">
        <f>IF(AND(Tabela1[[#This Row],[Data nascimento]]&gt;=$J$2,Tabela1[[#This Row],[Data nascimento]]&lt;=$I$2),"INFANTIL A",H426)</f>
        <v>JUVENIL</v>
      </c>
      <c r="H426" s="3" t="str">
        <f>IF(AND(Tabela1[[#This Row],[Data nascimento]]&gt;=$L$2,Tabela1[[#This Row],[Data nascimento]]&lt;=$K$2),"INFANTIL B",I426)</f>
        <v>JUVENIL</v>
      </c>
      <c r="I426" s="9" t="str">
        <f>IF(AND(Tabela1[[#This Row],[Data nascimento]]&gt;=$N$2,Tabela1[[#This Row],[Data nascimento]]&lt;=$M$2),"INICIADO",J426)</f>
        <v>JUVENIL</v>
      </c>
      <c r="J426" s="9" t="str">
        <f>IF(AND(Tabela1[[#This Row],[Data nascimento]]&gt;=$P$2,Tabela1[[#This Row],[Data nascimento]]&lt;=$O$2),"JUVENIL","JÚNIOR")</f>
        <v>JUVENIL</v>
      </c>
    </row>
    <row r="427" spans="1:10" ht="15" x14ac:dyDescent="0.4">
      <c r="A427" s="13" t="s">
        <v>1211</v>
      </c>
      <c r="B427" s="2" t="s">
        <v>1212</v>
      </c>
      <c r="C427" s="4" t="s">
        <v>8</v>
      </c>
      <c r="D427" s="11">
        <v>40308</v>
      </c>
      <c r="E427" s="7" t="s">
        <v>1213</v>
      </c>
      <c r="F427" s="4" t="s">
        <v>4713</v>
      </c>
      <c r="G427" s="12" t="str">
        <f>IF(AND(Tabela1[[#This Row],[Data nascimento]]&gt;=$J$2,Tabela1[[#This Row],[Data nascimento]]&lt;=$I$2),"INFANTIL A",H427)</f>
        <v>JUVENIL</v>
      </c>
      <c r="H427" s="3" t="str">
        <f>IF(AND(Tabela1[[#This Row],[Data nascimento]]&gt;=$L$2,Tabela1[[#This Row],[Data nascimento]]&lt;=$K$2),"INFANTIL B",I427)</f>
        <v>JUVENIL</v>
      </c>
      <c r="I427" s="9" t="str">
        <f>IF(AND(Tabela1[[#This Row],[Data nascimento]]&gt;=$N$2,Tabela1[[#This Row],[Data nascimento]]&lt;=$M$2),"INICIADO",J427)</f>
        <v>JUVENIL</v>
      </c>
      <c r="J427" s="9" t="str">
        <f>IF(AND(Tabela1[[#This Row],[Data nascimento]]&gt;=$P$2,Tabela1[[#This Row],[Data nascimento]]&lt;=$O$2),"JUVENIL","JÚNIOR")</f>
        <v>JUVENIL</v>
      </c>
    </row>
    <row r="428" spans="1:10" ht="15" x14ac:dyDescent="0.4">
      <c r="A428" s="13" t="s">
        <v>1361</v>
      </c>
      <c r="B428" s="2" t="s">
        <v>1362</v>
      </c>
      <c r="C428" s="4" t="s">
        <v>8</v>
      </c>
      <c r="D428" s="11">
        <v>40296</v>
      </c>
      <c r="E428" s="7" t="s">
        <v>1363</v>
      </c>
      <c r="F428" s="4" t="s">
        <v>4713</v>
      </c>
      <c r="G428" s="12" t="str">
        <f>IF(AND(Tabela1[[#This Row],[Data nascimento]]&gt;=$J$2,Tabela1[[#This Row],[Data nascimento]]&lt;=$I$2),"INFANTIL A",H428)</f>
        <v>JUVENIL</v>
      </c>
      <c r="H428" s="3" t="str">
        <f>IF(AND(Tabela1[[#This Row],[Data nascimento]]&gt;=$L$2,Tabela1[[#This Row],[Data nascimento]]&lt;=$K$2),"INFANTIL B",I428)</f>
        <v>JUVENIL</v>
      </c>
      <c r="I428" s="9" t="str">
        <f>IF(AND(Tabela1[[#This Row],[Data nascimento]]&gt;=$N$2,Tabela1[[#This Row],[Data nascimento]]&lt;=$M$2),"INICIADO",J428)</f>
        <v>JUVENIL</v>
      </c>
      <c r="J428" s="9" t="str">
        <f>IF(AND(Tabela1[[#This Row],[Data nascimento]]&gt;=$P$2,Tabela1[[#This Row],[Data nascimento]]&lt;=$O$2),"JUVENIL","JÚNIOR")</f>
        <v>JUVENIL</v>
      </c>
    </row>
    <row r="429" spans="1:10" ht="15" x14ac:dyDescent="0.4">
      <c r="A429" s="13" t="s">
        <v>1478</v>
      </c>
      <c r="B429" s="2" t="s">
        <v>1479</v>
      </c>
      <c r="C429" s="4" t="s">
        <v>8</v>
      </c>
      <c r="D429" s="11">
        <v>39835</v>
      </c>
      <c r="E429" s="7" t="s">
        <v>1480</v>
      </c>
      <c r="F429" s="4" t="s">
        <v>4713</v>
      </c>
      <c r="G429" s="12" t="str">
        <f>IF(AND(Tabela1[[#This Row],[Data nascimento]]&gt;=$J$2,Tabela1[[#This Row],[Data nascimento]]&lt;=$I$2),"INFANTIL A",H429)</f>
        <v>JUVENIL</v>
      </c>
      <c r="H429" s="3" t="str">
        <f>IF(AND(Tabela1[[#This Row],[Data nascimento]]&gt;=$L$2,Tabela1[[#This Row],[Data nascimento]]&lt;=$K$2),"INFANTIL B",I429)</f>
        <v>JUVENIL</v>
      </c>
      <c r="I429" s="9" t="str">
        <f>IF(AND(Tabela1[[#This Row],[Data nascimento]]&gt;=$N$2,Tabela1[[#This Row],[Data nascimento]]&lt;=$M$2),"INICIADO",J429)</f>
        <v>JUVENIL</v>
      </c>
      <c r="J429" s="9" t="str">
        <f>IF(AND(Tabela1[[#This Row],[Data nascimento]]&gt;=$P$2,Tabela1[[#This Row],[Data nascimento]]&lt;=$O$2),"JUVENIL","JÚNIOR")</f>
        <v>JUVENIL</v>
      </c>
    </row>
    <row r="430" spans="1:10" ht="15" x14ac:dyDescent="0.4">
      <c r="A430" s="13" t="s">
        <v>1658</v>
      </c>
      <c r="B430" s="2" t="s">
        <v>1659</v>
      </c>
      <c r="C430" s="4" t="s">
        <v>8</v>
      </c>
      <c r="D430" s="11">
        <v>40040</v>
      </c>
      <c r="E430" s="7" t="s">
        <v>1660</v>
      </c>
      <c r="F430" s="4" t="s">
        <v>4713</v>
      </c>
      <c r="G430" s="12" t="str">
        <f>IF(AND(Tabela1[[#This Row],[Data nascimento]]&gt;=$J$2,Tabela1[[#This Row],[Data nascimento]]&lt;=$I$2),"INFANTIL A",H430)</f>
        <v>JUVENIL</v>
      </c>
      <c r="H430" s="3" t="str">
        <f>IF(AND(Tabela1[[#This Row],[Data nascimento]]&gt;=$L$2,Tabela1[[#This Row],[Data nascimento]]&lt;=$K$2),"INFANTIL B",I430)</f>
        <v>JUVENIL</v>
      </c>
      <c r="I430" s="9" t="str">
        <f>IF(AND(Tabela1[[#This Row],[Data nascimento]]&gt;=$N$2,Tabela1[[#This Row],[Data nascimento]]&lt;=$M$2),"INICIADO",J430)</f>
        <v>JUVENIL</v>
      </c>
      <c r="J430" s="9" t="str">
        <f>IF(AND(Tabela1[[#This Row],[Data nascimento]]&gt;=$P$2,Tabela1[[#This Row],[Data nascimento]]&lt;=$O$2),"JUVENIL","JÚNIOR")</f>
        <v>JUVENIL</v>
      </c>
    </row>
    <row r="431" spans="1:10" ht="15" x14ac:dyDescent="0.4">
      <c r="A431" s="13" t="s">
        <v>4703</v>
      </c>
      <c r="B431" s="2" t="s">
        <v>4704</v>
      </c>
      <c r="C431" s="4" t="s">
        <v>21</v>
      </c>
      <c r="D431" s="11">
        <v>39951</v>
      </c>
      <c r="E431" s="7" t="s">
        <v>4705</v>
      </c>
      <c r="F431" s="4" t="s">
        <v>4716</v>
      </c>
      <c r="G431" s="12" t="str">
        <f>IF(AND(Tabela1[[#This Row],[Data nascimento]]&gt;=$J$2,Tabela1[[#This Row],[Data nascimento]]&lt;=$I$2),"INFANTIL A",H431)</f>
        <v>JUVENIL</v>
      </c>
      <c r="H431" s="3" t="str">
        <f>IF(AND(Tabela1[[#This Row],[Data nascimento]]&gt;=$L$2,Tabela1[[#This Row],[Data nascimento]]&lt;=$K$2),"INFANTIL B",I431)</f>
        <v>JUVENIL</v>
      </c>
      <c r="I431" s="9" t="str">
        <f>IF(AND(Tabela1[[#This Row],[Data nascimento]]&gt;=$N$2,Tabela1[[#This Row],[Data nascimento]]&lt;=$M$2),"INICIADO",J431)</f>
        <v>JUVENIL</v>
      </c>
      <c r="J431" s="9" t="str">
        <f>IF(AND(Tabela1[[#This Row],[Data nascimento]]&gt;=$P$2,Tabela1[[#This Row],[Data nascimento]]&lt;=$O$2),"JUVENIL","JÚNIOR")</f>
        <v>JUVENIL</v>
      </c>
    </row>
    <row r="432" spans="1:10" ht="15" x14ac:dyDescent="0.4">
      <c r="A432" s="13" t="s">
        <v>2396</v>
      </c>
      <c r="B432" s="2" t="s">
        <v>2397</v>
      </c>
      <c r="C432" s="4" t="s">
        <v>8</v>
      </c>
      <c r="D432" s="11">
        <v>40074</v>
      </c>
      <c r="E432" s="7" t="s">
        <v>2398</v>
      </c>
      <c r="F432" s="4" t="s">
        <v>4735</v>
      </c>
      <c r="G432" s="12" t="str">
        <f>IF(AND(Tabela1[[#This Row],[Data nascimento]]&gt;=$J$2,Tabela1[[#This Row],[Data nascimento]]&lt;=$I$2),"INFANTIL A",H432)</f>
        <v>JUVENIL</v>
      </c>
      <c r="H432" s="3" t="str">
        <f>IF(AND(Tabela1[[#This Row],[Data nascimento]]&gt;=$L$2,Tabela1[[#This Row],[Data nascimento]]&lt;=$K$2),"INFANTIL B",I432)</f>
        <v>JUVENIL</v>
      </c>
      <c r="I432" s="9" t="str">
        <f>IF(AND(Tabela1[[#This Row],[Data nascimento]]&gt;=$N$2,Tabela1[[#This Row],[Data nascimento]]&lt;=$M$2),"INICIADO",J432)</f>
        <v>JUVENIL</v>
      </c>
      <c r="J432" s="9" t="str">
        <f>IF(AND(Tabela1[[#This Row],[Data nascimento]]&gt;=$P$2,Tabela1[[#This Row],[Data nascimento]]&lt;=$O$2),"JUVENIL","JÚNIOR")</f>
        <v>JUVENIL</v>
      </c>
    </row>
    <row r="433" spans="1:10" ht="15" x14ac:dyDescent="0.4">
      <c r="A433" s="13" t="s">
        <v>2399</v>
      </c>
      <c r="B433" s="2" t="s">
        <v>2400</v>
      </c>
      <c r="C433" s="4" t="s">
        <v>8</v>
      </c>
      <c r="D433" s="11">
        <v>39775</v>
      </c>
      <c r="E433" s="7" t="s">
        <v>2401</v>
      </c>
      <c r="F433" s="4" t="s">
        <v>4735</v>
      </c>
      <c r="G433" s="12" t="str">
        <f>IF(AND(Tabela1[[#This Row],[Data nascimento]]&gt;=$J$2,Tabela1[[#This Row],[Data nascimento]]&lt;=$I$2),"INFANTIL A",H433)</f>
        <v>JUVENIL</v>
      </c>
      <c r="H433" s="3" t="str">
        <f>IF(AND(Tabela1[[#This Row],[Data nascimento]]&gt;=$L$2,Tabela1[[#This Row],[Data nascimento]]&lt;=$K$2),"INFANTIL B",I433)</f>
        <v>JUVENIL</v>
      </c>
      <c r="I433" s="9" t="str">
        <f>IF(AND(Tabela1[[#This Row],[Data nascimento]]&gt;=$N$2,Tabela1[[#This Row],[Data nascimento]]&lt;=$M$2),"INICIADO",J433)</f>
        <v>JUVENIL</v>
      </c>
      <c r="J433" s="9" t="str">
        <f>IF(AND(Tabela1[[#This Row],[Data nascimento]]&gt;=$P$2,Tabela1[[#This Row],[Data nascimento]]&lt;=$O$2),"JUVENIL","JÚNIOR")</f>
        <v>JUVENIL</v>
      </c>
    </row>
    <row r="434" spans="1:10" ht="15" x14ac:dyDescent="0.4">
      <c r="A434" s="13" t="s">
        <v>2402</v>
      </c>
      <c r="B434" s="2" t="s">
        <v>2403</v>
      </c>
      <c r="C434" s="4" t="s">
        <v>21</v>
      </c>
      <c r="D434" s="11">
        <v>40116</v>
      </c>
      <c r="E434" s="7" t="s">
        <v>2404</v>
      </c>
      <c r="F434" s="4" t="s">
        <v>4735</v>
      </c>
      <c r="G434" s="12" t="str">
        <f>IF(AND(Tabela1[[#This Row],[Data nascimento]]&gt;=$J$2,Tabela1[[#This Row],[Data nascimento]]&lt;=$I$2),"INFANTIL A",H434)</f>
        <v>JUVENIL</v>
      </c>
      <c r="H434" s="3" t="str">
        <f>IF(AND(Tabela1[[#This Row],[Data nascimento]]&gt;=$L$2,Tabela1[[#This Row],[Data nascimento]]&lt;=$K$2),"INFANTIL B",I434)</f>
        <v>JUVENIL</v>
      </c>
      <c r="I434" s="9" t="str">
        <f>IF(AND(Tabela1[[#This Row],[Data nascimento]]&gt;=$N$2,Tabela1[[#This Row],[Data nascimento]]&lt;=$M$2),"INICIADO",J434)</f>
        <v>JUVENIL</v>
      </c>
      <c r="J434" s="9" t="str">
        <f>IF(AND(Tabela1[[#This Row],[Data nascimento]]&gt;=$P$2,Tabela1[[#This Row],[Data nascimento]]&lt;=$O$2),"JUVENIL","JÚNIOR")</f>
        <v>JUVENIL</v>
      </c>
    </row>
    <row r="435" spans="1:10" ht="15" x14ac:dyDescent="0.4">
      <c r="A435" s="13" t="s">
        <v>2405</v>
      </c>
      <c r="B435" s="2" t="s">
        <v>2406</v>
      </c>
      <c r="C435" s="4" t="s">
        <v>8</v>
      </c>
      <c r="D435" s="11">
        <v>39838</v>
      </c>
      <c r="E435" s="7" t="s">
        <v>2407</v>
      </c>
      <c r="F435" s="4" t="s">
        <v>4735</v>
      </c>
      <c r="G435" s="12" t="str">
        <f>IF(AND(Tabela1[[#This Row],[Data nascimento]]&gt;=$J$2,Tabela1[[#This Row],[Data nascimento]]&lt;=$I$2),"INFANTIL A",H435)</f>
        <v>JUVENIL</v>
      </c>
      <c r="H435" s="3" t="str">
        <f>IF(AND(Tabela1[[#This Row],[Data nascimento]]&gt;=$L$2,Tabela1[[#This Row],[Data nascimento]]&lt;=$K$2),"INFANTIL B",I435)</f>
        <v>JUVENIL</v>
      </c>
      <c r="I435" s="9" t="str">
        <f>IF(AND(Tabela1[[#This Row],[Data nascimento]]&gt;=$N$2,Tabela1[[#This Row],[Data nascimento]]&lt;=$M$2),"INICIADO",J435)</f>
        <v>JUVENIL</v>
      </c>
      <c r="J435" s="9" t="str">
        <f>IF(AND(Tabela1[[#This Row],[Data nascimento]]&gt;=$P$2,Tabela1[[#This Row],[Data nascimento]]&lt;=$O$2),"JUVENIL","JÚNIOR")</f>
        <v>JUVENIL</v>
      </c>
    </row>
    <row r="436" spans="1:10" ht="15" x14ac:dyDescent="0.4">
      <c r="A436" s="13" t="s">
        <v>2408</v>
      </c>
      <c r="B436" s="2" t="s">
        <v>2409</v>
      </c>
      <c r="C436" s="4" t="s">
        <v>8</v>
      </c>
      <c r="D436" s="11">
        <v>39546</v>
      </c>
      <c r="E436" s="7" t="s">
        <v>2410</v>
      </c>
      <c r="F436" s="4" t="s">
        <v>4735</v>
      </c>
      <c r="G436" s="12" t="str">
        <f>IF(AND(Tabela1[[#This Row],[Data nascimento]]&gt;=$J$2,Tabela1[[#This Row],[Data nascimento]]&lt;=$I$2),"INFANTIL A",H436)</f>
        <v>JUVENIL</v>
      </c>
      <c r="H436" s="3" t="str">
        <f>IF(AND(Tabela1[[#This Row],[Data nascimento]]&gt;=$L$2,Tabela1[[#This Row],[Data nascimento]]&lt;=$K$2),"INFANTIL B",I436)</f>
        <v>JUVENIL</v>
      </c>
      <c r="I436" s="9" t="str">
        <f>IF(AND(Tabela1[[#This Row],[Data nascimento]]&gt;=$N$2,Tabela1[[#This Row],[Data nascimento]]&lt;=$M$2),"INICIADO",J436)</f>
        <v>JUVENIL</v>
      </c>
      <c r="J436" s="9" t="str">
        <f>IF(AND(Tabela1[[#This Row],[Data nascimento]]&gt;=$P$2,Tabela1[[#This Row],[Data nascimento]]&lt;=$O$2),"JUVENIL","JÚNIOR")</f>
        <v>JUVENIL</v>
      </c>
    </row>
    <row r="437" spans="1:10" ht="15" x14ac:dyDescent="0.4">
      <c r="A437" s="13" t="s">
        <v>2411</v>
      </c>
      <c r="B437" s="2" t="s">
        <v>2412</v>
      </c>
      <c r="C437" s="4" t="s">
        <v>8</v>
      </c>
      <c r="D437" s="11">
        <v>40082</v>
      </c>
      <c r="E437" s="7" t="s">
        <v>2413</v>
      </c>
      <c r="F437" s="4" t="s">
        <v>4735</v>
      </c>
      <c r="G437" s="12" t="str">
        <f>IF(AND(Tabela1[[#This Row],[Data nascimento]]&gt;=$J$2,Tabela1[[#This Row],[Data nascimento]]&lt;=$I$2),"INFANTIL A",H437)</f>
        <v>JUVENIL</v>
      </c>
      <c r="H437" s="3" t="str">
        <f>IF(AND(Tabela1[[#This Row],[Data nascimento]]&gt;=$L$2,Tabela1[[#This Row],[Data nascimento]]&lt;=$K$2),"INFANTIL B",I437)</f>
        <v>JUVENIL</v>
      </c>
      <c r="I437" s="9" t="str">
        <f>IF(AND(Tabela1[[#This Row],[Data nascimento]]&gt;=$N$2,Tabela1[[#This Row],[Data nascimento]]&lt;=$M$2),"INICIADO",J437)</f>
        <v>JUVENIL</v>
      </c>
      <c r="J437" s="9" t="str">
        <f>IF(AND(Tabela1[[#This Row],[Data nascimento]]&gt;=$P$2,Tabela1[[#This Row],[Data nascimento]]&lt;=$O$2),"JUVENIL","JÚNIOR")</f>
        <v>JUVENIL</v>
      </c>
    </row>
    <row r="438" spans="1:10" ht="15" x14ac:dyDescent="0.4">
      <c r="A438" s="13" t="s">
        <v>2414</v>
      </c>
      <c r="B438" s="2" t="s">
        <v>2415</v>
      </c>
      <c r="C438" s="4" t="s">
        <v>21</v>
      </c>
      <c r="D438" s="11">
        <v>39998</v>
      </c>
      <c r="E438" s="7" t="s">
        <v>2416</v>
      </c>
      <c r="F438" s="4" t="s">
        <v>4735</v>
      </c>
      <c r="G438" s="12" t="str">
        <f>IF(AND(Tabela1[[#This Row],[Data nascimento]]&gt;=$J$2,Tabela1[[#This Row],[Data nascimento]]&lt;=$I$2),"INFANTIL A",H438)</f>
        <v>JUVENIL</v>
      </c>
      <c r="H438" s="3" t="str">
        <f>IF(AND(Tabela1[[#This Row],[Data nascimento]]&gt;=$L$2,Tabela1[[#This Row],[Data nascimento]]&lt;=$K$2),"INFANTIL B",I438)</f>
        <v>JUVENIL</v>
      </c>
      <c r="I438" s="9" t="str">
        <f>IF(AND(Tabela1[[#This Row],[Data nascimento]]&gt;=$N$2,Tabela1[[#This Row],[Data nascimento]]&lt;=$M$2),"INICIADO",J438)</f>
        <v>JUVENIL</v>
      </c>
      <c r="J438" s="9" t="str">
        <f>IF(AND(Tabela1[[#This Row],[Data nascimento]]&gt;=$P$2,Tabela1[[#This Row],[Data nascimento]]&lt;=$O$2),"JUVENIL","JÚNIOR")</f>
        <v>JUVENIL</v>
      </c>
    </row>
    <row r="439" spans="1:10" ht="15" x14ac:dyDescent="0.4">
      <c r="A439" s="13" t="s">
        <v>2417</v>
      </c>
      <c r="B439" s="2" t="s">
        <v>2418</v>
      </c>
      <c r="C439" s="4" t="s">
        <v>8</v>
      </c>
      <c r="D439" s="11">
        <v>39983</v>
      </c>
      <c r="E439" s="7" t="s">
        <v>2419</v>
      </c>
      <c r="F439" s="4" t="s">
        <v>4735</v>
      </c>
      <c r="G439" s="12" t="str">
        <f>IF(AND(Tabela1[[#This Row],[Data nascimento]]&gt;=$J$2,Tabela1[[#This Row],[Data nascimento]]&lt;=$I$2),"INFANTIL A",H439)</f>
        <v>JUVENIL</v>
      </c>
      <c r="H439" s="3" t="str">
        <f>IF(AND(Tabela1[[#This Row],[Data nascimento]]&gt;=$L$2,Tabela1[[#This Row],[Data nascimento]]&lt;=$K$2),"INFANTIL B",I439)</f>
        <v>JUVENIL</v>
      </c>
      <c r="I439" s="9" t="str">
        <f>IF(AND(Tabela1[[#This Row],[Data nascimento]]&gt;=$N$2,Tabela1[[#This Row],[Data nascimento]]&lt;=$M$2),"INICIADO",J439)</f>
        <v>JUVENIL</v>
      </c>
      <c r="J439" s="9" t="str">
        <f>IF(AND(Tabela1[[#This Row],[Data nascimento]]&gt;=$P$2,Tabela1[[#This Row],[Data nascimento]]&lt;=$O$2),"JUVENIL","JÚNIOR")</f>
        <v>JUVENIL</v>
      </c>
    </row>
    <row r="440" spans="1:10" ht="15" x14ac:dyDescent="0.4">
      <c r="A440" s="13" t="s">
        <v>2420</v>
      </c>
      <c r="B440" s="2" t="s">
        <v>2421</v>
      </c>
      <c r="C440" s="4" t="s">
        <v>8</v>
      </c>
      <c r="D440" s="11">
        <v>39999</v>
      </c>
      <c r="E440" s="7" t="s">
        <v>2422</v>
      </c>
      <c r="F440" s="4" t="s">
        <v>4735</v>
      </c>
      <c r="G440" s="12" t="str">
        <f>IF(AND(Tabela1[[#This Row],[Data nascimento]]&gt;=$J$2,Tabela1[[#This Row],[Data nascimento]]&lt;=$I$2),"INFANTIL A",H440)</f>
        <v>JUVENIL</v>
      </c>
      <c r="H440" s="3" t="str">
        <f>IF(AND(Tabela1[[#This Row],[Data nascimento]]&gt;=$L$2,Tabela1[[#This Row],[Data nascimento]]&lt;=$K$2),"INFANTIL B",I440)</f>
        <v>JUVENIL</v>
      </c>
      <c r="I440" s="9" t="str">
        <f>IF(AND(Tabela1[[#This Row],[Data nascimento]]&gt;=$N$2,Tabela1[[#This Row],[Data nascimento]]&lt;=$M$2),"INICIADO",J440)</f>
        <v>JUVENIL</v>
      </c>
      <c r="J440" s="9" t="str">
        <f>IF(AND(Tabela1[[#This Row],[Data nascimento]]&gt;=$P$2,Tabela1[[#This Row],[Data nascimento]]&lt;=$O$2),"JUVENIL","JÚNIOR")</f>
        <v>JUVENIL</v>
      </c>
    </row>
    <row r="441" spans="1:10" ht="15" x14ac:dyDescent="0.4">
      <c r="A441" s="13" t="s">
        <v>2423</v>
      </c>
      <c r="B441" s="2" t="s">
        <v>2424</v>
      </c>
      <c r="C441" s="4" t="s">
        <v>8</v>
      </c>
      <c r="D441" s="11">
        <v>39874</v>
      </c>
      <c r="E441" s="7" t="s">
        <v>2425</v>
      </c>
      <c r="F441" s="4" t="s">
        <v>4735</v>
      </c>
      <c r="G441" s="12" t="str">
        <f>IF(AND(Tabela1[[#This Row],[Data nascimento]]&gt;=$J$2,Tabela1[[#This Row],[Data nascimento]]&lt;=$I$2),"INFANTIL A",H441)</f>
        <v>JUVENIL</v>
      </c>
      <c r="H441" s="3" t="str">
        <f>IF(AND(Tabela1[[#This Row],[Data nascimento]]&gt;=$L$2,Tabela1[[#This Row],[Data nascimento]]&lt;=$K$2),"INFANTIL B",I441)</f>
        <v>JUVENIL</v>
      </c>
      <c r="I441" s="9" t="str">
        <f>IF(AND(Tabela1[[#This Row],[Data nascimento]]&gt;=$N$2,Tabela1[[#This Row],[Data nascimento]]&lt;=$M$2),"INICIADO",J441)</f>
        <v>JUVENIL</v>
      </c>
      <c r="J441" s="9" t="str">
        <f>IF(AND(Tabela1[[#This Row],[Data nascimento]]&gt;=$P$2,Tabela1[[#This Row],[Data nascimento]]&lt;=$O$2),"JUVENIL","JÚNIOR")</f>
        <v>JUVENIL</v>
      </c>
    </row>
    <row r="442" spans="1:10" ht="15" x14ac:dyDescent="0.4">
      <c r="A442" s="13" t="s">
        <v>2426</v>
      </c>
      <c r="B442" s="2" t="s">
        <v>2427</v>
      </c>
      <c r="C442" s="4" t="s">
        <v>8</v>
      </c>
      <c r="D442" s="11">
        <v>39903</v>
      </c>
      <c r="E442" s="7" t="s">
        <v>2428</v>
      </c>
      <c r="F442" s="4" t="s">
        <v>4735</v>
      </c>
      <c r="G442" s="12" t="str">
        <f>IF(AND(Tabela1[[#This Row],[Data nascimento]]&gt;=$J$2,Tabela1[[#This Row],[Data nascimento]]&lt;=$I$2),"INFANTIL A",H442)</f>
        <v>JUVENIL</v>
      </c>
      <c r="H442" s="3" t="str">
        <f>IF(AND(Tabela1[[#This Row],[Data nascimento]]&gt;=$L$2,Tabela1[[#This Row],[Data nascimento]]&lt;=$K$2),"INFANTIL B",I442)</f>
        <v>JUVENIL</v>
      </c>
      <c r="I442" s="9" t="str">
        <f>IF(AND(Tabela1[[#This Row],[Data nascimento]]&gt;=$N$2,Tabela1[[#This Row],[Data nascimento]]&lt;=$M$2),"INICIADO",J442)</f>
        <v>JUVENIL</v>
      </c>
      <c r="J442" s="9" t="str">
        <f>IF(AND(Tabela1[[#This Row],[Data nascimento]]&gt;=$P$2,Tabela1[[#This Row],[Data nascimento]]&lt;=$O$2),"JUVENIL","JÚNIOR")</f>
        <v>JUVENIL</v>
      </c>
    </row>
    <row r="443" spans="1:10" ht="15" x14ac:dyDescent="0.4">
      <c r="A443" s="13" t="s">
        <v>2429</v>
      </c>
      <c r="B443" s="2" t="s">
        <v>2430</v>
      </c>
      <c r="C443" s="4" t="s">
        <v>8</v>
      </c>
      <c r="D443" s="11">
        <v>39993</v>
      </c>
      <c r="E443" s="7" t="s">
        <v>2431</v>
      </c>
      <c r="F443" s="4" t="s">
        <v>4735</v>
      </c>
      <c r="G443" s="12" t="str">
        <f>IF(AND(Tabela1[[#This Row],[Data nascimento]]&gt;=$J$2,Tabela1[[#This Row],[Data nascimento]]&lt;=$I$2),"INFANTIL A",H443)</f>
        <v>JUVENIL</v>
      </c>
      <c r="H443" s="3" t="str">
        <f>IF(AND(Tabela1[[#This Row],[Data nascimento]]&gt;=$L$2,Tabela1[[#This Row],[Data nascimento]]&lt;=$K$2),"INFANTIL B",I443)</f>
        <v>JUVENIL</v>
      </c>
      <c r="I443" s="9" t="str">
        <f>IF(AND(Tabela1[[#This Row],[Data nascimento]]&gt;=$N$2,Tabela1[[#This Row],[Data nascimento]]&lt;=$M$2),"INICIADO",J443)</f>
        <v>JUVENIL</v>
      </c>
      <c r="J443" s="9" t="str">
        <f>IF(AND(Tabela1[[#This Row],[Data nascimento]]&gt;=$P$2,Tabela1[[#This Row],[Data nascimento]]&lt;=$O$2),"JUVENIL","JÚNIOR")</f>
        <v>JUVENIL</v>
      </c>
    </row>
    <row r="444" spans="1:10" ht="15" x14ac:dyDescent="0.4">
      <c r="A444" s="13" t="s">
        <v>2432</v>
      </c>
      <c r="B444" s="2" t="s">
        <v>2433</v>
      </c>
      <c r="C444" s="4" t="s">
        <v>8</v>
      </c>
      <c r="D444" s="11">
        <v>40095</v>
      </c>
      <c r="E444" s="7" t="s">
        <v>2434</v>
      </c>
      <c r="F444" s="4" t="s">
        <v>4735</v>
      </c>
      <c r="G444" s="12" t="str">
        <f>IF(AND(Tabela1[[#This Row],[Data nascimento]]&gt;=$J$2,Tabela1[[#This Row],[Data nascimento]]&lt;=$I$2),"INFANTIL A",H444)</f>
        <v>JUVENIL</v>
      </c>
      <c r="H444" s="3" t="str">
        <f>IF(AND(Tabela1[[#This Row],[Data nascimento]]&gt;=$L$2,Tabela1[[#This Row],[Data nascimento]]&lt;=$K$2),"INFANTIL B",I444)</f>
        <v>JUVENIL</v>
      </c>
      <c r="I444" s="9" t="str">
        <f>IF(AND(Tabela1[[#This Row],[Data nascimento]]&gt;=$N$2,Tabela1[[#This Row],[Data nascimento]]&lt;=$M$2),"INICIADO",J444)</f>
        <v>JUVENIL</v>
      </c>
      <c r="J444" s="9" t="str">
        <f>IF(AND(Tabela1[[#This Row],[Data nascimento]]&gt;=$P$2,Tabela1[[#This Row],[Data nascimento]]&lt;=$O$2),"JUVENIL","JÚNIOR")</f>
        <v>JUVENIL</v>
      </c>
    </row>
    <row r="445" spans="1:10" ht="15" x14ac:dyDescent="0.4">
      <c r="A445" s="13" t="s">
        <v>2435</v>
      </c>
      <c r="B445" s="2" t="s">
        <v>2436</v>
      </c>
      <c r="C445" s="4" t="s">
        <v>8</v>
      </c>
      <c r="D445" s="11">
        <v>39910</v>
      </c>
      <c r="E445" s="7" t="s">
        <v>2437</v>
      </c>
      <c r="F445" s="4" t="s">
        <v>4736</v>
      </c>
      <c r="G445" s="12" t="str">
        <f>IF(AND(Tabela1[[#This Row],[Data nascimento]]&gt;=$J$2,Tabela1[[#This Row],[Data nascimento]]&lt;=$I$2),"INFANTIL A",H445)</f>
        <v>JUVENIL</v>
      </c>
      <c r="H445" s="3" t="str">
        <f>IF(AND(Tabela1[[#This Row],[Data nascimento]]&gt;=$L$2,Tabela1[[#This Row],[Data nascimento]]&lt;=$K$2),"INFANTIL B",I445)</f>
        <v>JUVENIL</v>
      </c>
      <c r="I445" s="9" t="str">
        <f>IF(AND(Tabela1[[#This Row],[Data nascimento]]&gt;=$N$2,Tabela1[[#This Row],[Data nascimento]]&lt;=$M$2),"INICIADO",J445)</f>
        <v>JUVENIL</v>
      </c>
      <c r="J445" s="9" t="str">
        <f>IF(AND(Tabela1[[#This Row],[Data nascimento]]&gt;=$P$2,Tabela1[[#This Row],[Data nascimento]]&lt;=$O$2),"JUVENIL","JÚNIOR")</f>
        <v>JUVENIL</v>
      </c>
    </row>
    <row r="446" spans="1:10" ht="15" x14ac:dyDescent="0.4">
      <c r="A446" s="13" t="s">
        <v>2438</v>
      </c>
      <c r="B446" s="2" t="s">
        <v>2439</v>
      </c>
      <c r="C446" s="4" t="s">
        <v>21</v>
      </c>
      <c r="D446" s="11">
        <v>39935</v>
      </c>
      <c r="E446" s="7" t="s">
        <v>2440</v>
      </c>
      <c r="F446" s="4" t="s">
        <v>4736</v>
      </c>
      <c r="G446" s="12" t="str">
        <f>IF(AND(Tabela1[[#This Row],[Data nascimento]]&gt;=$J$2,Tabela1[[#This Row],[Data nascimento]]&lt;=$I$2),"INFANTIL A",H446)</f>
        <v>JUVENIL</v>
      </c>
      <c r="H446" s="3" t="str">
        <f>IF(AND(Tabela1[[#This Row],[Data nascimento]]&gt;=$L$2,Tabela1[[#This Row],[Data nascimento]]&lt;=$K$2),"INFANTIL B",I446)</f>
        <v>JUVENIL</v>
      </c>
      <c r="I446" s="9" t="str">
        <f>IF(AND(Tabela1[[#This Row],[Data nascimento]]&gt;=$N$2,Tabela1[[#This Row],[Data nascimento]]&lt;=$M$2),"INICIADO",J446)</f>
        <v>JUVENIL</v>
      </c>
      <c r="J446" s="9" t="str">
        <f>IF(AND(Tabela1[[#This Row],[Data nascimento]]&gt;=$P$2,Tabela1[[#This Row],[Data nascimento]]&lt;=$O$2),"JUVENIL","JÚNIOR")</f>
        <v>JUVENIL</v>
      </c>
    </row>
    <row r="447" spans="1:10" ht="15" x14ac:dyDescent="0.4">
      <c r="A447" s="13" t="s">
        <v>2441</v>
      </c>
      <c r="B447" s="2" t="s">
        <v>2442</v>
      </c>
      <c r="C447" s="4" t="s">
        <v>8</v>
      </c>
      <c r="D447" s="11">
        <v>39904</v>
      </c>
      <c r="E447" s="7" t="s">
        <v>2443</v>
      </c>
      <c r="F447" s="4" t="s">
        <v>4736</v>
      </c>
      <c r="G447" s="12" t="str">
        <f>IF(AND(Tabela1[[#This Row],[Data nascimento]]&gt;=$J$2,Tabela1[[#This Row],[Data nascimento]]&lt;=$I$2),"INFANTIL A",H447)</f>
        <v>JUVENIL</v>
      </c>
      <c r="H447" s="3" t="str">
        <f>IF(AND(Tabela1[[#This Row],[Data nascimento]]&gt;=$L$2,Tabela1[[#This Row],[Data nascimento]]&lt;=$K$2),"INFANTIL B",I447)</f>
        <v>JUVENIL</v>
      </c>
      <c r="I447" s="9" t="str">
        <f>IF(AND(Tabela1[[#This Row],[Data nascimento]]&gt;=$N$2,Tabela1[[#This Row],[Data nascimento]]&lt;=$M$2),"INICIADO",J447)</f>
        <v>JUVENIL</v>
      </c>
      <c r="J447" s="9" t="str">
        <f>IF(AND(Tabela1[[#This Row],[Data nascimento]]&gt;=$P$2,Tabela1[[#This Row],[Data nascimento]]&lt;=$O$2),"JUVENIL","JÚNIOR")</f>
        <v>JUVENIL</v>
      </c>
    </row>
    <row r="448" spans="1:10" ht="15" x14ac:dyDescent="0.4">
      <c r="A448" s="13" t="s">
        <v>2444</v>
      </c>
      <c r="B448" s="2" t="s">
        <v>2445</v>
      </c>
      <c r="C448" s="4" t="s">
        <v>21</v>
      </c>
      <c r="D448" s="11">
        <v>40058</v>
      </c>
      <c r="E448" s="7" t="s">
        <v>2446</v>
      </c>
      <c r="F448" s="4" t="s">
        <v>4736</v>
      </c>
      <c r="G448" s="12" t="str">
        <f>IF(AND(Tabela1[[#This Row],[Data nascimento]]&gt;=$J$2,Tabela1[[#This Row],[Data nascimento]]&lt;=$I$2),"INFANTIL A",H448)</f>
        <v>JUVENIL</v>
      </c>
      <c r="H448" s="3" t="str">
        <f>IF(AND(Tabela1[[#This Row],[Data nascimento]]&gt;=$L$2,Tabela1[[#This Row],[Data nascimento]]&lt;=$K$2),"INFANTIL B",I448)</f>
        <v>JUVENIL</v>
      </c>
      <c r="I448" s="9" t="str">
        <f>IF(AND(Tabela1[[#This Row],[Data nascimento]]&gt;=$N$2,Tabela1[[#This Row],[Data nascimento]]&lt;=$M$2),"INICIADO",J448)</f>
        <v>JUVENIL</v>
      </c>
      <c r="J448" s="9" t="str">
        <f>IF(AND(Tabela1[[#This Row],[Data nascimento]]&gt;=$P$2,Tabela1[[#This Row],[Data nascimento]]&lt;=$O$2),"JUVENIL","JÚNIOR")</f>
        <v>JUVENIL</v>
      </c>
    </row>
    <row r="449" spans="1:10" ht="15" x14ac:dyDescent="0.4">
      <c r="A449" s="13" t="s">
        <v>2447</v>
      </c>
      <c r="B449" s="2" t="s">
        <v>2448</v>
      </c>
      <c r="C449" s="4" t="s">
        <v>21</v>
      </c>
      <c r="D449" s="11">
        <v>39829</v>
      </c>
      <c r="E449" s="7" t="s">
        <v>2449</v>
      </c>
      <c r="F449" s="4" t="s">
        <v>4736</v>
      </c>
      <c r="G449" s="12" t="str">
        <f>IF(AND(Tabela1[[#This Row],[Data nascimento]]&gt;=$J$2,Tabela1[[#This Row],[Data nascimento]]&lt;=$I$2),"INFANTIL A",H449)</f>
        <v>JUVENIL</v>
      </c>
      <c r="H449" s="3" t="str">
        <f>IF(AND(Tabela1[[#This Row],[Data nascimento]]&gt;=$L$2,Tabela1[[#This Row],[Data nascimento]]&lt;=$K$2),"INFANTIL B",I449)</f>
        <v>JUVENIL</v>
      </c>
      <c r="I449" s="9" t="str">
        <f>IF(AND(Tabela1[[#This Row],[Data nascimento]]&gt;=$N$2,Tabela1[[#This Row],[Data nascimento]]&lt;=$M$2),"INICIADO",J449)</f>
        <v>JUVENIL</v>
      </c>
      <c r="J449" s="9" t="str">
        <f>IF(AND(Tabela1[[#This Row],[Data nascimento]]&gt;=$P$2,Tabela1[[#This Row],[Data nascimento]]&lt;=$O$2),"JUVENIL","JÚNIOR")</f>
        <v>JUVENIL</v>
      </c>
    </row>
    <row r="450" spans="1:10" ht="15" x14ac:dyDescent="0.4">
      <c r="A450" s="13" t="s">
        <v>2450</v>
      </c>
      <c r="B450" s="2" t="s">
        <v>2451</v>
      </c>
      <c r="C450" s="4" t="s">
        <v>8</v>
      </c>
      <c r="D450" s="11">
        <v>39934</v>
      </c>
      <c r="E450" s="7" t="s">
        <v>2452</v>
      </c>
      <c r="F450" s="4" t="s">
        <v>4736</v>
      </c>
      <c r="G450" s="12" t="str">
        <f>IF(AND(Tabela1[[#This Row],[Data nascimento]]&gt;=$J$2,Tabela1[[#This Row],[Data nascimento]]&lt;=$I$2),"INFANTIL A",H450)</f>
        <v>JUVENIL</v>
      </c>
      <c r="H450" s="3" t="str">
        <f>IF(AND(Tabela1[[#This Row],[Data nascimento]]&gt;=$L$2,Tabela1[[#This Row],[Data nascimento]]&lt;=$K$2),"INFANTIL B",I450)</f>
        <v>JUVENIL</v>
      </c>
      <c r="I450" s="9" t="str">
        <f>IF(AND(Tabela1[[#This Row],[Data nascimento]]&gt;=$N$2,Tabela1[[#This Row],[Data nascimento]]&lt;=$M$2),"INICIADO",J450)</f>
        <v>JUVENIL</v>
      </c>
      <c r="J450" s="9" t="str">
        <f>IF(AND(Tabela1[[#This Row],[Data nascimento]]&gt;=$P$2,Tabela1[[#This Row],[Data nascimento]]&lt;=$O$2),"JUVENIL","JÚNIOR")</f>
        <v>JUVENIL</v>
      </c>
    </row>
    <row r="451" spans="1:10" ht="15" x14ac:dyDescent="0.4">
      <c r="A451" s="13" t="s">
        <v>2453</v>
      </c>
      <c r="B451" s="2" t="s">
        <v>2454</v>
      </c>
      <c r="C451" s="4" t="s">
        <v>21</v>
      </c>
      <c r="D451" s="11">
        <v>39746</v>
      </c>
      <c r="E451" s="7" t="s">
        <v>2455</v>
      </c>
      <c r="F451" s="4" t="s">
        <v>4736</v>
      </c>
      <c r="G451" s="12" t="str">
        <f>IF(AND(Tabela1[[#This Row],[Data nascimento]]&gt;=$J$2,Tabela1[[#This Row],[Data nascimento]]&lt;=$I$2),"INFANTIL A",H451)</f>
        <v>JUVENIL</v>
      </c>
      <c r="H451" s="3" t="str">
        <f>IF(AND(Tabela1[[#This Row],[Data nascimento]]&gt;=$L$2,Tabela1[[#This Row],[Data nascimento]]&lt;=$K$2),"INFANTIL B",I451)</f>
        <v>JUVENIL</v>
      </c>
      <c r="I451" s="9" t="str">
        <f>IF(AND(Tabela1[[#This Row],[Data nascimento]]&gt;=$N$2,Tabela1[[#This Row],[Data nascimento]]&lt;=$M$2),"INICIADO",J451)</f>
        <v>JUVENIL</v>
      </c>
      <c r="J451" s="9" t="str">
        <f>IF(AND(Tabela1[[#This Row],[Data nascimento]]&gt;=$P$2,Tabela1[[#This Row],[Data nascimento]]&lt;=$O$2),"JUVENIL","JÚNIOR")</f>
        <v>JUVENIL</v>
      </c>
    </row>
    <row r="452" spans="1:10" ht="15" x14ac:dyDescent="0.4">
      <c r="A452" s="13" t="s">
        <v>2456</v>
      </c>
      <c r="B452" s="2" t="s">
        <v>2457</v>
      </c>
      <c r="C452" s="4" t="s">
        <v>8</v>
      </c>
      <c r="D452" s="11">
        <v>39879</v>
      </c>
      <c r="E452" s="7" t="s">
        <v>2458</v>
      </c>
      <c r="F452" s="4" t="s">
        <v>4736</v>
      </c>
      <c r="G452" s="12" t="str">
        <f>IF(AND(Tabela1[[#This Row],[Data nascimento]]&gt;=$J$2,Tabela1[[#This Row],[Data nascimento]]&lt;=$I$2),"INFANTIL A",H452)</f>
        <v>JUVENIL</v>
      </c>
      <c r="H452" s="3" t="str">
        <f>IF(AND(Tabela1[[#This Row],[Data nascimento]]&gt;=$L$2,Tabela1[[#This Row],[Data nascimento]]&lt;=$K$2),"INFANTIL B",I452)</f>
        <v>JUVENIL</v>
      </c>
      <c r="I452" s="9" t="str">
        <f>IF(AND(Tabela1[[#This Row],[Data nascimento]]&gt;=$N$2,Tabela1[[#This Row],[Data nascimento]]&lt;=$M$2),"INICIADO",J452)</f>
        <v>JUVENIL</v>
      </c>
      <c r="J452" s="9" t="str">
        <f>IF(AND(Tabela1[[#This Row],[Data nascimento]]&gt;=$P$2,Tabela1[[#This Row],[Data nascimento]]&lt;=$O$2),"JUVENIL","JÚNIOR")</f>
        <v>JUVENIL</v>
      </c>
    </row>
    <row r="453" spans="1:10" ht="15" x14ac:dyDescent="0.4">
      <c r="A453" s="13" t="s">
        <v>2459</v>
      </c>
      <c r="B453" s="2" t="s">
        <v>2460</v>
      </c>
      <c r="C453" s="4" t="s">
        <v>8</v>
      </c>
      <c r="D453" s="11">
        <v>39952</v>
      </c>
      <c r="E453" s="7" t="s">
        <v>2461</v>
      </c>
      <c r="F453" s="4" t="s">
        <v>4736</v>
      </c>
      <c r="G453" s="12" t="str">
        <f>IF(AND(Tabela1[[#This Row],[Data nascimento]]&gt;=$J$2,Tabela1[[#This Row],[Data nascimento]]&lt;=$I$2),"INFANTIL A",H453)</f>
        <v>JUVENIL</v>
      </c>
      <c r="H453" s="3" t="str">
        <f>IF(AND(Tabela1[[#This Row],[Data nascimento]]&gt;=$L$2,Tabela1[[#This Row],[Data nascimento]]&lt;=$K$2),"INFANTIL B",I453)</f>
        <v>JUVENIL</v>
      </c>
      <c r="I453" s="9" t="str">
        <f>IF(AND(Tabela1[[#This Row],[Data nascimento]]&gt;=$N$2,Tabela1[[#This Row],[Data nascimento]]&lt;=$M$2),"INICIADO",J453)</f>
        <v>JUVENIL</v>
      </c>
      <c r="J453" s="9" t="str">
        <f>IF(AND(Tabela1[[#This Row],[Data nascimento]]&gt;=$P$2,Tabela1[[#This Row],[Data nascimento]]&lt;=$O$2),"JUVENIL","JÚNIOR")</f>
        <v>JUVENIL</v>
      </c>
    </row>
    <row r="454" spans="1:10" ht="15" x14ac:dyDescent="0.4">
      <c r="A454" s="13" t="s">
        <v>2462</v>
      </c>
      <c r="B454" s="2" t="s">
        <v>2463</v>
      </c>
      <c r="C454" s="4" t="s">
        <v>8</v>
      </c>
      <c r="D454" s="11">
        <v>40174</v>
      </c>
      <c r="E454" s="7" t="s">
        <v>2464</v>
      </c>
      <c r="F454" s="4" t="s">
        <v>4736</v>
      </c>
      <c r="G454" s="12" t="str">
        <f>IF(AND(Tabela1[[#This Row],[Data nascimento]]&gt;=$J$2,Tabela1[[#This Row],[Data nascimento]]&lt;=$I$2),"INFANTIL A",H454)</f>
        <v>JUVENIL</v>
      </c>
      <c r="H454" s="3" t="str">
        <f>IF(AND(Tabela1[[#This Row],[Data nascimento]]&gt;=$L$2,Tabela1[[#This Row],[Data nascimento]]&lt;=$K$2),"INFANTIL B",I454)</f>
        <v>JUVENIL</v>
      </c>
      <c r="I454" s="9" t="str">
        <f>IF(AND(Tabela1[[#This Row],[Data nascimento]]&gt;=$N$2,Tabela1[[#This Row],[Data nascimento]]&lt;=$M$2),"INICIADO",J454)</f>
        <v>JUVENIL</v>
      </c>
      <c r="J454" s="9" t="str">
        <f>IF(AND(Tabela1[[#This Row],[Data nascimento]]&gt;=$P$2,Tabela1[[#This Row],[Data nascimento]]&lt;=$O$2),"JUVENIL","JÚNIOR")</f>
        <v>JUVENIL</v>
      </c>
    </row>
    <row r="455" spans="1:10" ht="15" x14ac:dyDescent="0.4">
      <c r="A455" s="13" t="s">
        <v>2465</v>
      </c>
      <c r="B455" s="2" t="s">
        <v>2466</v>
      </c>
      <c r="C455" s="4" t="s">
        <v>21</v>
      </c>
      <c r="D455" s="11">
        <v>40030</v>
      </c>
      <c r="E455" s="7" t="s">
        <v>2467</v>
      </c>
      <c r="F455" s="4" t="s">
        <v>4736</v>
      </c>
      <c r="G455" s="12" t="str">
        <f>IF(AND(Tabela1[[#This Row],[Data nascimento]]&gt;=$J$2,Tabela1[[#This Row],[Data nascimento]]&lt;=$I$2),"INFANTIL A",H455)</f>
        <v>JUVENIL</v>
      </c>
      <c r="H455" s="3" t="str">
        <f>IF(AND(Tabela1[[#This Row],[Data nascimento]]&gt;=$L$2,Tabela1[[#This Row],[Data nascimento]]&lt;=$K$2),"INFANTIL B",I455)</f>
        <v>JUVENIL</v>
      </c>
      <c r="I455" s="9" t="str">
        <f>IF(AND(Tabela1[[#This Row],[Data nascimento]]&gt;=$N$2,Tabela1[[#This Row],[Data nascimento]]&lt;=$M$2),"INICIADO",J455)</f>
        <v>JUVENIL</v>
      </c>
      <c r="J455" s="9" t="str">
        <f>IF(AND(Tabela1[[#This Row],[Data nascimento]]&gt;=$P$2,Tabela1[[#This Row],[Data nascimento]]&lt;=$O$2),"JUVENIL","JÚNIOR")</f>
        <v>JUVENIL</v>
      </c>
    </row>
    <row r="456" spans="1:10" ht="15" x14ac:dyDescent="0.4">
      <c r="A456" s="13" t="s">
        <v>2468</v>
      </c>
      <c r="B456" s="2" t="s">
        <v>2469</v>
      </c>
      <c r="C456" s="4" t="s">
        <v>21</v>
      </c>
      <c r="D456" s="11">
        <v>39830</v>
      </c>
      <c r="E456" s="7" t="s">
        <v>2470</v>
      </c>
      <c r="F456" s="4" t="s">
        <v>4736</v>
      </c>
      <c r="G456" s="12" t="str">
        <f>IF(AND(Tabela1[[#This Row],[Data nascimento]]&gt;=$J$2,Tabela1[[#This Row],[Data nascimento]]&lt;=$I$2),"INFANTIL A",H456)</f>
        <v>JUVENIL</v>
      </c>
      <c r="H456" s="3" t="str">
        <f>IF(AND(Tabela1[[#This Row],[Data nascimento]]&gt;=$L$2,Tabela1[[#This Row],[Data nascimento]]&lt;=$K$2),"INFANTIL B",I456)</f>
        <v>JUVENIL</v>
      </c>
      <c r="I456" s="9" t="str">
        <f>IF(AND(Tabela1[[#This Row],[Data nascimento]]&gt;=$N$2,Tabela1[[#This Row],[Data nascimento]]&lt;=$M$2),"INICIADO",J456)</f>
        <v>JUVENIL</v>
      </c>
      <c r="J456" s="9" t="str">
        <f>IF(AND(Tabela1[[#This Row],[Data nascimento]]&gt;=$P$2,Tabela1[[#This Row],[Data nascimento]]&lt;=$O$2),"JUVENIL","JÚNIOR")</f>
        <v>JUVENIL</v>
      </c>
    </row>
    <row r="457" spans="1:10" ht="15" x14ac:dyDescent="0.4">
      <c r="A457" s="13" t="s">
        <v>2471</v>
      </c>
      <c r="B457" s="2" t="s">
        <v>2472</v>
      </c>
      <c r="C457" s="4" t="s">
        <v>21</v>
      </c>
      <c r="D457" s="11">
        <v>40078</v>
      </c>
      <c r="E457" s="7" t="s">
        <v>2473</v>
      </c>
      <c r="F457" s="4" t="s">
        <v>4736</v>
      </c>
      <c r="G457" s="12" t="str">
        <f>IF(AND(Tabela1[[#This Row],[Data nascimento]]&gt;=$J$2,Tabela1[[#This Row],[Data nascimento]]&lt;=$I$2),"INFANTIL A",H457)</f>
        <v>JUVENIL</v>
      </c>
      <c r="H457" s="3" t="str">
        <f>IF(AND(Tabela1[[#This Row],[Data nascimento]]&gt;=$L$2,Tabela1[[#This Row],[Data nascimento]]&lt;=$K$2),"INFANTIL B",I457)</f>
        <v>JUVENIL</v>
      </c>
      <c r="I457" s="9" t="str">
        <f>IF(AND(Tabela1[[#This Row],[Data nascimento]]&gt;=$N$2,Tabela1[[#This Row],[Data nascimento]]&lt;=$M$2),"INICIADO",J457)</f>
        <v>JUVENIL</v>
      </c>
      <c r="J457" s="9" t="str">
        <f>IF(AND(Tabela1[[#This Row],[Data nascimento]]&gt;=$P$2,Tabela1[[#This Row],[Data nascimento]]&lt;=$O$2),"JUVENIL","JÚNIOR")</f>
        <v>JUVENIL</v>
      </c>
    </row>
    <row r="458" spans="1:10" ht="15" x14ac:dyDescent="0.4">
      <c r="A458" s="13" t="s">
        <v>2474</v>
      </c>
      <c r="B458" s="2" t="s">
        <v>2475</v>
      </c>
      <c r="C458" s="4" t="s">
        <v>8</v>
      </c>
      <c r="D458" s="11">
        <v>40095</v>
      </c>
      <c r="E458" s="7" t="s">
        <v>2476</v>
      </c>
      <c r="F458" s="4" t="s">
        <v>4736</v>
      </c>
      <c r="G458" s="12" t="str">
        <f>IF(AND(Tabela1[[#This Row],[Data nascimento]]&gt;=$J$2,Tabela1[[#This Row],[Data nascimento]]&lt;=$I$2),"INFANTIL A",H458)</f>
        <v>JUVENIL</v>
      </c>
      <c r="H458" s="3" t="str">
        <f>IF(AND(Tabela1[[#This Row],[Data nascimento]]&gt;=$L$2,Tabela1[[#This Row],[Data nascimento]]&lt;=$K$2),"INFANTIL B",I458)</f>
        <v>JUVENIL</v>
      </c>
      <c r="I458" s="9" t="str">
        <f>IF(AND(Tabela1[[#This Row],[Data nascimento]]&gt;=$N$2,Tabela1[[#This Row],[Data nascimento]]&lt;=$M$2),"INICIADO",J458)</f>
        <v>JUVENIL</v>
      </c>
      <c r="J458" s="9" t="str">
        <f>IF(AND(Tabela1[[#This Row],[Data nascimento]]&gt;=$P$2,Tabela1[[#This Row],[Data nascimento]]&lt;=$O$2),"JUVENIL","JÚNIOR")</f>
        <v>JUVENIL</v>
      </c>
    </row>
    <row r="459" spans="1:10" ht="15" x14ac:dyDescent="0.4">
      <c r="A459" s="13" t="s">
        <v>2477</v>
      </c>
      <c r="B459" s="2" t="s">
        <v>2478</v>
      </c>
      <c r="C459" s="4" t="s">
        <v>8</v>
      </c>
      <c r="D459" s="11">
        <v>39856</v>
      </c>
      <c r="E459" s="7" t="s">
        <v>2479</v>
      </c>
      <c r="F459" s="4" t="s">
        <v>4736</v>
      </c>
      <c r="G459" s="12" t="str">
        <f>IF(AND(Tabela1[[#This Row],[Data nascimento]]&gt;=$J$2,Tabela1[[#This Row],[Data nascimento]]&lt;=$I$2),"INFANTIL A",H459)</f>
        <v>JUVENIL</v>
      </c>
      <c r="H459" s="3" t="str">
        <f>IF(AND(Tabela1[[#This Row],[Data nascimento]]&gt;=$L$2,Tabela1[[#This Row],[Data nascimento]]&lt;=$K$2),"INFANTIL B",I459)</f>
        <v>JUVENIL</v>
      </c>
      <c r="I459" s="9" t="str">
        <f>IF(AND(Tabela1[[#This Row],[Data nascimento]]&gt;=$N$2,Tabela1[[#This Row],[Data nascimento]]&lt;=$M$2),"INICIADO",J459)</f>
        <v>JUVENIL</v>
      </c>
      <c r="J459" s="9" t="str">
        <f>IF(AND(Tabela1[[#This Row],[Data nascimento]]&gt;=$P$2,Tabela1[[#This Row],[Data nascimento]]&lt;=$O$2),"JUVENIL","JÚNIOR")</f>
        <v>JUVENIL</v>
      </c>
    </row>
    <row r="460" spans="1:10" ht="15" x14ac:dyDescent="0.4">
      <c r="A460" s="13" t="s">
        <v>2480</v>
      </c>
      <c r="B460" s="2" t="s">
        <v>2481</v>
      </c>
      <c r="C460" s="4" t="s">
        <v>8</v>
      </c>
      <c r="D460" s="11">
        <v>40136</v>
      </c>
      <c r="E460" s="7" t="s">
        <v>2482</v>
      </c>
      <c r="F460" s="4" t="s">
        <v>4736</v>
      </c>
      <c r="G460" s="12" t="str">
        <f>IF(AND(Tabela1[[#This Row],[Data nascimento]]&gt;=$J$2,Tabela1[[#This Row],[Data nascimento]]&lt;=$I$2),"INFANTIL A",H460)</f>
        <v>JUVENIL</v>
      </c>
      <c r="H460" s="3" t="str">
        <f>IF(AND(Tabela1[[#This Row],[Data nascimento]]&gt;=$L$2,Tabela1[[#This Row],[Data nascimento]]&lt;=$K$2),"INFANTIL B",I460)</f>
        <v>JUVENIL</v>
      </c>
      <c r="I460" s="9" t="str">
        <f>IF(AND(Tabela1[[#This Row],[Data nascimento]]&gt;=$N$2,Tabela1[[#This Row],[Data nascimento]]&lt;=$M$2),"INICIADO",J460)</f>
        <v>JUVENIL</v>
      </c>
      <c r="J460" s="9" t="str">
        <f>IF(AND(Tabela1[[#This Row],[Data nascimento]]&gt;=$P$2,Tabela1[[#This Row],[Data nascimento]]&lt;=$O$2),"JUVENIL","JÚNIOR")</f>
        <v>JUVENIL</v>
      </c>
    </row>
    <row r="461" spans="1:10" ht="15" x14ac:dyDescent="0.4">
      <c r="A461" s="13" t="s">
        <v>2483</v>
      </c>
      <c r="B461" s="2" t="s">
        <v>2484</v>
      </c>
      <c r="C461" s="4" t="s">
        <v>8</v>
      </c>
      <c r="D461" s="11">
        <v>39897</v>
      </c>
      <c r="E461" s="7" t="s">
        <v>2485</v>
      </c>
      <c r="F461" s="4" t="s">
        <v>4736</v>
      </c>
      <c r="G461" s="12" t="str">
        <f>IF(AND(Tabela1[[#This Row],[Data nascimento]]&gt;=$J$2,Tabela1[[#This Row],[Data nascimento]]&lt;=$I$2),"INFANTIL A",H461)</f>
        <v>JUVENIL</v>
      </c>
      <c r="H461" s="3" t="str">
        <f>IF(AND(Tabela1[[#This Row],[Data nascimento]]&gt;=$L$2,Tabela1[[#This Row],[Data nascimento]]&lt;=$K$2),"INFANTIL B",I461)</f>
        <v>JUVENIL</v>
      </c>
      <c r="I461" s="9" t="str">
        <f>IF(AND(Tabela1[[#This Row],[Data nascimento]]&gt;=$N$2,Tabela1[[#This Row],[Data nascimento]]&lt;=$M$2),"INICIADO",J461)</f>
        <v>JUVENIL</v>
      </c>
      <c r="J461" s="9" t="str">
        <f>IF(AND(Tabela1[[#This Row],[Data nascimento]]&gt;=$P$2,Tabela1[[#This Row],[Data nascimento]]&lt;=$O$2),"JUVENIL","JÚNIOR")</f>
        <v>JUVENIL</v>
      </c>
    </row>
    <row r="462" spans="1:10" ht="15" x14ac:dyDescent="0.4">
      <c r="A462" s="13" t="s">
        <v>2486</v>
      </c>
      <c r="B462" s="2" t="s">
        <v>2487</v>
      </c>
      <c r="C462" s="4" t="s">
        <v>8</v>
      </c>
      <c r="D462" s="11">
        <v>40080</v>
      </c>
      <c r="E462" s="7" t="s">
        <v>2488</v>
      </c>
      <c r="F462" s="4" t="s">
        <v>4736</v>
      </c>
      <c r="G462" s="12" t="str">
        <f>IF(AND(Tabela1[[#This Row],[Data nascimento]]&gt;=$J$2,Tabela1[[#This Row],[Data nascimento]]&lt;=$I$2),"INFANTIL A",H462)</f>
        <v>JUVENIL</v>
      </c>
      <c r="H462" s="3" t="str">
        <f>IF(AND(Tabela1[[#This Row],[Data nascimento]]&gt;=$L$2,Tabela1[[#This Row],[Data nascimento]]&lt;=$K$2),"INFANTIL B",I462)</f>
        <v>JUVENIL</v>
      </c>
      <c r="I462" s="9" t="str">
        <f>IF(AND(Tabela1[[#This Row],[Data nascimento]]&gt;=$N$2,Tabela1[[#This Row],[Data nascimento]]&lt;=$M$2),"INICIADO",J462)</f>
        <v>JUVENIL</v>
      </c>
      <c r="J462" s="9" t="str">
        <f>IF(AND(Tabela1[[#This Row],[Data nascimento]]&gt;=$P$2,Tabela1[[#This Row],[Data nascimento]]&lt;=$O$2),"JUVENIL","JÚNIOR")</f>
        <v>JUVENIL</v>
      </c>
    </row>
    <row r="463" spans="1:10" ht="15" x14ac:dyDescent="0.4">
      <c r="A463" s="13" t="s">
        <v>2489</v>
      </c>
      <c r="B463" s="2" t="s">
        <v>2490</v>
      </c>
      <c r="C463" s="4" t="s">
        <v>21</v>
      </c>
      <c r="D463" s="11">
        <v>40020</v>
      </c>
      <c r="E463" s="7" t="s">
        <v>2491</v>
      </c>
      <c r="F463" s="4" t="s">
        <v>4736</v>
      </c>
      <c r="G463" s="12" t="str">
        <f>IF(AND(Tabela1[[#This Row],[Data nascimento]]&gt;=$J$2,Tabela1[[#This Row],[Data nascimento]]&lt;=$I$2),"INFANTIL A",H463)</f>
        <v>JUVENIL</v>
      </c>
      <c r="H463" s="3" t="str">
        <f>IF(AND(Tabela1[[#This Row],[Data nascimento]]&gt;=$L$2,Tabela1[[#This Row],[Data nascimento]]&lt;=$K$2),"INFANTIL B",I463)</f>
        <v>JUVENIL</v>
      </c>
      <c r="I463" s="9" t="str">
        <f>IF(AND(Tabela1[[#This Row],[Data nascimento]]&gt;=$N$2,Tabela1[[#This Row],[Data nascimento]]&lt;=$M$2),"INICIADO",J463)</f>
        <v>JUVENIL</v>
      </c>
      <c r="J463" s="9" t="str">
        <f>IF(AND(Tabela1[[#This Row],[Data nascimento]]&gt;=$P$2,Tabela1[[#This Row],[Data nascimento]]&lt;=$O$2),"JUVENIL","JÚNIOR")</f>
        <v>JUVENIL</v>
      </c>
    </row>
    <row r="464" spans="1:10" ht="15" x14ac:dyDescent="0.4">
      <c r="A464" s="13" t="s">
        <v>2492</v>
      </c>
      <c r="B464" s="2" t="s">
        <v>2493</v>
      </c>
      <c r="C464" s="4" t="s">
        <v>8</v>
      </c>
      <c r="D464" s="11">
        <v>40113</v>
      </c>
      <c r="E464" s="7" t="s">
        <v>2494</v>
      </c>
      <c r="F464" s="4" t="s">
        <v>4737</v>
      </c>
      <c r="G464" s="12" t="str">
        <f>IF(AND(Tabela1[[#This Row],[Data nascimento]]&gt;=$J$2,Tabela1[[#This Row],[Data nascimento]]&lt;=$I$2),"INFANTIL A",H464)</f>
        <v>JUVENIL</v>
      </c>
      <c r="H464" s="3" t="str">
        <f>IF(AND(Tabela1[[#This Row],[Data nascimento]]&gt;=$L$2,Tabela1[[#This Row],[Data nascimento]]&lt;=$K$2),"INFANTIL B",I464)</f>
        <v>JUVENIL</v>
      </c>
      <c r="I464" s="9" t="str">
        <f>IF(AND(Tabela1[[#This Row],[Data nascimento]]&gt;=$N$2,Tabela1[[#This Row],[Data nascimento]]&lt;=$M$2),"INICIADO",J464)</f>
        <v>JUVENIL</v>
      </c>
      <c r="J464" s="9" t="str">
        <f>IF(AND(Tabela1[[#This Row],[Data nascimento]]&gt;=$P$2,Tabela1[[#This Row],[Data nascimento]]&lt;=$O$2),"JUVENIL","JÚNIOR")</f>
        <v>JUVENIL</v>
      </c>
    </row>
    <row r="465" spans="1:10" ht="15" x14ac:dyDescent="0.4">
      <c r="A465" s="13" t="s">
        <v>2495</v>
      </c>
      <c r="B465" s="2" t="s">
        <v>2496</v>
      </c>
      <c r="C465" s="4" t="s">
        <v>8</v>
      </c>
      <c r="D465" s="11">
        <v>40011</v>
      </c>
      <c r="E465" s="7" t="s">
        <v>2497</v>
      </c>
      <c r="F465" s="4" t="s">
        <v>4738</v>
      </c>
      <c r="G465" s="12" t="str">
        <f>IF(AND(Tabela1[[#This Row],[Data nascimento]]&gt;=$J$2,Tabela1[[#This Row],[Data nascimento]]&lt;=$I$2),"INFANTIL A",H465)</f>
        <v>JUVENIL</v>
      </c>
      <c r="H465" s="3" t="str">
        <f>IF(AND(Tabela1[[#This Row],[Data nascimento]]&gt;=$L$2,Tabela1[[#This Row],[Data nascimento]]&lt;=$K$2),"INFANTIL B",I465)</f>
        <v>JUVENIL</v>
      </c>
      <c r="I465" s="9" t="str">
        <f>IF(AND(Tabela1[[#This Row],[Data nascimento]]&gt;=$N$2,Tabela1[[#This Row],[Data nascimento]]&lt;=$M$2),"INICIADO",J465)</f>
        <v>JUVENIL</v>
      </c>
      <c r="J465" s="9" t="str">
        <f>IF(AND(Tabela1[[#This Row],[Data nascimento]]&gt;=$P$2,Tabela1[[#This Row],[Data nascimento]]&lt;=$O$2),"JUVENIL","JÚNIOR")</f>
        <v>JUVENIL</v>
      </c>
    </row>
    <row r="466" spans="1:10" ht="15" x14ac:dyDescent="0.4">
      <c r="A466" s="13" t="s">
        <v>2498</v>
      </c>
      <c r="B466" s="2" t="s">
        <v>2499</v>
      </c>
      <c r="C466" s="4" t="s">
        <v>8</v>
      </c>
      <c r="D466" s="11">
        <v>40031</v>
      </c>
      <c r="E466" s="7" t="s">
        <v>2500</v>
      </c>
      <c r="F466" s="4" t="s">
        <v>4738</v>
      </c>
      <c r="G466" s="12" t="str">
        <f>IF(AND(Tabela1[[#This Row],[Data nascimento]]&gt;=$J$2,Tabela1[[#This Row],[Data nascimento]]&lt;=$I$2),"INFANTIL A",H466)</f>
        <v>JUVENIL</v>
      </c>
      <c r="H466" s="3" t="str">
        <f>IF(AND(Tabela1[[#This Row],[Data nascimento]]&gt;=$L$2,Tabela1[[#This Row],[Data nascimento]]&lt;=$K$2),"INFANTIL B",I466)</f>
        <v>JUVENIL</v>
      </c>
      <c r="I466" s="9" t="str">
        <f>IF(AND(Tabela1[[#This Row],[Data nascimento]]&gt;=$N$2,Tabela1[[#This Row],[Data nascimento]]&lt;=$M$2),"INICIADO",J466)</f>
        <v>JUVENIL</v>
      </c>
      <c r="J466" s="9" t="str">
        <f>IF(AND(Tabela1[[#This Row],[Data nascimento]]&gt;=$P$2,Tabela1[[#This Row],[Data nascimento]]&lt;=$O$2),"JUVENIL","JÚNIOR")</f>
        <v>JUVENIL</v>
      </c>
    </row>
    <row r="467" spans="1:10" ht="15" x14ac:dyDescent="0.4">
      <c r="A467" s="13" t="s">
        <v>2501</v>
      </c>
      <c r="B467" s="2" t="s">
        <v>2502</v>
      </c>
      <c r="C467" s="4" t="s">
        <v>21</v>
      </c>
      <c r="D467" s="11">
        <v>39941</v>
      </c>
      <c r="E467" s="7" t="s">
        <v>2503</v>
      </c>
      <c r="F467" s="4" t="s">
        <v>4738</v>
      </c>
      <c r="G467" s="12" t="str">
        <f>IF(AND(Tabela1[[#This Row],[Data nascimento]]&gt;=$J$2,Tabela1[[#This Row],[Data nascimento]]&lt;=$I$2),"INFANTIL A",H467)</f>
        <v>JUVENIL</v>
      </c>
      <c r="H467" s="3" t="str">
        <f>IF(AND(Tabela1[[#This Row],[Data nascimento]]&gt;=$L$2,Tabela1[[#This Row],[Data nascimento]]&lt;=$K$2),"INFANTIL B",I467)</f>
        <v>JUVENIL</v>
      </c>
      <c r="I467" s="9" t="str">
        <f>IF(AND(Tabela1[[#This Row],[Data nascimento]]&gt;=$N$2,Tabela1[[#This Row],[Data nascimento]]&lt;=$M$2),"INICIADO",J467)</f>
        <v>JUVENIL</v>
      </c>
      <c r="J467" s="9" t="str">
        <f>IF(AND(Tabela1[[#This Row],[Data nascimento]]&gt;=$P$2,Tabela1[[#This Row],[Data nascimento]]&lt;=$O$2),"JUVENIL","JÚNIOR")</f>
        <v>JUVENIL</v>
      </c>
    </row>
    <row r="468" spans="1:10" ht="15" x14ac:dyDescent="0.4">
      <c r="A468" s="13" t="s">
        <v>2504</v>
      </c>
      <c r="B468" s="2" t="s">
        <v>2505</v>
      </c>
      <c r="C468" s="4" t="s">
        <v>21</v>
      </c>
      <c r="D468" s="11">
        <v>39966</v>
      </c>
      <c r="E468" s="7" t="s">
        <v>2506</v>
      </c>
      <c r="F468" s="4" t="s">
        <v>4738</v>
      </c>
      <c r="G468" s="12" t="str">
        <f>IF(AND(Tabela1[[#This Row],[Data nascimento]]&gt;=$J$2,Tabela1[[#This Row],[Data nascimento]]&lt;=$I$2),"INFANTIL A",H468)</f>
        <v>JUVENIL</v>
      </c>
      <c r="H468" s="3" t="str">
        <f>IF(AND(Tabela1[[#This Row],[Data nascimento]]&gt;=$L$2,Tabela1[[#This Row],[Data nascimento]]&lt;=$K$2),"INFANTIL B",I468)</f>
        <v>JUVENIL</v>
      </c>
      <c r="I468" s="9" t="str">
        <f>IF(AND(Tabela1[[#This Row],[Data nascimento]]&gt;=$N$2,Tabela1[[#This Row],[Data nascimento]]&lt;=$M$2),"INICIADO",J468)</f>
        <v>JUVENIL</v>
      </c>
      <c r="J468" s="9" t="str">
        <f>IF(AND(Tabela1[[#This Row],[Data nascimento]]&gt;=$P$2,Tabela1[[#This Row],[Data nascimento]]&lt;=$O$2),"JUVENIL","JÚNIOR")</f>
        <v>JUVENIL</v>
      </c>
    </row>
    <row r="469" spans="1:10" ht="15" x14ac:dyDescent="0.4">
      <c r="A469" s="13" t="s">
        <v>2507</v>
      </c>
      <c r="B469" s="2" t="s">
        <v>2508</v>
      </c>
      <c r="C469" s="4" t="s">
        <v>21</v>
      </c>
      <c r="D469" s="11">
        <v>40161</v>
      </c>
      <c r="E469" s="7" t="s">
        <v>2509</v>
      </c>
      <c r="F469" s="4" t="s">
        <v>4738</v>
      </c>
      <c r="G469" s="12" t="str">
        <f>IF(AND(Tabela1[[#This Row],[Data nascimento]]&gt;=$J$2,Tabela1[[#This Row],[Data nascimento]]&lt;=$I$2),"INFANTIL A",H469)</f>
        <v>JUVENIL</v>
      </c>
      <c r="H469" s="3" t="str">
        <f>IF(AND(Tabela1[[#This Row],[Data nascimento]]&gt;=$L$2,Tabela1[[#This Row],[Data nascimento]]&lt;=$K$2),"INFANTIL B",I469)</f>
        <v>JUVENIL</v>
      </c>
      <c r="I469" s="9" t="str">
        <f>IF(AND(Tabela1[[#This Row],[Data nascimento]]&gt;=$N$2,Tabela1[[#This Row],[Data nascimento]]&lt;=$M$2),"INICIADO",J469)</f>
        <v>JUVENIL</v>
      </c>
      <c r="J469" s="9" t="str">
        <f>IF(AND(Tabela1[[#This Row],[Data nascimento]]&gt;=$P$2,Tabela1[[#This Row],[Data nascimento]]&lt;=$O$2),"JUVENIL","JÚNIOR")</f>
        <v>JUVENIL</v>
      </c>
    </row>
    <row r="470" spans="1:10" ht="15" x14ac:dyDescent="0.4">
      <c r="A470" s="13" t="s">
        <v>2510</v>
      </c>
      <c r="B470" s="2" t="s">
        <v>2511</v>
      </c>
      <c r="C470" s="4" t="s">
        <v>21</v>
      </c>
      <c r="D470" s="11">
        <v>39790</v>
      </c>
      <c r="E470" s="7" t="s">
        <v>2512</v>
      </c>
      <c r="F470" s="4" t="s">
        <v>4738</v>
      </c>
      <c r="G470" s="12" t="str">
        <f>IF(AND(Tabela1[[#This Row],[Data nascimento]]&gt;=$J$2,Tabela1[[#This Row],[Data nascimento]]&lt;=$I$2),"INFANTIL A",H470)</f>
        <v>JUVENIL</v>
      </c>
      <c r="H470" s="3" t="str">
        <f>IF(AND(Tabela1[[#This Row],[Data nascimento]]&gt;=$L$2,Tabela1[[#This Row],[Data nascimento]]&lt;=$K$2),"INFANTIL B",I470)</f>
        <v>JUVENIL</v>
      </c>
      <c r="I470" s="9" t="str">
        <f>IF(AND(Tabela1[[#This Row],[Data nascimento]]&gt;=$N$2,Tabela1[[#This Row],[Data nascimento]]&lt;=$M$2),"INICIADO",J470)</f>
        <v>JUVENIL</v>
      </c>
      <c r="J470" s="9" t="str">
        <f>IF(AND(Tabela1[[#This Row],[Data nascimento]]&gt;=$P$2,Tabela1[[#This Row],[Data nascimento]]&lt;=$O$2),"JUVENIL","JÚNIOR")</f>
        <v>JUVENIL</v>
      </c>
    </row>
    <row r="471" spans="1:10" ht="15" x14ac:dyDescent="0.4">
      <c r="A471" s="13" t="s">
        <v>2513</v>
      </c>
      <c r="B471" s="2" t="s">
        <v>2514</v>
      </c>
      <c r="C471" s="4" t="s">
        <v>21</v>
      </c>
      <c r="D471" s="11">
        <v>40043</v>
      </c>
      <c r="E471" s="7" t="s">
        <v>2515</v>
      </c>
      <c r="F471" s="4" t="s">
        <v>4738</v>
      </c>
      <c r="G471" s="12" t="str">
        <f>IF(AND(Tabela1[[#This Row],[Data nascimento]]&gt;=$J$2,Tabela1[[#This Row],[Data nascimento]]&lt;=$I$2),"INFANTIL A",H471)</f>
        <v>JUVENIL</v>
      </c>
      <c r="H471" s="3" t="str">
        <f>IF(AND(Tabela1[[#This Row],[Data nascimento]]&gt;=$L$2,Tabela1[[#This Row],[Data nascimento]]&lt;=$K$2),"INFANTIL B",I471)</f>
        <v>JUVENIL</v>
      </c>
      <c r="I471" s="9" t="str">
        <f>IF(AND(Tabela1[[#This Row],[Data nascimento]]&gt;=$N$2,Tabela1[[#This Row],[Data nascimento]]&lt;=$M$2),"INICIADO",J471)</f>
        <v>JUVENIL</v>
      </c>
      <c r="J471" s="9" t="str">
        <f>IF(AND(Tabela1[[#This Row],[Data nascimento]]&gt;=$P$2,Tabela1[[#This Row],[Data nascimento]]&lt;=$O$2),"JUVENIL","JÚNIOR")</f>
        <v>JUVENIL</v>
      </c>
    </row>
    <row r="472" spans="1:10" ht="15" x14ac:dyDescent="0.4">
      <c r="A472" s="13" t="s">
        <v>2516</v>
      </c>
      <c r="B472" s="2" t="s">
        <v>2517</v>
      </c>
      <c r="C472" s="4" t="s">
        <v>8</v>
      </c>
      <c r="D472" s="11">
        <v>39883</v>
      </c>
      <c r="E472" s="7" t="s">
        <v>2518</v>
      </c>
      <c r="F472" s="4" t="s">
        <v>4738</v>
      </c>
      <c r="G472" s="12" t="str">
        <f>IF(AND(Tabela1[[#This Row],[Data nascimento]]&gt;=$J$2,Tabela1[[#This Row],[Data nascimento]]&lt;=$I$2),"INFANTIL A",H472)</f>
        <v>JUVENIL</v>
      </c>
      <c r="H472" s="3" t="str">
        <f>IF(AND(Tabela1[[#This Row],[Data nascimento]]&gt;=$L$2,Tabela1[[#This Row],[Data nascimento]]&lt;=$K$2),"INFANTIL B",I472)</f>
        <v>JUVENIL</v>
      </c>
      <c r="I472" s="9" t="str">
        <f>IF(AND(Tabela1[[#This Row],[Data nascimento]]&gt;=$N$2,Tabela1[[#This Row],[Data nascimento]]&lt;=$M$2),"INICIADO",J472)</f>
        <v>JUVENIL</v>
      </c>
      <c r="J472" s="9" t="str">
        <f>IF(AND(Tabela1[[#This Row],[Data nascimento]]&gt;=$P$2,Tabela1[[#This Row],[Data nascimento]]&lt;=$O$2),"JUVENIL","JÚNIOR")</f>
        <v>JUVENIL</v>
      </c>
    </row>
    <row r="473" spans="1:10" ht="15" x14ac:dyDescent="0.4">
      <c r="A473" s="13" t="s">
        <v>2519</v>
      </c>
      <c r="B473" s="2" t="s">
        <v>2520</v>
      </c>
      <c r="C473" s="4" t="s">
        <v>8</v>
      </c>
      <c r="D473" s="11">
        <v>39789</v>
      </c>
      <c r="E473" s="7" t="s">
        <v>2521</v>
      </c>
      <c r="F473" s="4" t="s">
        <v>4738</v>
      </c>
      <c r="G473" s="12" t="str">
        <f>IF(AND(Tabela1[[#This Row],[Data nascimento]]&gt;=$J$2,Tabela1[[#This Row],[Data nascimento]]&lt;=$I$2),"INFANTIL A",H473)</f>
        <v>JUVENIL</v>
      </c>
      <c r="H473" s="3" t="str">
        <f>IF(AND(Tabela1[[#This Row],[Data nascimento]]&gt;=$L$2,Tabela1[[#This Row],[Data nascimento]]&lt;=$K$2),"INFANTIL B",I473)</f>
        <v>JUVENIL</v>
      </c>
      <c r="I473" s="9" t="str">
        <f>IF(AND(Tabela1[[#This Row],[Data nascimento]]&gt;=$N$2,Tabela1[[#This Row],[Data nascimento]]&lt;=$M$2),"INICIADO",J473)</f>
        <v>JUVENIL</v>
      </c>
      <c r="J473" s="9" t="str">
        <f>IF(AND(Tabela1[[#This Row],[Data nascimento]]&gt;=$P$2,Tabela1[[#This Row],[Data nascimento]]&lt;=$O$2),"JUVENIL","JÚNIOR")</f>
        <v>JUVENIL</v>
      </c>
    </row>
    <row r="474" spans="1:10" ht="15" x14ac:dyDescent="0.4">
      <c r="A474" s="13" t="s">
        <v>2522</v>
      </c>
      <c r="B474" s="2" t="s">
        <v>2523</v>
      </c>
      <c r="C474" s="4" t="s">
        <v>8</v>
      </c>
      <c r="D474" s="11">
        <v>40010</v>
      </c>
      <c r="E474" s="7" t="s">
        <v>2524</v>
      </c>
      <c r="F474" s="4" t="s">
        <v>4738</v>
      </c>
      <c r="G474" s="12" t="str">
        <f>IF(AND(Tabela1[[#This Row],[Data nascimento]]&gt;=$J$2,Tabela1[[#This Row],[Data nascimento]]&lt;=$I$2),"INFANTIL A",H474)</f>
        <v>JUVENIL</v>
      </c>
      <c r="H474" s="3" t="str">
        <f>IF(AND(Tabela1[[#This Row],[Data nascimento]]&gt;=$L$2,Tabela1[[#This Row],[Data nascimento]]&lt;=$K$2),"INFANTIL B",I474)</f>
        <v>JUVENIL</v>
      </c>
      <c r="I474" s="9" t="str">
        <f>IF(AND(Tabela1[[#This Row],[Data nascimento]]&gt;=$N$2,Tabela1[[#This Row],[Data nascimento]]&lt;=$M$2),"INICIADO",J474)</f>
        <v>JUVENIL</v>
      </c>
      <c r="J474" s="9" t="str">
        <f>IF(AND(Tabela1[[#This Row],[Data nascimento]]&gt;=$P$2,Tabela1[[#This Row],[Data nascimento]]&lt;=$O$2),"JUVENIL","JÚNIOR")</f>
        <v>JUVENIL</v>
      </c>
    </row>
    <row r="475" spans="1:10" ht="15" x14ac:dyDescent="0.4">
      <c r="A475" s="13" t="s">
        <v>2525</v>
      </c>
      <c r="B475" s="2" t="s">
        <v>2526</v>
      </c>
      <c r="C475" s="4" t="s">
        <v>8</v>
      </c>
      <c r="D475" s="11">
        <v>40052</v>
      </c>
      <c r="E475" s="7" t="s">
        <v>2527</v>
      </c>
      <c r="F475" s="4" t="s">
        <v>4738</v>
      </c>
      <c r="G475" s="12" t="str">
        <f>IF(AND(Tabela1[[#This Row],[Data nascimento]]&gt;=$J$2,Tabela1[[#This Row],[Data nascimento]]&lt;=$I$2),"INFANTIL A",H475)</f>
        <v>JUVENIL</v>
      </c>
      <c r="H475" s="3" t="str">
        <f>IF(AND(Tabela1[[#This Row],[Data nascimento]]&gt;=$L$2,Tabela1[[#This Row],[Data nascimento]]&lt;=$K$2),"INFANTIL B",I475)</f>
        <v>JUVENIL</v>
      </c>
      <c r="I475" s="9" t="str">
        <f>IF(AND(Tabela1[[#This Row],[Data nascimento]]&gt;=$N$2,Tabela1[[#This Row],[Data nascimento]]&lt;=$M$2),"INICIADO",J475)</f>
        <v>JUVENIL</v>
      </c>
      <c r="J475" s="9" t="str">
        <f>IF(AND(Tabela1[[#This Row],[Data nascimento]]&gt;=$P$2,Tabela1[[#This Row],[Data nascimento]]&lt;=$O$2),"JUVENIL","JÚNIOR")</f>
        <v>JUVENIL</v>
      </c>
    </row>
    <row r="476" spans="1:10" ht="15" x14ac:dyDescent="0.4">
      <c r="A476" s="13" t="s">
        <v>2528</v>
      </c>
      <c r="B476" s="2" t="s">
        <v>2529</v>
      </c>
      <c r="C476" s="4" t="s">
        <v>21</v>
      </c>
      <c r="D476" s="11">
        <v>40032</v>
      </c>
      <c r="E476" s="7" t="s">
        <v>2530</v>
      </c>
      <c r="F476" s="4" t="s">
        <v>4738</v>
      </c>
      <c r="G476" s="12" t="str">
        <f>IF(AND(Tabela1[[#This Row],[Data nascimento]]&gt;=$J$2,Tabela1[[#This Row],[Data nascimento]]&lt;=$I$2),"INFANTIL A",H476)</f>
        <v>JUVENIL</v>
      </c>
      <c r="H476" s="3" t="str">
        <f>IF(AND(Tabela1[[#This Row],[Data nascimento]]&gt;=$L$2,Tabela1[[#This Row],[Data nascimento]]&lt;=$K$2),"INFANTIL B",I476)</f>
        <v>JUVENIL</v>
      </c>
      <c r="I476" s="9" t="str">
        <f>IF(AND(Tabela1[[#This Row],[Data nascimento]]&gt;=$N$2,Tabela1[[#This Row],[Data nascimento]]&lt;=$M$2),"INICIADO",J476)</f>
        <v>JUVENIL</v>
      </c>
      <c r="J476" s="9" t="str">
        <f>IF(AND(Tabela1[[#This Row],[Data nascimento]]&gt;=$P$2,Tabela1[[#This Row],[Data nascimento]]&lt;=$O$2),"JUVENIL","JÚNIOR")</f>
        <v>JUVENIL</v>
      </c>
    </row>
    <row r="477" spans="1:10" ht="15" x14ac:dyDescent="0.4">
      <c r="A477" s="13" t="s">
        <v>2531</v>
      </c>
      <c r="B477" s="2" t="s">
        <v>2532</v>
      </c>
      <c r="C477" s="4" t="s">
        <v>21</v>
      </c>
      <c r="D477" s="11">
        <v>40064</v>
      </c>
      <c r="E477" s="7" t="s">
        <v>2533</v>
      </c>
      <c r="F477" s="4" t="s">
        <v>4738</v>
      </c>
      <c r="G477" s="12" t="str">
        <f>IF(AND(Tabela1[[#This Row],[Data nascimento]]&gt;=$J$2,Tabela1[[#This Row],[Data nascimento]]&lt;=$I$2),"INFANTIL A",H477)</f>
        <v>JUVENIL</v>
      </c>
      <c r="H477" s="3" t="str">
        <f>IF(AND(Tabela1[[#This Row],[Data nascimento]]&gt;=$L$2,Tabela1[[#This Row],[Data nascimento]]&lt;=$K$2),"INFANTIL B",I477)</f>
        <v>JUVENIL</v>
      </c>
      <c r="I477" s="9" t="str">
        <f>IF(AND(Tabela1[[#This Row],[Data nascimento]]&gt;=$N$2,Tabela1[[#This Row],[Data nascimento]]&lt;=$M$2),"INICIADO",J477)</f>
        <v>JUVENIL</v>
      </c>
      <c r="J477" s="9" t="str">
        <f>IF(AND(Tabela1[[#This Row],[Data nascimento]]&gt;=$P$2,Tabela1[[#This Row],[Data nascimento]]&lt;=$O$2),"JUVENIL","JÚNIOR")</f>
        <v>JUVENIL</v>
      </c>
    </row>
    <row r="478" spans="1:10" ht="15" x14ac:dyDescent="0.4">
      <c r="A478" s="13" t="s">
        <v>2534</v>
      </c>
      <c r="B478" s="2" t="s">
        <v>2535</v>
      </c>
      <c r="C478" s="4" t="s">
        <v>21</v>
      </c>
      <c r="D478" s="11">
        <v>39923</v>
      </c>
      <c r="E478" s="7" t="s">
        <v>2536</v>
      </c>
      <c r="F478" s="4" t="s">
        <v>4738</v>
      </c>
      <c r="G478" s="12" t="str">
        <f>IF(AND(Tabela1[[#This Row],[Data nascimento]]&gt;=$J$2,Tabela1[[#This Row],[Data nascimento]]&lt;=$I$2),"INFANTIL A",H478)</f>
        <v>JUVENIL</v>
      </c>
      <c r="H478" s="3" t="str">
        <f>IF(AND(Tabela1[[#This Row],[Data nascimento]]&gt;=$L$2,Tabela1[[#This Row],[Data nascimento]]&lt;=$K$2),"INFANTIL B",I478)</f>
        <v>JUVENIL</v>
      </c>
      <c r="I478" s="9" t="str">
        <f>IF(AND(Tabela1[[#This Row],[Data nascimento]]&gt;=$N$2,Tabela1[[#This Row],[Data nascimento]]&lt;=$M$2),"INICIADO",J478)</f>
        <v>JUVENIL</v>
      </c>
      <c r="J478" s="9" t="str">
        <f>IF(AND(Tabela1[[#This Row],[Data nascimento]]&gt;=$P$2,Tabela1[[#This Row],[Data nascimento]]&lt;=$O$2),"JUVENIL","JÚNIOR")</f>
        <v>JUVENIL</v>
      </c>
    </row>
    <row r="479" spans="1:10" ht="15" x14ac:dyDescent="0.4">
      <c r="A479" s="13" t="s">
        <v>2537</v>
      </c>
      <c r="B479" s="2" t="s">
        <v>2538</v>
      </c>
      <c r="C479" s="4" t="s">
        <v>21</v>
      </c>
      <c r="D479" s="11">
        <v>40045</v>
      </c>
      <c r="E479" s="7" t="s">
        <v>2539</v>
      </c>
      <c r="F479" s="4" t="s">
        <v>4738</v>
      </c>
      <c r="G479" s="12" t="str">
        <f>IF(AND(Tabela1[[#This Row],[Data nascimento]]&gt;=$J$2,Tabela1[[#This Row],[Data nascimento]]&lt;=$I$2),"INFANTIL A",H479)</f>
        <v>JUVENIL</v>
      </c>
      <c r="H479" s="3" t="str">
        <f>IF(AND(Tabela1[[#This Row],[Data nascimento]]&gt;=$L$2,Tabela1[[#This Row],[Data nascimento]]&lt;=$K$2),"INFANTIL B",I479)</f>
        <v>JUVENIL</v>
      </c>
      <c r="I479" s="9" t="str">
        <f>IF(AND(Tabela1[[#This Row],[Data nascimento]]&gt;=$N$2,Tabela1[[#This Row],[Data nascimento]]&lt;=$M$2),"INICIADO",J479)</f>
        <v>JUVENIL</v>
      </c>
      <c r="J479" s="9" t="str">
        <f>IF(AND(Tabela1[[#This Row],[Data nascimento]]&gt;=$P$2,Tabela1[[#This Row],[Data nascimento]]&lt;=$O$2),"JUVENIL","JÚNIOR")</f>
        <v>JUVENIL</v>
      </c>
    </row>
    <row r="480" spans="1:10" ht="15" x14ac:dyDescent="0.4">
      <c r="A480" s="13" t="s">
        <v>2540</v>
      </c>
      <c r="B480" s="2" t="s">
        <v>2541</v>
      </c>
      <c r="C480" s="4" t="s">
        <v>8</v>
      </c>
      <c r="D480" s="11">
        <v>39975</v>
      </c>
      <c r="E480" s="7" t="s">
        <v>2542</v>
      </c>
      <c r="F480" s="4" t="s">
        <v>4738</v>
      </c>
      <c r="G480" s="12" t="str">
        <f>IF(AND(Tabela1[[#This Row],[Data nascimento]]&gt;=$J$2,Tabela1[[#This Row],[Data nascimento]]&lt;=$I$2),"INFANTIL A",H480)</f>
        <v>JUVENIL</v>
      </c>
      <c r="H480" s="3" t="str">
        <f>IF(AND(Tabela1[[#This Row],[Data nascimento]]&gt;=$L$2,Tabela1[[#This Row],[Data nascimento]]&lt;=$K$2),"INFANTIL B",I480)</f>
        <v>JUVENIL</v>
      </c>
      <c r="I480" s="9" t="str">
        <f>IF(AND(Tabela1[[#This Row],[Data nascimento]]&gt;=$N$2,Tabela1[[#This Row],[Data nascimento]]&lt;=$M$2),"INICIADO",J480)</f>
        <v>JUVENIL</v>
      </c>
      <c r="J480" s="9" t="str">
        <f>IF(AND(Tabela1[[#This Row],[Data nascimento]]&gt;=$P$2,Tabela1[[#This Row],[Data nascimento]]&lt;=$O$2),"JUVENIL","JÚNIOR")</f>
        <v>JUVENIL</v>
      </c>
    </row>
    <row r="481" spans="1:10" ht="15" x14ac:dyDescent="0.4">
      <c r="A481" s="13" t="s">
        <v>2543</v>
      </c>
      <c r="B481" s="2" t="s">
        <v>2544</v>
      </c>
      <c r="C481" s="4" t="s">
        <v>21</v>
      </c>
      <c r="D481" s="11">
        <v>39886</v>
      </c>
      <c r="E481" s="7" t="s">
        <v>2545</v>
      </c>
      <c r="F481" s="4" t="s">
        <v>4738</v>
      </c>
      <c r="G481" s="12" t="str">
        <f>IF(AND(Tabela1[[#This Row],[Data nascimento]]&gt;=$J$2,Tabela1[[#This Row],[Data nascimento]]&lt;=$I$2),"INFANTIL A",H481)</f>
        <v>JUVENIL</v>
      </c>
      <c r="H481" s="3" t="str">
        <f>IF(AND(Tabela1[[#This Row],[Data nascimento]]&gt;=$L$2,Tabela1[[#This Row],[Data nascimento]]&lt;=$K$2),"INFANTIL B",I481)</f>
        <v>JUVENIL</v>
      </c>
      <c r="I481" s="9" t="str">
        <f>IF(AND(Tabela1[[#This Row],[Data nascimento]]&gt;=$N$2,Tabela1[[#This Row],[Data nascimento]]&lt;=$M$2),"INICIADO",J481)</f>
        <v>JUVENIL</v>
      </c>
      <c r="J481" s="9" t="str">
        <f>IF(AND(Tabela1[[#This Row],[Data nascimento]]&gt;=$P$2,Tabela1[[#This Row],[Data nascimento]]&lt;=$O$2),"JUVENIL","JÚNIOR")</f>
        <v>JUVENIL</v>
      </c>
    </row>
    <row r="482" spans="1:10" ht="15" x14ac:dyDescent="0.4">
      <c r="A482" s="13" t="s">
        <v>2546</v>
      </c>
      <c r="B482" s="2" t="s">
        <v>2547</v>
      </c>
      <c r="C482" s="4" t="s">
        <v>21</v>
      </c>
      <c r="D482" s="11">
        <v>40048</v>
      </c>
      <c r="E482" s="7" t="s">
        <v>2548</v>
      </c>
      <c r="F482" s="4" t="s">
        <v>4738</v>
      </c>
      <c r="G482" s="12" t="str">
        <f>IF(AND(Tabela1[[#This Row],[Data nascimento]]&gt;=$J$2,Tabela1[[#This Row],[Data nascimento]]&lt;=$I$2),"INFANTIL A",H482)</f>
        <v>JUVENIL</v>
      </c>
      <c r="H482" s="3" t="str">
        <f>IF(AND(Tabela1[[#This Row],[Data nascimento]]&gt;=$L$2,Tabela1[[#This Row],[Data nascimento]]&lt;=$K$2),"INFANTIL B",I482)</f>
        <v>JUVENIL</v>
      </c>
      <c r="I482" s="9" t="str">
        <f>IF(AND(Tabela1[[#This Row],[Data nascimento]]&gt;=$N$2,Tabela1[[#This Row],[Data nascimento]]&lt;=$M$2),"INICIADO",J482)</f>
        <v>JUVENIL</v>
      </c>
      <c r="J482" s="9" t="str">
        <f>IF(AND(Tabela1[[#This Row],[Data nascimento]]&gt;=$P$2,Tabela1[[#This Row],[Data nascimento]]&lt;=$O$2),"JUVENIL","JÚNIOR")</f>
        <v>JUVENIL</v>
      </c>
    </row>
    <row r="483" spans="1:10" ht="15" x14ac:dyDescent="0.4">
      <c r="A483" s="13" t="s">
        <v>2549</v>
      </c>
      <c r="B483" s="2" t="s">
        <v>2550</v>
      </c>
      <c r="C483" s="4" t="s">
        <v>8</v>
      </c>
      <c r="D483" s="11">
        <v>39983</v>
      </c>
      <c r="E483" s="7" t="s">
        <v>2551</v>
      </c>
      <c r="F483" s="4" t="s">
        <v>4738</v>
      </c>
      <c r="G483" s="12" t="str">
        <f>IF(AND(Tabela1[[#This Row],[Data nascimento]]&gt;=$J$2,Tabela1[[#This Row],[Data nascimento]]&lt;=$I$2),"INFANTIL A",H483)</f>
        <v>JUVENIL</v>
      </c>
      <c r="H483" s="3" t="str">
        <f>IF(AND(Tabela1[[#This Row],[Data nascimento]]&gt;=$L$2,Tabela1[[#This Row],[Data nascimento]]&lt;=$K$2),"INFANTIL B",I483)</f>
        <v>JUVENIL</v>
      </c>
      <c r="I483" s="9" t="str">
        <f>IF(AND(Tabela1[[#This Row],[Data nascimento]]&gt;=$N$2,Tabela1[[#This Row],[Data nascimento]]&lt;=$M$2),"INICIADO",J483)</f>
        <v>JUVENIL</v>
      </c>
      <c r="J483" s="9" t="str">
        <f>IF(AND(Tabela1[[#This Row],[Data nascimento]]&gt;=$P$2,Tabela1[[#This Row],[Data nascimento]]&lt;=$O$2),"JUVENIL","JÚNIOR")</f>
        <v>JUVENIL</v>
      </c>
    </row>
    <row r="484" spans="1:10" ht="15" x14ac:dyDescent="0.4">
      <c r="A484" s="13" t="s">
        <v>2552</v>
      </c>
      <c r="B484" s="2" t="s">
        <v>2553</v>
      </c>
      <c r="C484" s="4" t="s">
        <v>8</v>
      </c>
      <c r="D484" s="11">
        <v>40005</v>
      </c>
      <c r="E484" s="7" t="s">
        <v>2554</v>
      </c>
      <c r="F484" s="4" t="s">
        <v>4738</v>
      </c>
      <c r="G484" s="12" t="str">
        <f>IF(AND(Tabela1[[#This Row],[Data nascimento]]&gt;=$J$2,Tabela1[[#This Row],[Data nascimento]]&lt;=$I$2),"INFANTIL A",H484)</f>
        <v>JUVENIL</v>
      </c>
      <c r="H484" s="3" t="str">
        <f>IF(AND(Tabela1[[#This Row],[Data nascimento]]&gt;=$L$2,Tabela1[[#This Row],[Data nascimento]]&lt;=$K$2),"INFANTIL B",I484)</f>
        <v>JUVENIL</v>
      </c>
      <c r="I484" s="9" t="str">
        <f>IF(AND(Tabela1[[#This Row],[Data nascimento]]&gt;=$N$2,Tabela1[[#This Row],[Data nascimento]]&lt;=$M$2),"INICIADO",J484)</f>
        <v>JUVENIL</v>
      </c>
      <c r="J484" s="9" t="str">
        <f>IF(AND(Tabela1[[#This Row],[Data nascimento]]&gt;=$P$2,Tabela1[[#This Row],[Data nascimento]]&lt;=$O$2),"JUVENIL","JÚNIOR")</f>
        <v>JUVENIL</v>
      </c>
    </row>
    <row r="485" spans="1:10" ht="15" x14ac:dyDescent="0.4">
      <c r="A485" s="13" t="s">
        <v>2555</v>
      </c>
      <c r="B485" s="2" t="s">
        <v>2556</v>
      </c>
      <c r="C485" s="4" t="s">
        <v>8</v>
      </c>
      <c r="D485" s="11">
        <v>40123</v>
      </c>
      <c r="E485" s="7" t="s">
        <v>2557</v>
      </c>
      <c r="F485" s="4" t="s">
        <v>4737</v>
      </c>
      <c r="G485" s="12" t="str">
        <f>IF(AND(Tabela1[[#This Row],[Data nascimento]]&gt;=$J$2,Tabela1[[#This Row],[Data nascimento]]&lt;=$I$2),"INFANTIL A",H485)</f>
        <v>JUVENIL</v>
      </c>
      <c r="H485" s="3" t="str">
        <f>IF(AND(Tabela1[[#This Row],[Data nascimento]]&gt;=$L$2,Tabela1[[#This Row],[Data nascimento]]&lt;=$K$2),"INFANTIL B",I485)</f>
        <v>JUVENIL</v>
      </c>
      <c r="I485" s="9" t="str">
        <f>IF(AND(Tabela1[[#This Row],[Data nascimento]]&gt;=$N$2,Tabela1[[#This Row],[Data nascimento]]&lt;=$M$2),"INICIADO",J485)</f>
        <v>JUVENIL</v>
      </c>
      <c r="J485" s="9" t="str">
        <f>IF(AND(Tabela1[[#This Row],[Data nascimento]]&gt;=$P$2,Tabela1[[#This Row],[Data nascimento]]&lt;=$O$2),"JUVENIL","JÚNIOR")</f>
        <v>JUVENIL</v>
      </c>
    </row>
    <row r="486" spans="1:10" ht="15" x14ac:dyDescent="0.4">
      <c r="A486" s="13" t="s">
        <v>2558</v>
      </c>
      <c r="B486" s="2" t="s">
        <v>2559</v>
      </c>
      <c r="C486" s="4" t="s">
        <v>8</v>
      </c>
      <c r="D486" s="11">
        <v>40157</v>
      </c>
      <c r="E486" s="7" t="s">
        <v>2560</v>
      </c>
      <c r="F486" s="4" t="s">
        <v>4737</v>
      </c>
      <c r="G486" s="12" t="str">
        <f>IF(AND(Tabela1[[#This Row],[Data nascimento]]&gt;=$J$2,Tabela1[[#This Row],[Data nascimento]]&lt;=$I$2),"INFANTIL A",H486)</f>
        <v>JUVENIL</v>
      </c>
      <c r="H486" s="3" t="str">
        <f>IF(AND(Tabela1[[#This Row],[Data nascimento]]&gt;=$L$2,Tabela1[[#This Row],[Data nascimento]]&lt;=$K$2),"INFANTIL B",I486)</f>
        <v>JUVENIL</v>
      </c>
      <c r="I486" s="9" t="str">
        <f>IF(AND(Tabela1[[#This Row],[Data nascimento]]&gt;=$N$2,Tabela1[[#This Row],[Data nascimento]]&lt;=$M$2),"INICIADO",J486)</f>
        <v>JUVENIL</v>
      </c>
      <c r="J486" s="9" t="str">
        <f>IF(AND(Tabela1[[#This Row],[Data nascimento]]&gt;=$P$2,Tabela1[[#This Row],[Data nascimento]]&lt;=$O$2),"JUVENIL","JÚNIOR")</f>
        <v>JUVENIL</v>
      </c>
    </row>
    <row r="487" spans="1:10" ht="15" x14ac:dyDescent="0.4">
      <c r="A487" s="13" t="s">
        <v>2561</v>
      </c>
      <c r="B487" s="2" t="s">
        <v>2562</v>
      </c>
      <c r="C487" s="4" t="s">
        <v>8</v>
      </c>
      <c r="D487" s="11">
        <v>39706</v>
      </c>
      <c r="E487" s="7" t="s">
        <v>2563</v>
      </c>
      <c r="F487" s="4" t="s">
        <v>4737</v>
      </c>
      <c r="G487" s="12" t="str">
        <f>IF(AND(Tabela1[[#This Row],[Data nascimento]]&gt;=$J$2,Tabela1[[#This Row],[Data nascimento]]&lt;=$I$2),"INFANTIL A",H487)</f>
        <v>JUVENIL</v>
      </c>
      <c r="H487" s="3" t="str">
        <f>IF(AND(Tabela1[[#This Row],[Data nascimento]]&gt;=$L$2,Tabela1[[#This Row],[Data nascimento]]&lt;=$K$2),"INFANTIL B",I487)</f>
        <v>JUVENIL</v>
      </c>
      <c r="I487" s="9" t="str">
        <f>IF(AND(Tabela1[[#This Row],[Data nascimento]]&gt;=$N$2,Tabela1[[#This Row],[Data nascimento]]&lt;=$M$2),"INICIADO",J487)</f>
        <v>JUVENIL</v>
      </c>
      <c r="J487" s="9" t="str">
        <f>IF(AND(Tabela1[[#This Row],[Data nascimento]]&gt;=$P$2,Tabela1[[#This Row],[Data nascimento]]&lt;=$O$2),"JUVENIL","JÚNIOR")</f>
        <v>JUVENIL</v>
      </c>
    </row>
    <row r="488" spans="1:10" ht="15" x14ac:dyDescent="0.4">
      <c r="A488" s="13" t="s">
        <v>2564</v>
      </c>
      <c r="B488" s="2" t="s">
        <v>2565</v>
      </c>
      <c r="C488" s="4" t="s">
        <v>21</v>
      </c>
      <c r="D488" s="11">
        <v>40086</v>
      </c>
      <c r="E488" s="7" t="s">
        <v>2566</v>
      </c>
      <c r="F488" s="4" t="s">
        <v>4737</v>
      </c>
      <c r="G488" s="12" t="str">
        <f>IF(AND(Tabela1[[#This Row],[Data nascimento]]&gt;=$J$2,Tabela1[[#This Row],[Data nascimento]]&lt;=$I$2),"INFANTIL A",H488)</f>
        <v>JUVENIL</v>
      </c>
      <c r="H488" s="3" t="str">
        <f>IF(AND(Tabela1[[#This Row],[Data nascimento]]&gt;=$L$2,Tabela1[[#This Row],[Data nascimento]]&lt;=$K$2),"INFANTIL B",I488)</f>
        <v>JUVENIL</v>
      </c>
      <c r="I488" s="9" t="str">
        <f>IF(AND(Tabela1[[#This Row],[Data nascimento]]&gt;=$N$2,Tabela1[[#This Row],[Data nascimento]]&lt;=$M$2),"INICIADO",J488)</f>
        <v>JUVENIL</v>
      </c>
      <c r="J488" s="9" t="str">
        <f>IF(AND(Tabela1[[#This Row],[Data nascimento]]&gt;=$P$2,Tabela1[[#This Row],[Data nascimento]]&lt;=$O$2),"JUVENIL","JÚNIOR")</f>
        <v>JUVENIL</v>
      </c>
    </row>
    <row r="489" spans="1:10" ht="15" x14ac:dyDescent="0.4">
      <c r="A489" s="13" t="s">
        <v>2567</v>
      </c>
      <c r="B489" s="2" t="s">
        <v>2568</v>
      </c>
      <c r="C489" s="4" t="s">
        <v>8</v>
      </c>
      <c r="D489" s="11">
        <v>39859</v>
      </c>
      <c r="E489" s="7" t="s">
        <v>2569</v>
      </c>
      <c r="F489" s="4" t="s">
        <v>4737</v>
      </c>
      <c r="G489" s="12" t="str">
        <f>IF(AND(Tabela1[[#This Row],[Data nascimento]]&gt;=$J$2,Tabela1[[#This Row],[Data nascimento]]&lt;=$I$2),"INFANTIL A",H489)</f>
        <v>JUVENIL</v>
      </c>
      <c r="H489" s="3" t="str">
        <f>IF(AND(Tabela1[[#This Row],[Data nascimento]]&gt;=$L$2,Tabela1[[#This Row],[Data nascimento]]&lt;=$K$2),"INFANTIL B",I489)</f>
        <v>JUVENIL</v>
      </c>
      <c r="I489" s="9" t="str">
        <f>IF(AND(Tabela1[[#This Row],[Data nascimento]]&gt;=$N$2,Tabela1[[#This Row],[Data nascimento]]&lt;=$M$2),"INICIADO",J489)</f>
        <v>JUVENIL</v>
      </c>
      <c r="J489" s="9" t="str">
        <f>IF(AND(Tabela1[[#This Row],[Data nascimento]]&gt;=$P$2,Tabela1[[#This Row],[Data nascimento]]&lt;=$O$2),"JUVENIL","JÚNIOR")</f>
        <v>JUVENIL</v>
      </c>
    </row>
    <row r="490" spans="1:10" ht="15" x14ac:dyDescent="0.4">
      <c r="A490" s="13" t="s">
        <v>2570</v>
      </c>
      <c r="B490" s="2" t="s">
        <v>2571</v>
      </c>
      <c r="C490" s="4" t="s">
        <v>21</v>
      </c>
      <c r="D490" s="11">
        <v>39877</v>
      </c>
      <c r="E490" s="7" t="s">
        <v>2572</v>
      </c>
      <c r="F490" s="4" t="s">
        <v>4737</v>
      </c>
      <c r="G490" s="12" t="str">
        <f>IF(AND(Tabela1[[#This Row],[Data nascimento]]&gt;=$J$2,Tabela1[[#This Row],[Data nascimento]]&lt;=$I$2),"INFANTIL A",H490)</f>
        <v>JUVENIL</v>
      </c>
      <c r="H490" s="3" t="str">
        <f>IF(AND(Tabela1[[#This Row],[Data nascimento]]&gt;=$L$2,Tabela1[[#This Row],[Data nascimento]]&lt;=$K$2),"INFANTIL B",I490)</f>
        <v>JUVENIL</v>
      </c>
      <c r="I490" s="9" t="str">
        <f>IF(AND(Tabela1[[#This Row],[Data nascimento]]&gt;=$N$2,Tabela1[[#This Row],[Data nascimento]]&lt;=$M$2),"INICIADO",J490)</f>
        <v>JUVENIL</v>
      </c>
      <c r="J490" s="9" t="str">
        <f>IF(AND(Tabela1[[#This Row],[Data nascimento]]&gt;=$P$2,Tabela1[[#This Row],[Data nascimento]]&lt;=$O$2),"JUVENIL","JÚNIOR")</f>
        <v>JUVENIL</v>
      </c>
    </row>
    <row r="491" spans="1:10" ht="15" x14ac:dyDescent="0.4">
      <c r="A491" s="13" t="s">
        <v>2573</v>
      </c>
      <c r="B491" s="2" t="s">
        <v>2574</v>
      </c>
      <c r="C491" s="4" t="s">
        <v>21</v>
      </c>
      <c r="D491" s="11">
        <v>40292</v>
      </c>
      <c r="E491" s="7" t="s">
        <v>2575</v>
      </c>
      <c r="F491" s="4" t="s">
        <v>4737</v>
      </c>
      <c r="G491" s="12" t="str">
        <f>IF(AND(Tabela1[[#This Row],[Data nascimento]]&gt;=$J$2,Tabela1[[#This Row],[Data nascimento]]&lt;=$I$2),"INFANTIL A",H491)</f>
        <v>JUVENIL</v>
      </c>
      <c r="H491" s="3" t="str">
        <f>IF(AND(Tabela1[[#This Row],[Data nascimento]]&gt;=$L$2,Tabela1[[#This Row],[Data nascimento]]&lt;=$K$2),"INFANTIL B",I491)</f>
        <v>JUVENIL</v>
      </c>
      <c r="I491" s="9" t="str">
        <f>IF(AND(Tabela1[[#This Row],[Data nascimento]]&gt;=$N$2,Tabela1[[#This Row],[Data nascimento]]&lt;=$M$2),"INICIADO",J491)</f>
        <v>JUVENIL</v>
      </c>
      <c r="J491" s="9" t="str">
        <f>IF(AND(Tabela1[[#This Row],[Data nascimento]]&gt;=$P$2,Tabela1[[#This Row],[Data nascimento]]&lt;=$O$2),"JUVENIL","JÚNIOR")</f>
        <v>JUVENIL</v>
      </c>
    </row>
    <row r="492" spans="1:10" ht="15" x14ac:dyDescent="0.4">
      <c r="A492" s="13" t="s">
        <v>2576</v>
      </c>
      <c r="B492" s="2" t="s">
        <v>2577</v>
      </c>
      <c r="C492" s="4" t="s">
        <v>21</v>
      </c>
      <c r="D492" s="11">
        <v>39882</v>
      </c>
      <c r="E492" s="7" t="s">
        <v>2578</v>
      </c>
      <c r="F492" s="4" t="s">
        <v>4737</v>
      </c>
      <c r="G492" s="12" t="str">
        <f>IF(AND(Tabela1[[#This Row],[Data nascimento]]&gt;=$J$2,Tabela1[[#This Row],[Data nascimento]]&lt;=$I$2),"INFANTIL A",H492)</f>
        <v>JUVENIL</v>
      </c>
      <c r="H492" s="3" t="str">
        <f>IF(AND(Tabela1[[#This Row],[Data nascimento]]&gt;=$L$2,Tabela1[[#This Row],[Data nascimento]]&lt;=$K$2),"INFANTIL B",I492)</f>
        <v>JUVENIL</v>
      </c>
      <c r="I492" s="9" t="str">
        <f>IF(AND(Tabela1[[#This Row],[Data nascimento]]&gt;=$N$2,Tabela1[[#This Row],[Data nascimento]]&lt;=$M$2),"INICIADO",J492)</f>
        <v>JUVENIL</v>
      </c>
      <c r="J492" s="9" t="str">
        <f>IF(AND(Tabela1[[#This Row],[Data nascimento]]&gt;=$P$2,Tabela1[[#This Row],[Data nascimento]]&lt;=$O$2),"JUVENIL","JÚNIOR")</f>
        <v>JUVENIL</v>
      </c>
    </row>
    <row r="493" spans="1:10" ht="15" x14ac:dyDescent="0.4">
      <c r="A493" s="13" t="s">
        <v>2579</v>
      </c>
      <c r="B493" s="2" t="s">
        <v>2580</v>
      </c>
      <c r="C493" s="4" t="s">
        <v>8</v>
      </c>
      <c r="D493" s="11">
        <v>39974</v>
      </c>
      <c r="E493" s="7" t="s">
        <v>2581</v>
      </c>
      <c r="F493" s="4" t="s">
        <v>4739</v>
      </c>
      <c r="G493" s="12" t="str">
        <f>IF(AND(Tabela1[[#This Row],[Data nascimento]]&gt;=$J$2,Tabela1[[#This Row],[Data nascimento]]&lt;=$I$2),"INFANTIL A",H493)</f>
        <v>JUVENIL</v>
      </c>
      <c r="H493" s="3" t="str">
        <f>IF(AND(Tabela1[[#This Row],[Data nascimento]]&gt;=$L$2,Tabela1[[#This Row],[Data nascimento]]&lt;=$K$2),"INFANTIL B",I493)</f>
        <v>JUVENIL</v>
      </c>
      <c r="I493" s="9" t="str">
        <f>IF(AND(Tabela1[[#This Row],[Data nascimento]]&gt;=$N$2,Tabela1[[#This Row],[Data nascimento]]&lt;=$M$2),"INICIADO",J493)</f>
        <v>JUVENIL</v>
      </c>
      <c r="J493" s="9" t="str">
        <f>IF(AND(Tabela1[[#This Row],[Data nascimento]]&gt;=$P$2,Tabela1[[#This Row],[Data nascimento]]&lt;=$O$2),"JUVENIL","JÚNIOR")</f>
        <v>JUVENIL</v>
      </c>
    </row>
    <row r="494" spans="1:10" ht="15" x14ac:dyDescent="0.4">
      <c r="A494" s="13" t="s">
        <v>2582</v>
      </c>
      <c r="B494" s="2" t="s">
        <v>2583</v>
      </c>
      <c r="C494" s="4" t="s">
        <v>21</v>
      </c>
      <c r="D494" s="11">
        <v>40020</v>
      </c>
      <c r="E494" s="7" t="s">
        <v>2584</v>
      </c>
      <c r="F494" s="4" t="s">
        <v>4737</v>
      </c>
      <c r="G494" s="12" t="str">
        <f>IF(AND(Tabela1[[#This Row],[Data nascimento]]&gt;=$J$2,Tabela1[[#This Row],[Data nascimento]]&lt;=$I$2),"INFANTIL A",H494)</f>
        <v>JUVENIL</v>
      </c>
      <c r="H494" s="3" t="str">
        <f>IF(AND(Tabela1[[#This Row],[Data nascimento]]&gt;=$L$2,Tabela1[[#This Row],[Data nascimento]]&lt;=$K$2),"INFANTIL B",I494)</f>
        <v>JUVENIL</v>
      </c>
      <c r="I494" s="9" t="str">
        <f>IF(AND(Tabela1[[#This Row],[Data nascimento]]&gt;=$N$2,Tabela1[[#This Row],[Data nascimento]]&lt;=$M$2),"INICIADO",J494)</f>
        <v>JUVENIL</v>
      </c>
      <c r="J494" s="9" t="str">
        <f>IF(AND(Tabela1[[#This Row],[Data nascimento]]&gt;=$P$2,Tabela1[[#This Row],[Data nascimento]]&lt;=$O$2),"JUVENIL","JÚNIOR")</f>
        <v>JUVENIL</v>
      </c>
    </row>
    <row r="495" spans="1:10" ht="15" x14ac:dyDescent="0.4">
      <c r="A495" s="13" t="s">
        <v>2585</v>
      </c>
      <c r="B495" s="2" t="s">
        <v>2586</v>
      </c>
      <c r="C495" s="4" t="s">
        <v>8</v>
      </c>
      <c r="D495" s="11">
        <v>40160</v>
      </c>
      <c r="E495" s="7" t="s">
        <v>2587</v>
      </c>
      <c r="F495" s="4" t="s">
        <v>4737</v>
      </c>
      <c r="G495" s="12" t="str">
        <f>IF(AND(Tabela1[[#This Row],[Data nascimento]]&gt;=$J$2,Tabela1[[#This Row],[Data nascimento]]&lt;=$I$2),"INFANTIL A",H495)</f>
        <v>JUVENIL</v>
      </c>
      <c r="H495" s="3" t="str">
        <f>IF(AND(Tabela1[[#This Row],[Data nascimento]]&gt;=$L$2,Tabela1[[#This Row],[Data nascimento]]&lt;=$K$2),"INFANTIL B",I495)</f>
        <v>JUVENIL</v>
      </c>
      <c r="I495" s="9" t="str">
        <f>IF(AND(Tabela1[[#This Row],[Data nascimento]]&gt;=$N$2,Tabela1[[#This Row],[Data nascimento]]&lt;=$M$2),"INICIADO",J495)</f>
        <v>JUVENIL</v>
      </c>
      <c r="J495" s="9" t="str">
        <f>IF(AND(Tabela1[[#This Row],[Data nascimento]]&gt;=$P$2,Tabela1[[#This Row],[Data nascimento]]&lt;=$O$2),"JUVENIL","JÚNIOR")</f>
        <v>JUVENIL</v>
      </c>
    </row>
    <row r="496" spans="1:10" ht="15" x14ac:dyDescent="0.4">
      <c r="A496" s="13" t="s">
        <v>2588</v>
      </c>
      <c r="B496" s="2" t="s">
        <v>2589</v>
      </c>
      <c r="C496" s="4" t="s">
        <v>21</v>
      </c>
      <c r="D496" s="11">
        <v>39910</v>
      </c>
      <c r="E496" s="7" t="s">
        <v>2590</v>
      </c>
      <c r="F496" s="4" t="s">
        <v>4737</v>
      </c>
      <c r="G496" s="12" t="str">
        <f>IF(AND(Tabela1[[#This Row],[Data nascimento]]&gt;=$J$2,Tabela1[[#This Row],[Data nascimento]]&lt;=$I$2),"INFANTIL A",H496)</f>
        <v>JUVENIL</v>
      </c>
      <c r="H496" s="3" t="str">
        <f>IF(AND(Tabela1[[#This Row],[Data nascimento]]&gt;=$L$2,Tabela1[[#This Row],[Data nascimento]]&lt;=$K$2),"INFANTIL B",I496)</f>
        <v>JUVENIL</v>
      </c>
      <c r="I496" s="9" t="str">
        <f>IF(AND(Tabela1[[#This Row],[Data nascimento]]&gt;=$N$2,Tabela1[[#This Row],[Data nascimento]]&lt;=$M$2),"INICIADO",J496)</f>
        <v>JUVENIL</v>
      </c>
      <c r="J496" s="9" t="str">
        <f>IF(AND(Tabela1[[#This Row],[Data nascimento]]&gt;=$P$2,Tabela1[[#This Row],[Data nascimento]]&lt;=$O$2),"JUVENIL","JÚNIOR")</f>
        <v>JUVENIL</v>
      </c>
    </row>
    <row r="497" spans="1:10" ht="15" x14ac:dyDescent="0.4">
      <c r="A497" s="13" t="s">
        <v>2591</v>
      </c>
      <c r="B497" s="2" t="s">
        <v>2592</v>
      </c>
      <c r="C497" s="4" t="s">
        <v>21</v>
      </c>
      <c r="D497" s="11">
        <v>39790</v>
      </c>
      <c r="E497" s="7" t="s">
        <v>2593</v>
      </c>
      <c r="F497" s="4" t="s">
        <v>4737</v>
      </c>
      <c r="G497" s="12" t="str">
        <f>IF(AND(Tabela1[[#This Row],[Data nascimento]]&gt;=$J$2,Tabela1[[#This Row],[Data nascimento]]&lt;=$I$2),"INFANTIL A",H497)</f>
        <v>JUVENIL</v>
      </c>
      <c r="H497" s="3" t="str">
        <f>IF(AND(Tabela1[[#This Row],[Data nascimento]]&gt;=$L$2,Tabela1[[#This Row],[Data nascimento]]&lt;=$K$2),"INFANTIL B",I497)</f>
        <v>JUVENIL</v>
      </c>
      <c r="I497" s="9" t="str">
        <f>IF(AND(Tabela1[[#This Row],[Data nascimento]]&gt;=$N$2,Tabela1[[#This Row],[Data nascimento]]&lt;=$M$2),"INICIADO",J497)</f>
        <v>JUVENIL</v>
      </c>
      <c r="J497" s="9" t="str">
        <f>IF(AND(Tabela1[[#This Row],[Data nascimento]]&gt;=$P$2,Tabela1[[#This Row],[Data nascimento]]&lt;=$O$2),"JUVENIL","JÚNIOR")</f>
        <v>JUVENIL</v>
      </c>
    </row>
    <row r="498" spans="1:10" ht="15" x14ac:dyDescent="0.4">
      <c r="A498" s="13" t="s">
        <v>2594</v>
      </c>
      <c r="B498" s="2" t="s">
        <v>2595</v>
      </c>
      <c r="C498" s="4" t="s">
        <v>8</v>
      </c>
      <c r="D498" s="11">
        <v>39707</v>
      </c>
      <c r="E498" s="7" t="s">
        <v>2596</v>
      </c>
      <c r="F498" s="4" t="s">
        <v>4737</v>
      </c>
      <c r="G498" s="12" t="str">
        <f>IF(AND(Tabela1[[#This Row],[Data nascimento]]&gt;=$J$2,Tabela1[[#This Row],[Data nascimento]]&lt;=$I$2),"INFANTIL A",H498)</f>
        <v>JUVENIL</v>
      </c>
      <c r="H498" s="3" t="str">
        <f>IF(AND(Tabela1[[#This Row],[Data nascimento]]&gt;=$L$2,Tabela1[[#This Row],[Data nascimento]]&lt;=$K$2),"INFANTIL B",I498)</f>
        <v>JUVENIL</v>
      </c>
      <c r="I498" s="9" t="str">
        <f>IF(AND(Tabela1[[#This Row],[Data nascimento]]&gt;=$N$2,Tabela1[[#This Row],[Data nascimento]]&lt;=$M$2),"INICIADO",J498)</f>
        <v>JUVENIL</v>
      </c>
      <c r="J498" s="9" t="str">
        <f>IF(AND(Tabela1[[#This Row],[Data nascimento]]&gt;=$P$2,Tabela1[[#This Row],[Data nascimento]]&lt;=$O$2),"JUVENIL","JÚNIOR")</f>
        <v>JUVENIL</v>
      </c>
    </row>
    <row r="499" spans="1:10" ht="15" x14ac:dyDescent="0.4">
      <c r="A499" s="13" t="s">
        <v>2597</v>
      </c>
      <c r="B499" s="2" t="s">
        <v>2598</v>
      </c>
      <c r="C499" s="4" t="s">
        <v>8</v>
      </c>
      <c r="D499" s="11">
        <v>39865</v>
      </c>
      <c r="E499" s="7" t="s">
        <v>2599</v>
      </c>
      <c r="F499" s="4" t="s">
        <v>4737</v>
      </c>
      <c r="G499" s="12" t="str">
        <f>IF(AND(Tabela1[[#This Row],[Data nascimento]]&gt;=$J$2,Tabela1[[#This Row],[Data nascimento]]&lt;=$I$2),"INFANTIL A",H499)</f>
        <v>JUVENIL</v>
      </c>
      <c r="H499" s="3" t="str">
        <f>IF(AND(Tabela1[[#This Row],[Data nascimento]]&gt;=$L$2,Tabela1[[#This Row],[Data nascimento]]&lt;=$K$2),"INFANTIL B",I499)</f>
        <v>JUVENIL</v>
      </c>
      <c r="I499" s="9" t="str">
        <f>IF(AND(Tabela1[[#This Row],[Data nascimento]]&gt;=$N$2,Tabela1[[#This Row],[Data nascimento]]&lt;=$M$2),"INICIADO",J499)</f>
        <v>JUVENIL</v>
      </c>
      <c r="J499" s="9" t="str">
        <f>IF(AND(Tabela1[[#This Row],[Data nascimento]]&gt;=$P$2,Tabela1[[#This Row],[Data nascimento]]&lt;=$O$2),"JUVENIL","JÚNIOR")</f>
        <v>JUVENIL</v>
      </c>
    </row>
    <row r="500" spans="1:10" ht="15" x14ac:dyDescent="0.4">
      <c r="A500" s="13" t="s">
        <v>2600</v>
      </c>
      <c r="B500" s="2" t="s">
        <v>2601</v>
      </c>
      <c r="C500" s="4" t="s">
        <v>21</v>
      </c>
      <c r="D500" s="11">
        <v>40027</v>
      </c>
      <c r="E500" s="7" t="s">
        <v>2602</v>
      </c>
      <c r="F500" s="4" t="s">
        <v>4739</v>
      </c>
      <c r="G500" s="12" t="str">
        <f>IF(AND(Tabela1[[#This Row],[Data nascimento]]&gt;=$J$2,Tabela1[[#This Row],[Data nascimento]]&lt;=$I$2),"INFANTIL A",H500)</f>
        <v>JUVENIL</v>
      </c>
      <c r="H500" s="3" t="str">
        <f>IF(AND(Tabela1[[#This Row],[Data nascimento]]&gt;=$L$2,Tabela1[[#This Row],[Data nascimento]]&lt;=$K$2),"INFANTIL B",I500)</f>
        <v>JUVENIL</v>
      </c>
      <c r="I500" s="9" t="str">
        <f>IF(AND(Tabela1[[#This Row],[Data nascimento]]&gt;=$N$2,Tabela1[[#This Row],[Data nascimento]]&lt;=$M$2),"INICIADO",J500)</f>
        <v>JUVENIL</v>
      </c>
      <c r="J500" s="9" t="str">
        <f>IF(AND(Tabela1[[#This Row],[Data nascimento]]&gt;=$P$2,Tabela1[[#This Row],[Data nascimento]]&lt;=$O$2),"JUVENIL","JÚNIOR")</f>
        <v>JUVENIL</v>
      </c>
    </row>
    <row r="501" spans="1:10" ht="15" x14ac:dyDescent="0.4">
      <c r="A501" s="13" t="s">
        <v>2603</v>
      </c>
      <c r="B501" s="2" t="s">
        <v>2604</v>
      </c>
      <c r="C501" s="4" t="s">
        <v>8</v>
      </c>
      <c r="D501" s="11">
        <v>39925</v>
      </c>
      <c r="E501" s="7" t="s">
        <v>2605</v>
      </c>
      <c r="F501" s="4" t="s">
        <v>4739</v>
      </c>
      <c r="G501" s="12" t="str">
        <f>IF(AND(Tabela1[[#This Row],[Data nascimento]]&gt;=$J$2,Tabela1[[#This Row],[Data nascimento]]&lt;=$I$2),"INFANTIL A",H501)</f>
        <v>JUVENIL</v>
      </c>
      <c r="H501" s="3" t="str">
        <f>IF(AND(Tabela1[[#This Row],[Data nascimento]]&gt;=$L$2,Tabela1[[#This Row],[Data nascimento]]&lt;=$K$2),"INFANTIL B",I501)</f>
        <v>JUVENIL</v>
      </c>
      <c r="I501" s="9" t="str">
        <f>IF(AND(Tabela1[[#This Row],[Data nascimento]]&gt;=$N$2,Tabela1[[#This Row],[Data nascimento]]&lt;=$M$2),"INICIADO",J501)</f>
        <v>JUVENIL</v>
      </c>
      <c r="J501" s="9" t="str">
        <f>IF(AND(Tabela1[[#This Row],[Data nascimento]]&gt;=$P$2,Tabela1[[#This Row],[Data nascimento]]&lt;=$O$2),"JUVENIL","JÚNIOR")</f>
        <v>JUVENIL</v>
      </c>
    </row>
    <row r="502" spans="1:10" ht="15" x14ac:dyDescent="0.4">
      <c r="A502" s="13" t="s">
        <v>2606</v>
      </c>
      <c r="B502" s="2" t="s">
        <v>2607</v>
      </c>
      <c r="C502" s="4" t="s">
        <v>8</v>
      </c>
      <c r="D502" s="11">
        <v>40053</v>
      </c>
      <c r="E502" s="7" t="s">
        <v>2608</v>
      </c>
      <c r="F502" s="4" t="s">
        <v>4739</v>
      </c>
      <c r="G502" s="12" t="str">
        <f>IF(AND(Tabela1[[#This Row],[Data nascimento]]&gt;=$J$2,Tabela1[[#This Row],[Data nascimento]]&lt;=$I$2),"INFANTIL A",H502)</f>
        <v>JUVENIL</v>
      </c>
      <c r="H502" s="3" t="str">
        <f>IF(AND(Tabela1[[#This Row],[Data nascimento]]&gt;=$L$2,Tabela1[[#This Row],[Data nascimento]]&lt;=$K$2),"INFANTIL B",I502)</f>
        <v>JUVENIL</v>
      </c>
      <c r="I502" s="9" t="str">
        <f>IF(AND(Tabela1[[#This Row],[Data nascimento]]&gt;=$N$2,Tabela1[[#This Row],[Data nascimento]]&lt;=$M$2),"INICIADO",J502)</f>
        <v>JUVENIL</v>
      </c>
      <c r="J502" s="9" t="str">
        <f>IF(AND(Tabela1[[#This Row],[Data nascimento]]&gt;=$P$2,Tabela1[[#This Row],[Data nascimento]]&lt;=$O$2),"JUVENIL","JÚNIOR")</f>
        <v>JUVENIL</v>
      </c>
    </row>
    <row r="503" spans="1:10" ht="15" x14ac:dyDescent="0.4">
      <c r="A503" s="13" t="s">
        <v>2609</v>
      </c>
      <c r="B503" s="2" t="s">
        <v>2610</v>
      </c>
      <c r="C503" s="4" t="s">
        <v>21</v>
      </c>
      <c r="D503" s="11">
        <v>39945</v>
      </c>
      <c r="E503" s="7" t="s">
        <v>2611</v>
      </c>
      <c r="F503" s="4" t="s">
        <v>4739</v>
      </c>
      <c r="G503" s="12" t="str">
        <f>IF(AND(Tabela1[[#This Row],[Data nascimento]]&gt;=$J$2,Tabela1[[#This Row],[Data nascimento]]&lt;=$I$2),"INFANTIL A",H503)</f>
        <v>JUVENIL</v>
      </c>
      <c r="H503" s="3" t="str">
        <f>IF(AND(Tabela1[[#This Row],[Data nascimento]]&gt;=$L$2,Tabela1[[#This Row],[Data nascimento]]&lt;=$K$2),"INFANTIL B",I503)</f>
        <v>JUVENIL</v>
      </c>
      <c r="I503" s="9" t="str">
        <f>IF(AND(Tabela1[[#This Row],[Data nascimento]]&gt;=$N$2,Tabela1[[#This Row],[Data nascimento]]&lt;=$M$2),"INICIADO",J503)</f>
        <v>JUVENIL</v>
      </c>
      <c r="J503" s="9" t="str">
        <f>IF(AND(Tabela1[[#This Row],[Data nascimento]]&gt;=$P$2,Tabela1[[#This Row],[Data nascimento]]&lt;=$O$2),"JUVENIL","JÚNIOR")</f>
        <v>JUVENIL</v>
      </c>
    </row>
    <row r="504" spans="1:10" ht="15" x14ac:dyDescent="0.4">
      <c r="A504" s="13" t="s">
        <v>2612</v>
      </c>
      <c r="B504" s="2" t="s">
        <v>2613</v>
      </c>
      <c r="C504" s="4" t="s">
        <v>21</v>
      </c>
      <c r="D504" s="11">
        <v>39984</v>
      </c>
      <c r="E504" s="7" t="s">
        <v>2614</v>
      </c>
      <c r="F504" s="4" t="s">
        <v>4739</v>
      </c>
      <c r="G504" s="12" t="str">
        <f>IF(AND(Tabela1[[#This Row],[Data nascimento]]&gt;=$J$2,Tabela1[[#This Row],[Data nascimento]]&lt;=$I$2),"INFANTIL A",H504)</f>
        <v>JUVENIL</v>
      </c>
      <c r="H504" s="3" t="str">
        <f>IF(AND(Tabela1[[#This Row],[Data nascimento]]&gt;=$L$2,Tabela1[[#This Row],[Data nascimento]]&lt;=$K$2),"INFANTIL B",I504)</f>
        <v>JUVENIL</v>
      </c>
      <c r="I504" s="9" t="str">
        <f>IF(AND(Tabela1[[#This Row],[Data nascimento]]&gt;=$N$2,Tabela1[[#This Row],[Data nascimento]]&lt;=$M$2),"INICIADO",J504)</f>
        <v>JUVENIL</v>
      </c>
      <c r="J504" s="9" t="str">
        <f>IF(AND(Tabela1[[#This Row],[Data nascimento]]&gt;=$P$2,Tabela1[[#This Row],[Data nascimento]]&lt;=$O$2),"JUVENIL","JÚNIOR")</f>
        <v>JUVENIL</v>
      </c>
    </row>
    <row r="505" spans="1:10" ht="15" x14ac:dyDescent="0.4">
      <c r="A505" s="13" t="s">
        <v>2615</v>
      </c>
      <c r="B505" s="2" t="s">
        <v>2616</v>
      </c>
      <c r="C505" s="4" t="s">
        <v>8</v>
      </c>
      <c r="D505" s="11">
        <v>39873</v>
      </c>
      <c r="E505" s="7" t="s">
        <v>2617</v>
      </c>
      <c r="F505" s="4" t="s">
        <v>4739</v>
      </c>
      <c r="G505" s="12" t="str">
        <f>IF(AND(Tabela1[[#This Row],[Data nascimento]]&gt;=$J$2,Tabela1[[#This Row],[Data nascimento]]&lt;=$I$2),"INFANTIL A",H505)</f>
        <v>JUVENIL</v>
      </c>
      <c r="H505" s="3" t="str">
        <f>IF(AND(Tabela1[[#This Row],[Data nascimento]]&gt;=$L$2,Tabela1[[#This Row],[Data nascimento]]&lt;=$K$2),"INFANTIL B",I505)</f>
        <v>JUVENIL</v>
      </c>
      <c r="I505" s="9" t="str">
        <f>IF(AND(Tabela1[[#This Row],[Data nascimento]]&gt;=$N$2,Tabela1[[#This Row],[Data nascimento]]&lt;=$M$2),"INICIADO",J505)</f>
        <v>JUVENIL</v>
      </c>
      <c r="J505" s="9" t="str">
        <f>IF(AND(Tabela1[[#This Row],[Data nascimento]]&gt;=$P$2,Tabela1[[#This Row],[Data nascimento]]&lt;=$O$2),"JUVENIL","JÚNIOR")</f>
        <v>JUVENIL</v>
      </c>
    </row>
    <row r="506" spans="1:10" ht="15" x14ac:dyDescent="0.4">
      <c r="A506" s="13" t="s">
        <v>2618</v>
      </c>
      <c r="B506" s="2" t="s">
        <v>2619</v>
      </c>
      <c r="C506" s="4" t="s">
        <v>8</v>
      </c>
      <c r="D506" s="11">
        <v>39618</v>
      </c>
      <c r="E506" s="7" t="s">
        <v>2620</v>
      </c>
      <c r="F506" s="4" t="s">
        <v>4739</v>
      </c>
      <c r="G506" s="12" t="str">
        <f>IF(AND(Tabela1[[#This Row],[Data nascimento]]&gt;=$J$2,Tabela1[[#This Row],[Data nascimento]]&lt;=$I$2),"INFANTIL A",H506)</f>
        <v>JUVENIL</v>
      </c>
      <c r="H506" s="3" t="str">
        <f>IF(AND(Tabela1[[#This Row],[Data nascimento]]&gt;=$L$2,Tabela1[[#This Row],[Data nascimento]]&lt;=$K$2),"INFANTIL B",I506)</f>
        <v>JUVENIL</v>
      </c>
      <c r="I506" s="9" t="str">
        <f>IF(AND(Tabela1[[#This Row],[Data nascimento]]&gt;=$N$2,Tabela1[[#This Row],[Data nascimento]]&lt;=$M$2),"INICIADO",J506)</f>
        <v>JUVENIL</v>
      </c>
      <c r="J506" s="9" t="str">
        <f>IF(AND(Tabela1[[#This Row],[Data nascimento]]&gt;=$P$2,Tabela1[[#This Row],[Data nascimento]]&lt;=$O$2),"JUVENIL","JÚNIOR")</f>
        <v>JUVENIL</v>
      </c>
    </row>
    <row r="507" spans="1:10" ht="15" x14ac:dyDescent="0.4">
      <c r="A507" s="13" t="s">
        <v>2621</v>
      </c>
      <c r="B507" s="2" t="s">
        <v>2622</v>
      </c>
      <c r="C507" s="4" t="s">
        <v>8</v>
      </c>
      <c r="D507" s="11">
        <v>39619</v>
      </c>
      <c r="E507" s="7" t="s">
        <v>2623</v>
      </c>
      <c r="F507" s="4" t="s">
        <v>4739</v>
      </c>
      <c r="G507" s="12" t="str">
        <f>IF(AND(Tabela1[[#This Row],[Data nascimento]]&gt;=$J$2,Tabela1[[#This Row],[Data nascimento]]&lt;=$I$2),"INFANTIL A",H507)</f>
        <v>JUVENIL</v>
      </c>
      <c r="H507" s="3" t="str">
        <f>IF(AND(Tabela1[[#This Row],[Data nascimento]]&gt;=$L$2,Tabela1[[#This Row],[Data nascimento]]&lt;=$K$2),"INFANTIL B",I507)</f>
        <v>JUVENIL</v>
      </c>
      <c r="I507" s="9" t="str">
        <f>IF(AND(Tabela1[[#This Row],[Data nascimento]]&gt;=$N$2,Tabela1[[#This Row],[Data nascimento]]&lt;=$M$2),"INICIADO",J507)</f>
        <v>JUVENIL</v>
      </c>
      <c r="J507" s="9" t="str">
        <f>IF(AND(Tabela1[[#This Row],[Data nascimento]]&gt;=$P$2,Tabela1[[#This Row],[Data nascimento]]&lt;=$O$2),"JUVENIL","JÚNIOR")</f>
        <v>JUVENIL</v>
      </c>
    </row>
    <row r="508" spans="1:10" ht="15" x14ac:dyDescent="0.4">
      <c r="A508" s="13" t="s">
        <v>2624</v>
      </c>
      <c r="B508" s="2" t="s">
        <v>2625</v>
      </c>
      <c r="C508" s="4" t="s">
        <v>21</v>
      </c>
      <c r="D508" s="11">
        <v>39999</v>
      </c>
      <c r="E508" s="7" t="s">
        <v>2626</v>
      </c>
      <c r="F508" s="4" t="s">
        <v>4739</v>
      </c>
      <c r="G508" s="12" t="str">
        <f>IF(AND(Tabela1[[#This Row],[Data nascimento]]&gt;=$J$2,Tabela1[[#This Row],[Data nascimento]]&lt;=$I$2),"INFANTIL A",H508)</f>
        <v>JUVENIL</v>
      </c>
      <c r="H508" s="3" t="str">
        <f>IF(AND(Tabela1[[#This Row],[Data nascimento]]&gt;=$L$2,Tabela1[[#This Row],[Data nascimento]]&lt;=$K$2),"INFANTIL B",I508)</f>
        <v>JUVENIL</v>
      </c>
      <c r="I508" s="9" t="str">
        <f>IF(AND(Tabela1[[#This Row],[Data nascimento]]&gt;=$N$2,Tabela1[[#This Row],[Data nascimento]]&lt;=$M$2),"INICIADO",J508)</f>
        <v>JUVENIL</v>
      </c>
      <c r="J508" s="9" t="str">
        <f>IF(AND(Tabela1[[#This Row],[Data nascimento]]&gt;=$P$2,Tabela1[[#This Row],[Data nascimento]]&lt;=$O$2),"JUVENIL","JÚNIOR")</f>
        <v>JUVENIL</v>
      </c>
    </row>
    <row r="509" spans="1:10" ht="15" x14ac:dyDescent="0.4">
      <c r="A509" s="13" t="s">
        <v>2627</v>
      </c>
      <c r="B509" s="2" t="s">
        <v>2628</v>
      </c>
      <c r="C509" s="4" t="s">
        <v>21</v>
      </c>
      <c r="D509" s="11">
        <v>40131</v>
      </c>
      <c r="E509" s="7" t="s">
        <v>2629</v>
      </c>
      <c r="F509" s="4" t="s">
        <v>4739</v>
      </c>
      <c r="G509" s="12" t="str">
        <f>IF(AND(Tabela1[[#This Row],[Data nascimento]]&gt;=$J$2,Tabela1[[#This Row],[Data nascimento]]&lt;=$I$2),"INFANTIL A",H509)</f>
        <v>JUVENIL</v>
      </c>
      <c r="H509" s="3" t="str">
        <f>IF(AND(Tabela1[[#This Row],[Data nascimento]]&gt;=$L$2,Tabela1[[#This Row],[Data nascimento]]&lt;=$K$2),"INFANTIL B",I509)</f>
        <v>JUVENIL</v>
      </c>
      <c r="I509" s="9" t="str">
        <f>IF(AND(Tabela1[[#This Row],[Data nascimento]]&gt;=$N$2,Tabela1[[#This Row],[Data nascimento]]&lt;=$M$2),"INICIADO",J509)</f>
        <v>JUVENIL</v>
      </c>
      <c r="J509" s="9" t="str">
        <f>IF(AND(Tabela1[[#This Row],[Data nascimento]]&gt;=$P$2,Tabela1[[#This Row],[Data nascimento]]&lt;=$O$2),"JUVENIL","JÚNIOR")</f>
        <v>JUVENIL</v>
      </c>
    </row>
    <row r="510" spans="1:10" ht="15" x14ac:dyDescent="0.4">
      <c r="A510" s="13" t="s">
        <v>2630</v>
      </c>
      <c r="B510" s="2" t="s">
        <v>2631</v>
      </c>
      <c r="C510" s="4" t="s">
        <v>8</v>
      </c>
      <c r="D510" s="11">
        <v>39936</v>
      </c>
      <c r="E510" s="7" t="s">
        <v>2632</v>
      </c>
      <c r="F510" s="4" t="s">
        <v>4739</v>
      </c>
      <c r="G510" s="12" t="str">
        <f>IF(AND(Tabela1[[#This Row],[Data nascimento]]&gt;=$J$2,Tabela1[[#This Row],[Data nascimento]]&lt;=$I$2),"INFANTIL A",H510)</f>
        <v>JUVENIL</v>
      </c>
      <c r="H510" s="3" t="str">
        <f>IF(AND(Tabela1[[#This Row],[Data nascimento]]&gt;=$L$2,Tabela1[[#This Row],[Data nascimento]]&lt;=$K$2),"INFANTIL B",I510)</f>
        <v>JUVENIL</v>
      </c>
      <c r="I510" s="9" t="str">
        <f>IF(AND(Tabela1[[#This Row],[Data nascimento]]&gt;=$N$2,Tabela1[[#This Row],[Data nascimento]]&lt;=$M$2),"INICIADO",J510)</f>
        <v>JUVENIL</v>
      </c>
      <c r="J510" s="9" t="str">
        <f>IF(AND(Tabela1[[#This Row],[Data nascimento]]&gt;=$P$2,Tabela1[[#This Row],[Data nascimento]]&lt;=$O$2),"JUVENIL","JÚNIOR")</f>
        <v>JUVENIL</v>
      </c>
    </row>
    <row r="511" spans="1:10" ht="15" x14ac:dyDescent="0.4">
      <c r="A511" s="13" t="s">
        <v>2633</v>
      </c>
      <c r="B511" s="2" t="s">
        <v>2634</v>
      </c>
      <c r="C511" s="4" t="s">
        <v>21</v>
      </c>
      <c r="D511" s="11">
        <v>39860</v>
      </c>
      <c r="E511" s="7" t="s">
        <v>2635</v>
      </c>
      <c r="F511" s="4" t="s">
        <v>4739</v>
      </c>
      <c r="G511" s="12" t="str">
        <f>IF(AND(Tabela1[[#This Row],[Data nascimento]]&gt;=$J$2,Tabela1[[#This Row],[Data nascimento]]&lt;=$I$2),"INFANTIL A",H511)</f>
        <v>JUVENIL</v>
      </c>
      <c r="H511" s="3" t="str">
        <f>IF(AND(Tabela1[[#This Row],[Data nascimento]]&gt;=$L$2,Tabela1[[#This Row],[Data nascimento]]&lt;=$K$2),"INFANTIL B",I511)</f>
        <v>JUVENIL</v>
      </c>
      <c r="I511" s="9" t="str">
        <f>IF(AND(Tabela1[[#This Row],[Data nascimento]]&gt;=$N$2,Tabela1[[#This Row],[Data nascimento]]&lt;=$M$2),"INICIADO",J511)</f>
        <v>JUVENIL</v>
      </c>
      <c r="J511" s="9" t="str">
        <f>IF(AND(Tabela1[[#This Row],[Data nascimento]]&gt;=$P$2,Tabela1[[#This Row],[Data nascimento]]&lt;=$O$2),"JUVENIL","JÚNIOR")</f>
        <v>JUVENIL</v>
      </c>
    </row>
    <row r="512" spans="1:10" ht="15" x14ac:dyDescent="0.4">
      <c r="A512" s="13" t="s">
        <v>2636</v>
      </c>
      <c r="B512" s="2" t="s">
        <v>2637</v>
      </c>
      <c r="C512" s="4" t="s">
        <v>21</v>
      </c>
      <c r="D512" s="11">
        <v>39919</v>
      </c>
      <c r="E512" s="7" t="s">
        <v>2638</v>
      </c>
      <c r="F512" s="4" t="s">
        <v>4739</v>
      </c>
      <c r="G512" s="12" t="str">
        <f>IF(AND(Tabela1[[#This Row],[Data nascimento]]&gt;=$J$2,Tabela1[[#This Row],[Data nascimento]]&lt;=$I$2),"INFANTIL A",H512)</f>
        <v>JUVENIL</v>
      </c>
      <c r="H512" s="3" t="str">
        <f>IF(AND(Tabela1[[#This Row],[Data nascimento]]&gt;=$L$2,Tabela1[[#This Row],[Data nascimento]]&lt;=$K$2),"INFANTIL B",I512)</f>
        <v>JUVENIL</v>
      </c>
      <c r="I512" s="9" t="str">
        <f>IF(AND(Tabela1[[#This Row],[Data nascimento]]&gt;=$N$2,Tabela1[[#This Row],[Data nascimento]]&lt;=$M$2),"INICIADO",J512)</f>
        <v>JUVENIL</v>
      </c>
      <c r="J512" s="9" t="str">
        <f>IF(AND(Tabela1[[#This Row],[Data nascimento]]&gt;=$P$2,Tabela1[[#This Row],[Data nascimento]]&lt;=$O$2),"JUVENIL","JÚNIOR")</f>
        <v>JUVENIL</v>
      </c>
    </row>
    <row r="513" spans="1:10" ht="15" x14ac:dyDescent="0.4">
      <c r="A513" s="13" t="s">
        <v>2639</v>
      </c>
      <c r="B513" s="2" t="s">
        <v>2640</v>
      </c>
      <c r="C513" s="4" t="s">
        <v>21</v>
      </c>
      <c r="D513" s="11">
        <v>39909</v>
      </c>
      <c r="E513" s="7" t="s">
        <v>2641</v>
      </c>
      <c r="F513" s="4" t="s">
        <v>4739</v>
      </c>
      <c r="G513" s="12" t="str">
        <f>IF(AND(Tabela1[[#This Row],[Data nascimento]]&gt;=$J$2,Tabela1[[#This Row],[Data nascimento]]&lt;=$I$2),"INFANTIL A",H513)</f>
        <v>JUVENIL</v>
      </c>
      <c r="H513" s="3" t="str">
        <f>IF(AND(Tabela1[[#This Row],[Data nascimento]]&gt;=$L$2,Tabela1[[#This Row],[Data nascimento]]&lt;=$K$2),"INFANTIL B",I513)</f>
        <v>JUVENIL</v>
      </c>
      <c r="I513" s="9" t="str">
        <f>IF(AND(Tabela1[[#This Row],[Data nascimento]]&gt;=$N$2,Tabela1[[#This Row],[Data nascimento]]&lt;=$M$2),"INICIADO",J513)</f>
        <v>JUVENIL</v>
      </c>
      <c r="J513" s="9" t="str">
        <f>IF(AND(Tabela1[[#This Row],[Data nascimento]]&gt;=$P$2,Tabela1[[#This Row],[Data nascimento]]&lt;=$O$2),"JUVENIL","JÚNIOR")</f>
        <v>JUVENIL</v>
      </c>
    </row>
    <row r="514" spans="1:10" ht="15" x14ac:dyDescent="0.4">
      <c r="A514" s="13" t="s">
        <v>2642</v>
      </c>
      <c r="B514" s="2" t="s">
        <v>2643</v>
      </c>
      <c r="C514" s="4" t="s">
        <v>21</v>
      </c>
      <c r="D514" s="11">
        <v>40020</v>
      </c>
      <c r="E514" s="7" t="s">
        <v>2644</v>
      </c>
      <c r="F514" s="4" t="s">
        <v>4739</v>
      </c>
      <c r="G514" s="12" t="str">
        <f>IF(AND(Tabela1[[#This Row],[Data nascimento]]&gt;=$J$2,Tabela1[[#This Row],[Data nascimento]]&lt;=$I$2),"INFANTIL A",H514)</f>
        <v>JUVENIL</v>
      </c>
      <c r="H514" s="3" t="str">
        <f>IF(AND(Tabela1[[#This Row],[Data nascimento]]&gt;=$L$2,Tabela1[[#This Row],[Data nascimento]]&lt;=$K$2),"INFANTIL B",I514)</f>
        <v>JUVENIL</v>
      </c>
      <c r="I514" s="9" t="str">
        <f>IF(AND(Tabela1[[#This Row],[Data nascimento]]&gt;=$N$2,Tabela1[[#This Row],[Data nascimento]]&lt;=$M$2),"INICIADO",J514)</f>
        <v>JUVENIL</v>
      </c>
      <c r="J514" s="9" t="str">
        <f>IF(AND(Tabela1[[#This Row],[Data nascimento]]&gt;=$P$2,Tabela1[[#This Row],[Data nascimento]]&lt;=$O$2),"JUVENIL","JÚNIOR")</f>
        <v>JUVENIL</v>
      </c>
    </row>
    <row r="515" spans="1:10" ht="15" x14ac:dyDescent="0.4">
      <c r="A515" s="13" t="s">
        <v>2645</v>
      </c>
      <c r="B515" s="2" t="s">
        <v>2646</v>
      </c>
      <c r="C515" s="4" t="s">
        <v>21</v>
      </c>
      <c r="D515" s="11">
        <v>39957</v>
      </c>
      <c r="E515" s="7" t="s">
        <v>2647</v>
      </c>
      <c r="F515" s="4" t="s">
        <v>4739</v>
      </c>
      <c r="G515" s="12" t="str">
        <f>IF(AND(Tabela1[[#This Row],[Data nascimento]]&gt;=$J$2,Tabela1[[#This Row],[Data nascimento]]&lt;=$I$2),"INFANTIL A",H515)</f>
        <v>JUVENIL</v>
      </c>
      <c r="H515" s="3" t="str">
        <f>IF(AND(Tabela1[[#This Row],[Data nascimento]]&gt;=$L$2,Tabela1[[#This Row],[Data nascimento]]&lt;=$K$2),"INFANTIL B",I515)</f>
        <v>JUVENIL</v>
      </c>
      <c r="I515" s="9" t="str">
        <f>IF(AND(Tabela1[[#This Row],[Data nascimento]]&gt;=$N$2,Tabela1[[#This Row],[Data nascimento]]&lt;=$M$2),"INICIADO",J515)</f>
        <v>JUVENIL</v>
      </c>
      <c r="J515" s="9" t="str">
        <f>IF(AND(Tabela1[[#This Row],[Data nascimento]]&gt;=$P$2,Tabela1[[#This Row],[Data nascimento]]&lt;=$O$2),"JUVENIL","JÚNIOR")</f>
        <v>JUVENIL</v>
      </c>
    </row>
    <row r="516" spans="1:10" ht="15" x14ac:dyDescent="0.4">
      <c r="A516" s="13" t="s">
        <v>2648</v>
      </c>
      <c r="B516" s="2" t="s">
        <v>2649</v>
      </c>
      <c r="C516" s="4" t="s">
        <v>21</v>
      </c>
      <c r="D516" s="11">
        <v>39671</v>
      </c>
      <c r="E516" s="7" t="s">
        <v>2650</v>
      </c>
      <c r="F516" s="4" t="s">
        <v>4739</v>
      </c>
      <c r="G516" s="12" t="str">
        <f>IF(AND(Tabela1[[#This Row],[Data nascimento]]&gt;=$J$2,Tabela1[[#This Row],[Data nascimento]]&lt;=$I$2),"INFANTIL A",H516)</f>
        <v>JUVENIL</v>
      </c>
      <c r="H516" s="3" t="str">
        <f>IF(AND(Tabela1[[#This Row],[Data nascimento]]&gt;=$L$2,Tabela1[[#This Row],[Data nascimento]]&lt;=$K$2),"INFANTIL B",I516)</f>
        <v>JUVENIL</v>
      </c>
      <c r="I516" s="9" t="str">
        <f>IF(AND(Tabela1[[#This Row],[Data nascimento]]&gt;=$N$2,Tabela1[[#This Row],[Data nascimento]]&lt;=$M$2),"INICIADO",J516)</f>
        <v>JUVENIL</v>
      </c>
      <c r="J516" s="9" t="str">
        <f>IF(AND(Tabela1[[#This Row],[Data nascimento]]&gt;=$P$2,Tabela1[[#This Row],[Data nascimento]]&lt;=$O$2),"JUVENIL","JÚNIOR")</f>
        <v>JUVENIL</v>
      </c>
    </row>
    <row r="517" spans="1:10" ht="15" x14ac:dyDescent="0.4">
      <c r="A517" s="13" t="s">
        <v>2651</v>
      </c>
      <c r="B517" s="2" t="s">
        <v>2652</v>
      </c>
      <c r="C517" s="4" t="s">
        <v>8</v>
      </c>
      <c r="D517" s="11">
        <v>39826</v>
      </c>
      <c r="E517" s="7" t="s">
        <v>2653</v>
      </c>
      <c r="F517" s="4" t="s">
        <v>4739</v>
      </c>
      <c r="G517" s="12" t="str">
        <f>IF(AND(Tabela1[[#This Row],[Data nascimento]]&gt;=$J$2,Tabela1[[#This Row],[Data nascimento]]&lt;=$I$2),"INFANTIL A",H517)</f>
        <v>JUVENIL</v>
      </c>
      <c r="H517" s="3" t="str">
        <f>IF(AND(Tabela1[[#This Row],[Data nascimento]]&gt;=$L$2,Tabela1[[#This Row],[Data nascimento]]&lt;=$K$2),"INFANTIL B",I517)</f>
        <v>JUVENIL</v>
      </c>
      <c r="I517" s="9" t="str">
        <f>IF(AND(Tabela1[[#This Row],[Data nascimento]]&gt;=$N$2,Tabela1[[#This Row],[Data nascimento]]&lt;=$M$2),"INICIADO",J517)</f>
        <v>JUVENIL</v>
      </c>
      <c r="J517" s="9" t="str">
        <f>IF(AND(Tabela1[[#This Row],[Data nascimento]]&gt;=$P$2,Tabela1[[#This Row],[Data nascimento]]&lt;=$O$2),"JUVENIL","JÚNIOR")</f>
        <v>JUVENIL</v>
      </c>
    </row>
    <row r="518" spans="1:10" ht="15" x14ac:dyDescent="0.4">
      <c r="A518" s="13" t="s">
        <v>2654</v>
      </c>
      <c r="B518" s="2" t="s">
        <v>2655</v>
      </c>
      <c r="C518" s="4" t="s">
        <v>21</v>
      </c>
      <c r="D518" s="11">
        <v>40119</v>
      </c>
      <c r="E518" s="7" t="s">
        <v>2656</v>
      </c>
      <c r="F518" s="4" t="s">
        <v>4739</v>
      </c>
      <c r="G518" s="12" t="str">
        <f>IF(AND(Tabela1[[#This Row],[Data nascimento]]&gt;=$J$2,Tabela1[[#This Row],[Data nascimento]]&lt;=$I$2),"INFANTIL A",H518)</f>
        <v>JUVENIL</v>
      </c>
      <c r="H518" s="3" t="str">
        <f>IF(AND(Tabela1[[#This Row],[Data nascimento]]&gt;=$L$2,Tabela1[[#This Row],[Data nascimento]]&lt;=$K$2),"INFANTIL B",I518)</f>
        <v>JUVENIL</v>
      </c>
      <c r="I518" s="9" t="str">
        <f>IF(AND(Tabela1[[#This Row],[Data nascimento]]&gt;=$N$2,Tabela1[[#This Row],[Data nascimento]]&lt;=$M$2),"INICIADO",J518)</f>
        <v>JUVENIL</v>
      </c>
      <c r="J518" s="9" t="str">
        <f>IF(AND(Tabela1[[#This Row],[Data nascimento]]&gt;=$P$2,Tabela1[[#This Row],[Data nascimento]]&lt;=$O$2),"JUVENIL","JÚNIOR")</f>
        <v>JUVENIL</v>
      </c>
    </row>
    <row r="519" spans="1:10" ht="15" x14ac:dyDescent="0.4">
      <c r="A519" s="13" t="s">
        <v>2657</v>
      </c>
      <c r="B519" s="2" t="s">
        <v>2658</v>
      </c>
      <c r="C519" s="4" t="s">
        <v>21</v>
      </c>
      <c r="D519" s="11">
        <v>39739</v>
      </c>
      <c r="E519" s="7" t="s">
        <v>2659</v>
      </c>
      <c r="F519" s="4" t="s">
        <v>4740</v>
      </c>
      <c r="G519" s="12" t="str">
        <f>IF(AND(Tabela1[[#This Row],[Data nascimento]]&gt;=$J$2,Tabela1[[#This Row],[Data nascimento]]&lt;=$I$2),"INFANTIL A",H519)</f>
        <v>JUVENIL</v>
      </c>
      <c r="H519" s="3" t="str">
        <f>IF(AND(Tabela1[[#This Row],[Data nascimento]]&gt;=$L$2,Tabela1[[#This Row],[Data nascimento]]&lt;=$K$2),"INFANTIL B",I519)</f>
        <v>JUVENIL</v>
      </c>
      <c r="I519" s="9" t="str">
        <f>IF(AND(Tabela1[[#This Row],[Data nascimento]]&gt;=$N$2,Tabela1[[#This Row],[Data nascimento]]&lt;=$M$2),"INICIADO",J519)</f>
        <v>JUVENIL</v>
      </c>
      <c r="J519" s="9" t="str">
        <f>IF(AND(Tabela1[[#This Row],[Data nascimento]]&gt;=$P$2,Tabela1[[#This Row],[Data nascimento]]&lt;=$O$2),"JUVENIL","JÚNIOR")</f>
        <v>JUVENIL</v>
      </c>
    </row>
    <row r="520" spans="1:10" ht="15" x14ac:dyDescent="0.4">
      <c r="A520" s="13" t="s">
        <v>2660</v>
      </c>
      <c r="B520" s="2" t="s">
        <v>2661</v>
      </c>
      <c r="C520" s="4" t="s">
        <v>21</v>
      </c>
      <c r="D520" s="11">
        <v>39868</v>
      </c>
      <c r="E520" s="7" t="s">
        <v>2662</v>
      </c>
      <c r="F520" s="4" t="s">
        <v>4740</v>
      </c>
      <c r="G520" s="12" t="str">
        <f>IF(AND(Tabela1[[#This Row],[Data nascimento]]&gt;=$J$2,Tabela1[[#This Row],[Data nascimento]]&lt;=$I$2),"INFANTIL A",H520)</f>
        <v>JUVENIL</v>
      </c>
      <c r="H520" s="3" t="str">
        <f>IF(AND(Tabela1[[#This Row],[Data nascimento]]&gt;=$L$2,Tabela1[[#This Row],[Data nascimento]]&lt;=$K$2),"INFANTIL B",I520)</f>
        <v>JUVENIL</v>
      </c>
      <c r="I520" s="9" t="str">
        <f>IF(AND(Tabela1[[#This Row],[Data nascimento]]&gt;=$N$2,Tabela1[[#This Row],[Data nascimento]]&lt;=$M$2),"INICIADO",J520)</f>
        <v>JUVENIL</v>
      </c>
      <c r="J520" s="9" t="str">
        <f>IF(AND(Tabela1[[#This Row],[Data nascimento]]&gt;=$P$2,Tabela1[[#This Row],[Data nascimento]]&lt;=$O$2),"JUVENIL","JÚNIOR")</f>
        <v>JUVENIL</v>
      </c>
    </row>
    <row r="521" spans="1:10" ht="15" x14ac:dyDescent="0.4">
      <c r="A521" s="13" t="s">
        <v>2663</v>
      </c>
      <c r="B521" s="2" t="s">
        <v>2664</v>
      </c>
      <c r="C521" s="4" t="s">
        <v>21</v>
      </c>
      <c r="D521" s="11">
        <v>40016</v>
      </c>
      <c r="E521" s="7" t="s">
        <v>2665</v>
      </c>
      <c r="F521" s="4" t="s">
        <v>4740</v>
      </c>
      <c r="G521" s="12" t="str">
        <f>IF(AND(Tabela1[[#This Row],[Data nascimento]]&gt;=$J$2,Tabela1[[#This Row],[Data nascimento]]&lt;=$I$2),"INFANTIL A",H521)</f>
        <v>JUVENIL</v>
      </c>
      <c r="H521" s="3" t="str">
        <f>IF(AND(Tabela1[[#This Row],[Data nascimento]]&gt;=$L$2,Tabela1[[#This Row],[Data nascimento]]&lt;=$K$2),"INFANTIL B",I521)</f>
        <v>JUVENIL</v>
      </c>
      <c r="I521" s="9" t="str">
        <f>IF(AND(Tabela1[[#This Row],[Data nascimento]]&gt;=$N$2,Tabela1[[#This Row],[Data nascimento]]&lt;=$M$2),"INICIADO",J521)</f>
        <v>JUVENIL</v>
      </c>
      <c r="J521" s="9" t="str">
        <f>IF(AND(Tabela1[[#This Row],[Data nascimento]]&gt;=$P$2,Tabela1[[#This Row],[Data nascimento]]&lt;=$O$2),"JUVENIL","JÚNIOR")</f>
        <v>JUVENIL</v>
      </c>
    </row>
    <row r="522" spans="1:10" ht="15" x14ac:dyDescent="0.4">
      <c r="A522" s="13" t="s">
        <v>2666</v>
      </c>
      <c r="B522" s="2" t="s">
        <v>2667</v>
      </c>
      <c r="C522" s="4" t="s">
        <v>8</v>
      </c>
      <c r="D522" s="11">
        <v>39662</v>
      </c>
      <c r="E522" s="7" t="s">
        <v>2668</v>
      </c>
      <c r="F522" s="4" t="s">
        <v>4740</v>
      </c>
      <c r="G522" s="12" t="str">
        <f>IF(AND(Tabela1[[#This Row],[Data nascimento]]&gt;=$J$2,Tabela1[[#This Row],[Data nascimento]]&lt;=$I$2),"INFANTIL A",H522)</f>
        <v>JUVENIL</v>
      </c>
      <c r="H522" s="3" t="str">
        <f>IF(AND(Tabela1[[#This Row],[Data nascimento]]&gt;=$L$2,Tabela1[[#This Row],[Data nascimento]]&lt;=$K$2),"INFANTIL B",I522)</f>
        <v>JUVENIL</v>
      </c>
      <c r="I522" s="9" t="str">
        <f>IF(AND(Tabela1[[#This Row],[Data nascimento]]&gt;=$N$2,Tabela1[[#This Row],[Data nascimento]]&lt;=$M$2),"INICIADO",J522)</f>
        <v>JUVENIL</v>
      </c>
      <c r="J522" s="9" t="str">
        <f>IF(AND(Tabela1[[#This Row],[Data nascimento]]&gt;=$P$2,Tabela1[[#This Row],[Data nascimento]]&lt;=$O$2),"JUVENIL","JÚNIOR")</f>
        <v>JUVENIL</v>
      </c>
    </row>
    <row r="523" spans="1:10" ht="15" x14ac:dyDescent="0.4">
      <c r="A523" s="13" t="s">
        <v>2669</v>
      </c>
      <c r="B523" s="2" t="s">
        <v>2670</v>
      </c>
      <c r="C523" s="4" t="s">
        <v>8</v>
      </c>
      <c r="D523" s="11">
        <v>39794</v>
      </c>
      <c r="E523" s="7" t="s">
        <v>2671</v>
      </c>
      <c r="F523" s="4" t="s">
        <v>4740</v>
      </c>
      <c r="G523" s="12" t="str">
        <f>IF(AND(Tabela1[[#This Row],[Data nascimento]]&gt;=$J$2,Tabela1[[#This Row],[Data nascimento]]&lt;=$I$2),"INFANTIL A",H523)</f>
        <v>JUVENIL</v>
      </c>
      <c r="H523" s="3" t="str">
        <f>IF(AND(Tabela1[[#This Row],[Data nascimento]]&gt;=$L$2,Tabela1[[#This Row],[Data nascimento]]&lt;=$K$2),"INFANTIL B",I523)</f>
        <v>JUVENIL</v>
      </c>
      <c r="I523" s="9" t="str">
        <f>IF(AND(Tabela1[[#This Row],[Data nascimento]]&gt;=$N$2,Tabela1[[#This Row],[Data nascimento]]&lt;=$M$2),"INICIADO",J523)</f>
        <v>JUVENIL</v>
      </c>
      <c r="J523" s="9" t="str">
        <f>IF(AND(Tabela1[[#This Row],[Data nascimento]]&gt;=$P$2,Tabela1[[#This Row],[Data nascimento]]&lt;=$O$2),"JUVENIL","JÚNIOR")</f>
        <v>JUVENIL</v>
      </c>
    </row>
    <row r="524" spans="1:10" ht="15" x14ac:dyDescent="0.4">
      <c r="A524" s="13" t="s">
        <v>2672</v>
      </c>
      <c r="B524" s="2" t="s">
        <v>2673</v>
      </c>
      <c r="C524" s="4" t="s">
        <v>21</v>
      </c>
      <c r="D524" s="11">
        <v>40035</v>
      </c>
      <c r="E524" s="7" t="s">
        <v>2674</v>
      </c>
      <c r="F524" s="4" t="s">
        <v>4740</v>
      </c>
      <c r="G524" s="12" t="str">
        <f>IF(AND(Tabela1[[#This Row],[Data nascimento]]&gt;=$J$2,Tabela1[[#This Row],[Data nascimento]]&lt;=$I$2),"INFANTIL A",H524)</f>
        <v>JUVENIL</v>
      </c>
      <c r="H524" s="3" t="str">
        <f>IF(AND(Tabela1[[#This Row],[Data nascimento]]&gt;=$L$2,Tabela1[[#This Row],[Data nascimento]]&lt;=$K$2),"INFANTIL B",I524)</f>
        <v>JUVENIL</v>
      </c>
      <c r="I524" s="9" t="str">
        <f>IF(AND(Tabela1[[#This Row],[Data nascimento]]&gt;=$N$2,Tabela1[[#This Row],[Data nascimento]]&lt;=$M$2),"INICIADO",J524)</f>
        <v>JUVENIL</v>
      </c>
      <c r="J524" s="9" t="str">
        <f>IF(AND(Tabela1[[#This Row],[Data nascimento]]&gt;=$P$2,Tabela1[[#This Row],[Data nascimento]]&lt;=$O$2),"JUVENIL","JÚNIOR")</f>
        <v>JUVENIL</v>
      </c>
    </row>
    <row r="525" spans="1:10" ht="15" x14ac:dyDescent="0.4">
      <c r="A525" s="13" t="s">
        <v>2675</v>
      </c>
      <c r="B525" s="2" t="s">
        <v>2676</v>
      </c>
      <c r="C525" s="4" t="s">
        <v>21</v>
      </c>
      <c r="D525" s="11">
        <v>40121</v>
      </c>
      <c r="E525" s="7" t="s">
        <v>2677</v>
      </c>
      <c r="F525" s="4" t="s">
        <v>4740</v>
      </c>
      <c r="G525" s="12" t="str">
        <f>IF(AND(Tabela1[[#This Row],[Data nascimento]]&gt;=$J$2,Tabela1[[#This Row],[Data nascimento]]&lt;=$I$2),"INFANTIL A",H525)</f>
        <v>JUVENIL</v>
      </c>
      <c r="H525" s="3" t="str">
        <f>IF(AND(Tabela1[[#This Row],[Data nascimento]]&gt;=$L$2,Tabela1[[#This Row],[Data nascimento]]&lt;=$K$2),"INFANTIL B",I525)</f>
        <v>JUVENIL</v>
      </c>
      <c r="I525" s="9" t="str">
        <f>IF(AND(Tabela1[[#This Row],[Data nascimento]]&gt;=$N$2,Tabela1[[#This Row],[Data nascimento]]&lt;=$M$2),"INICIADO",J525)</f>
        <v>JUVENIL</v>
      </c>
      <c r="J525" s="9" t="str">
        <f>IF(AND(Tabela1[[#This Row],[Data nascimento]]&gt;=$P$2,Tabela1[[#This Row],[Data nascimento]]&lt;=$O$2),"JUVENIL","JÚNIOR")</f>
        <v>JUVENIL</v>
      </c>
    </row>
    <row r="526" spans="1:10" ht="15" x14ac:dyDescent="0.4">
      <c r="A526" s="13" t="s">
        <v>2678</v>
      </c>
      <c r="B526" s="2" t="s">
        <v>2679</v>
      </c>
      <c r="C526" s="4" t="s">
        <v>21</v>
      </c>
      <c r="D526" s="11">
        <v>40058</v>
      </c>
      <c r="E526" s="7" t="s">
        <v>2680</v>
      </c>
      <c r="F526" s="4" t="s">
        <v>4740</v>
      </c>
      <c r="G526" s="12" t="str">
        <f>IF(AND(Tabela1[[#This Row],[Data nascimento]]&gt;=$J$2,Tabela1[[#This Row],[Data nascimento]]&lt;=$I$2),"INFANTIL A",H526)</f>
        <v>JUVENIL</v>
      </c>
      <c r="H526" s="3" t="str">
        <f>IF(AND(Tabela1[[#This Row],[Data nascimento]]&gt;=$L$2,Tabela1[[#This Row],[Data nascimento]]&lt;=$K$2),"INFANTIL B",I526)</f>
        <v>JUVENIL</v>
      </c>
      <c r="I526" s="9" t="str">
        <f>IF(AND(Tabela1[[#This Row],[Data nascimento]]&gt;=$N$2,Tabela1[[#This Row],[Data nascimento]]&lt;=$M$2),"INICIADO",J526)</f>
        <v>JUVENIL</v>
      </c>
      <c r="J526" s="9" t="str">
        <f>IF(AND(Tabela1[[#This Row],[Data nascimento]]&gt;=$P$2,Tabela1[[#This Row],[Data nascimento]]&lt;=$O$2),"JUVENIL","JÚNIOR")</f>
        <v>JUVENIL</v>
      </c>
    </row>
    <row r="527" spans="1:10" ht="15" x14ac:dyDescent="0.4">
      <c r="A527" s="13" t="s">
        <v>2681</v>
      </c>
      <c r="B527" s="2" t="s">
        <v>2682</v>
      </c>
      <c r="C527" s="4" t="s">
        <v>21</v>
      </c>
      <c r="D527" s="11">
        <v>40000</v>
      </c>
      <c r="E527" s="7" t="s">
        <v>2683</v>
      </c>
      <c r="F527" s="4" t="s">
        <v>4740</v>
      </c>
      <c r="G527" s="12" t="str">
        <f>IF(AND(Tabela1[[#This Row],[Data nascimento]]&gt;=$J$2,Tabela1[[#This Row],[Data nascimento]]&lt;=$I$2),"INFANTIL A",H527)</f>
        <v>JUVENIL</v>
      </c>
      <c r="H527" s="3" t="str">
        <f>IF(AND(Tabela1[[#This Row],[Data nascimento]]&gt;=$L$2,Tabela1[[#This Row],[Data nascimento]]&lt;=$K$2),"INFANTIL B",I527)</f>
        <v>JUVENIL</v>
      </c>
      <c r="I527" s="9" t="str">
        <f>IF(AND(Tabela1[[#This Row],[Data nascimento]]&gt;=$N$2,Tabela1[[#This Row],[Data nascimento]]&lt;=$M$2),"INICIADO",J527)</f>
        <v>JUVENIL</v>
      </c>
      <c r="J527" s="9" t="str">
        <f>IF(AND(Tabela1[[#This Row],[Data nascimento]]&gt;=$P$2,Tabela1[[#This Row],[Data nascimento]]&lt;=$O$2),"JUVENIL","JÚNIOR")</f>
        <v>JUVENIL</v>
      </c>
    </row>
    <row r="528" spans="1:10" ht="15" x14ac:dyDescent="0.4">
      <c r="A528" s="13" t="s">
        <v>2684</v>
      </c>
      <c r="B528" s="2" t="s">
        <v>2685</v>
      </c>
      <c r="C528" s="4" t="s">
        <v>21</v>
      </c>
      <c r="D528" s="11">
        <v>39904</v>
      </c>
      <c r="E528" s="7" t="s">
        <v>2686</v>
      </c>
      <c r="F528" s="4" t="s">
        <v>4740</v>
      </c>
      <c r="G528" s="12" t="str">
        <f>IF(AND(Tabela1[[#This Row],[Data nascimento]]&gt;=$J$2,Tabela1[[#This Row],[Data nascimento]]&lt;=$I$2),"INFANTIL A",H528)</f>
        <v>JUVENIL</v>
      </c>
      <c r="H528" s="3" t="str">
        <f>IF(AND(Tabela1[[#This Row],[Data nascimento]]&gt;=$L$2,Tabela1[[#This Row],[Data nascimento]]&lt;=$K$2),"INFANTIL B",I528)</f>
        <v>JUVENIL</v>
      </c>
      <c r="I528" s="9" t="str">
        <f>IF(AND(Tabela1[[#This Row],[Data nascimento]]&gt;=$N$2,Tabela1[[#This Row],[Data nascimento]]&lt;=$M$2),"INICIADO",J528)</f>
        <v>JUVENIL</v>
      </c>
      <c r="J528" s="9" t="str">
        <f>IF(AND(Tabela1[[#This Row],[Data nascimento]]&gt;=$P$2,Tabela1[[#This Row],[Data nascimento]]&lt;=$O$2),"JUVENIL","JÚNIOR")</f>
        <v>JUVENIL</v>
      </c>
    </row>
    <row r="529" spans="1:10" ht="15" x14ac:dyDescent="0.4">
      <c r="A529" s="13" t="s">
        <v>2687</v>
      </c>
      <c r="B529" s="2" t="s">
        <v>2688</v>
      </c>
      <c r="C529" s="4" t="s">
        <v>21</v>
      </c>
      <c r="D529" s="11">
        <v>39479</v>
      </c>
      <c r="E529" s="7" t="s">
        <v>2689</v>
      </c>
      <c r="F529" s="4" t="s">
        <v>4740</v>
      </c>
      <c r="G529" s="12" t="str">
        <f>IF(AND(Tabela1[[#This Row],[Data nascimento]]&gt;=$J$2,Tabela1[[#This Row],[Data nascimento]]&lt;=$I$2),"INFANTIL A",H529)</f>
        <v>JUVENIL</v>
      </c>
      <c r="H529" s="3" t="str">
        <f>IF(AND(Tabela1[[#This Row],[Data nascimento]]&gt;=$L$2,Tabela1[[#This Row],[Data nascimento]]&lt;=$K$2),"INFANTIL B",I529)</f>
        <v>JUVENIL</v>
      </c>
      <c r="I529" s="9" t="str">
        <f>IF(AND(Tabela1[[#This Row],[Data nascimento]]&gt;=$N$2,Tabela1[[#This Row],[Data nascimento]]&lt;=$M$2),"INICIADO",J529)</f>
        <v>JUVENIL</v>
      </c>
      <c r="J529" s="9" t="str">
        <f>IF(AND(Tabela1[[#This Row],[Data nascimento]]&gt;=$P$2,Tabela1[[#This Row],[Data nascimento]]&lt;=$O$2),"JUVENIL","JÚNIOR")</f>
        <v>JUVENIL</v>
      </c>
    </row>
    <row r="530" spans="1:10" ht="15" x14ac:dyDescent="0.4">
      <c r="A530" s="13" t="s">
        <v>2690</v>
      </c>
      <c r="B530" s="2" t="s">
        <v>2691</v>
      </c>
      <c r="C530" s="4" t="s">
        <v>8</v>
      </c>
      <c r="D530" s="11">
        <v>40055</v>
      </c>
      <c r="E530" s="7" t="s">
        <v>2692</v>
      </c>
      <c r="F530" s="4" t="s">
        <v>4740</v>
      </c>
      <c r="G530" s="12" t="str">
        <f>IF(AND(Tabela1[[#This Row],[Data nascimento]]&gt;=$J$2,Tabela1[[#This Row],[Data nascimento]]&lt;=$I$2),"INFANTIL A",H530)</f>
        <v>JUVENIL</v>
      </c>
      <c r="H530" s="3" t="str">
        <f>IF(AND(Tabela1[[#This Row],[Data nascimento]]&gt;=$L$2,Tabela1[[#This Row],[Data nascimento]]&lt;=$K$2),"INFANTIL B",I530)</f>
        <v>JUVENIL</v>
      </c>
      <c r="I530" s="9" t="str">
        <f>IF(AND(Tabela1[[#This Row],[Data nascimento]]&gt;=$N$2,Tabela1[[#This Row],[Data nascimento]]&lt;=$M$2),"INICIADO",J530)</f>
        <v>JUVENIL</v>
      </c>
      <c r="J530" s="9" t="str">
        <f>IF(AND(Tabela1[[#This Row],[Data nascimento]]&gt;=$P$2,Tabela1[[#This Row],[Data nascimento]]&lt;=$O$2),"JUVENIL","JÚNIOR")</f>
        <v>JUVENIL</v>
      </c>
    </row>
    <row r="531" spans="1:10" ht="15" x14ac:dyDescent="0.4">
      <c r="A531" s="13" t="s">
        <v>2693</v>
      </c>
      <c r="B531" s="2" t="s">
        <v>2694</v>
      </c>
      <c r="C531" s="4" t="s">
        <v>21</v>
      </c>
      <c r="D531" s="11">
        <v>39881</v>
      </c>
      <c r="E531" s="7" t="s">
        <v>2695</v>
      </c>
      <c r="F531" s="4" t="s">
        <v>4740</v>
      </c>
      <c r="G531" s="12" t="str">
        <f>IF(AND(Tabela1[[#This Row],[Data nascimento]]&gt;=$J$2,Tabela1[[#This Row],[Data nascimento]]&lt;=$I$2),"INFANTIL A",H531)</f>
        <v>JUVENIL</v>
      </c>
      <c r="H531" s="3" t="str">
        <f>IF(AND(Tabela1[[#This Row],[Data nascimento]]&gt;=$L$2,Tabela1[[#This Row],[Data nascimento]]&lt;=$K$2),"INFANTIL B",I531)</f>
        <v>JUVENIL</v>
      </c>
      <c r="I531" s="9" t="str">
        <f>IF(AND(Tabela1[[#This Row],[Data nascimento]]&gt;=$N$2,Tabela1[[#This Row],[Data nascimento]]&lt;=$M$2),"INICIADO",J531)</f>
        <v>JUVENIL</v>
      </c>
      <c r="J531" s="9" t="str">
        <f>IF(AND(Tabela1[[#This Row],[Data nascimento]]&gt;=$P$2,Tabela1[[#This Row],[Data nascimento]]&lt;=$O$2),"JUVENIL","JÚNIOR")</f>
        <v>JUVENIL</v>
      </c>
    </row>
    <row r="532" spans="1:10" ht="15" x14ac:dyDescent="0.4">
      <c r="A532" s="13" t="s">
        <v>2696</v>
      </c>
      <c r="B532" s="2" t="s">
        <v>2697</v>
      </c>
      <c r="C532" s="4" t="s">
        <v>21</v>
      </c>
      <c r="D532" s="11">
        <v>39720</v>
      </c>
      <c r="E532" s="7" t="s">
        <v>2698</v>
      </c>
      <c r="F532" s="4" t="s">
        <v>4740</v>
      </c>
      <c r="G532" s="12" t="str">
        <f>IF(AND(Tabela1[[#This Row],[Data nascimento]]&gt;=$J$2,Tabela1[[#This Row],[Data nascimento]]&lt;=$I$2),"INFANTIL A",H532)</f>
        <v>JUVENIL</v>
      </c>
      <c r="H532" s="3" t="str">
        <f>IF(AND(Tabela1[[#This Row],[Data nascimento]]&gt;=$L$2,Tabela1[[#This Row],[Data nascimento]]&lt;=$K$2),"INFANTIL B",I532)</f>
        <v>JUVENIL</v>
      </c>
      <c r="I532" s="9" t="str">
        <f>IF(AND(Tabela1[[#This Row],[Data nascimento]]&gt;=$N$2,Tabela1[[#This Row],[Data nascimento]]&lt;=$M$2),"INICIADO",J532)</f>
        <v>JUVENIL</v>
      </c>
      <c r="J532" s="9" t="str">
        <f>IF(AND(Tabela1[[#This Row],[Data nascimento]]&gt;=$P$2,Tabela1[[#This Row],[Data nascimento]]&lt;=$O$2),"JUVENIL","JÚNIOR")</f>
        <v>JUVENIL</v>
      </c>
    </row>
    <row r="533" spans="1:10" ht="15" x14ac:dyDescent="0.4">
      <c r="A533" s="13" t="s">
        <v>2699</v>
      </c>
      <c r="B533" s="2" t="s">
        <v>2700</v>
      </c>
      <c r="C533" s="4" t="s">
        <v>21</v>
      </c>
      <c r="D533" s="11">
        <v>39656</v>
      </c>
      <c r="E533" s="7" t="s">
        <v>2701</v>
      </c>
      <c r="F533" s="4" t="s">
        <v>4740</v>
      </c>
      <c r="G533" s="12" t="str">
        <f>IF(AND(Tabela1[[#This Row],[Data nascimento]]&gt;=$J$2,Tabela1[[#This Row],[Data nascimento]]&lt;=$I$2),"INFANTIL A",H533)</f>
        <v>JUVENIL</v>
      </c>
      <c r="H533" s="3" t="str">
        <f>IF(AND(Tabela1[[#This Row],[Data nascimento]]&gt;=$L$2,Tabela1[[#This Row],[Data nascimento]]&lt;=$K$2),"INFANTIL B",I533)</f>
        <v>JUVENIL</v>
      </c>
      <c r="I533" s="9" t="str">
        <f>IF(AND(Tabela1[[#This Row],[Data nascimento]]&gt;=$N$2,Tabela1[[#This Row],[Data nascimento]]&lt;=$M$2),"INICIADO",J533)</f>
        <v>JUVENIL</v>
      </c>
      <c r="J533" s="9" t="str">
        <f>IF(AND(Tabela1[[#This Row],[Data nascimento]]&gt;=$P$2,Tabela1[[#This Row],[Data nascimento]]&lt;=$O$2),"JUVENIL","JÚNIOR")</f>
        <v>JUVENIL</v>
      </c>
    </row>
    <row r="534" spans="1:10" ht="15" x14ac:dyDescent="0.4">
      <c r="A534" s="13" t="s">
        <v>2702</v>
      </c>
      <c r="B534" s="2" t="s">
        <v>2703</v>
      </c>
      <c r="C534" s="4" t="s">
        <v>21</v>
      </c>
      <c r="D534" s="11">
        <v>39729</v>
      </c>
      <c r="E534" s="7" t="s">
        <v>2704</v>
      </c>
      <c r="F534" s="4" t="s">
        <v>4740</v>
      </c>
      <c r="G534" s="12" t="str">
        <f>IF(AND(Tabela1[[#This Row],[Data nascimento]]&gt;=$J$2,Tabela1[[#This Row],[Data nascimento]]&lt;=$I$2),"INFANTIL A",H534)</f>
        <v>JUVENIL</v>
      </c>
      <c r="H534" s="3" t="str">
        <f>IF(AND(Tabela1[[#This Row],[Data nascimento]]&gt;=$L$2,Tabela1[[#This Row],[Data nascimento]]&lt;=$K$2),"INFANTIL B",I534)</f>
        <v>JUVENIL</v>
      </c>
      <c r="I534" s="9" t="str">
        <f>IF(AND(Tabela1[[#This Row],[Data nascimento]]&gt;=$N$2,Tabela1[[#This Row],[Data nascimento]]&lt;=$M$2),"INICIADO",J534)</f>
        <v>JUVENIL</v>
      </c>
      <c r="J534" s="9" t="str">
        <f>IF(AND(Tabela1[[#This Row],[Data nascimento]]&gt;=$P$2,Tabela1[[#This Row],[Data nascimento]]&lt;=$O$2),"JUVENIL","JÚNIOR")</f>
        <v>JUVENIL</v>
      </c>
    </row>
    <row r="535" spans="1:10" ht="15" x14ac:dyDescent="0.4">
      <c r="A535" s="13" t="s">
        <v>2705</v>
      </c>
      <c r="B535" s="2" t="s">
        <v>2706</v>
      </c>
      <c r="C535" s="4" t="s">
        <v>21</v>
      </c>
      <c r="D535" s="11">
        <v>39690</v>
      </c>
      <c r="E535" s="7" t="s">
        <v>2707</v>
      </c>
      <c r="F535" s="4" t="s">
        <v>4741</v>
      </c>
      <c r="G535" s="12" t="str">
        <f>IF(AND(Tabela1[[#This Row],[Data nascimento]]&gt;=$J$2,Tabela1[[#This Row],[Data nascimento]]&lt;=$I$2),"INFANTIL A",H535)</f>
        <v>JUVENIL</v>
      </c>
      <c r="H535" s="3" t="str">
        <f>IF(AND(Tabela1[[#This Row],[Data nascimento]]&gt;=$L$2,Tabela1[[#This Row],[Data nascimento]]&lt;=$K$2),"INFANTIL B",I535)</f>
        <v>JUVENIL</v>
      </c>
      <c r="I535" s="9" t="str">
        <f>IF(AND(Tabela1[[#This Row],[Data nascimento]]&gt;=$N$2,Tabela1[[#This Row],[Data nascimento]]&lt;=$M$2),"INICIADO",J535)</f>
        <v>JUVENIL</v>
      </c>
      <c r="J535" s="9" t="str">
        <f>IF(AND(Tabela1[[#This Row],[Data nascimento]]&gt;=$P$2,Tabela1[[#This Row],[Data nascimento]]&lt;=$O$2),"JUVENIL","JÚNIOR")</f>
        <v>JUVENIL</v>
      </c>
    </row>
    <row r="536" spans="1:10" ht="15" x14ac:dyDescent="0.4">
      <c r="A536" s="13" t="s">
        <v>2708</v>
      </c>
      <c r="B536" s="2" t="s">
        <v>2709</v>
      </c>
      <c r="C536" s="4" t="s">
        <v>21</v>
      </c>
      <c r="D536" s="11">
        <v>39505</v>
      </c>
      <c r="E536" s="7" t="s">
        <v>2710</v>
      </c>
      <c r="F536" s="4" t="s">
        <v>4741</v>
      </c>
      <c r="G536" s="12" t="str">
        <f>IF(AND(Tabela1[[#This Row],[Data nascimento]]&gt;=$J$2,Tabela1[[#This Row],[Data nascimento]]&lt;=$I$2),"INFANTIL A",H536)</f>
        <v>JUVENIL</v>
      </c>
      <c r="H536" s="3" t="str">
        <f>IF(AND(Tabela1[[#This Row],[Data nascimento]]&gt;=$L$2,Tabela1[[#This Row],[Data nascimento]]&lt;=$K$2),"INFANTIL B",I536)</f>
        <v>JUVENIL</v>
      </c>
      <c r="I536" s="9" t="str">
        <f>IF(AND(Tabela1[[#This Row],[Data nascimento]]&gt;=$N$2,Tabela1[[#This Row],[Data nascimento]]&lt;=$M$2),"INICIADO",J536)</f>
        <v>JUVENIL</v>
      </c>
      <c r="J536" s="9" t="str">
        <f>IF(AND(Tabela1[[#This Row],[Data nascimento]]&gt;=$P$2,Tabela1[[#This Row],[Data nascimento]]&lt;=$O$2),"JUVENIL","JÚNIOR")</f>
        <v>JUVENIL</v>
      </c>
    </row>
    <row r="537" spans="1:10" ht="15" x14ac:dyDescent="0.4">
      <c r="A537" s="13" t="s">
        <v>2711</v>
      </c>
      <c r="B537" s="2" t="s">
        <v>2712</v>
      </c>
      <c r="C537" s="4" t="s">
        <v>21</v>
      </c>
      <c r="D537" s="11">
        <v>39837</v>
      </c>
      <c r="E537" s="7" t="s">
        <v>2713</v>
      </c>
      <c r="F537" s="4" t="s">
        <v>4741</v>
      </c>
      <c r="G537" s="12" t="str">
        <f>IF(AND(Tabela1[[#This Row],[Data nascimento]]&gt;=$J$2,Tabela1[[#This Row],[Data nascimento]]&lt;=$I$2),"INFANTIL A",H537)</f>
        <v>JUVENIL</v>
      </c>
      <c r="H537" s="3" t="str">
        <f>IF(AND(Tabela1[[#This Row],[Data nascimento]]&gt;=$L$2,Tabela1[[#This Row],[Data nascimento]]&lt;=$K$2),"INFANTIL B",I537)</f>
        <v>JUVENIL</v>
      </c>
      <c r="I537" s="9" t="str">
        <f>IF(AND(Tabela1[[#This Row],[Data nascimento]]&gt;=$N$2,Tabela1[[#This Row],[Data nascimento]]&lt;=$M$2),"INICIADO",J537)</f>
        <v>JUVENIL</v>
      </c>
      <c r="J537" s="9" t="str">
        <f>IF(AND(Tabela1[[#This Row],[Data nascimento]]&gt;=$P$2,Tabela1[[#This Row],[Data nascimento]]&lt;=$O$2),"JUVENIL","JÚNIOR")</f>
        <v>JUVENIL</v>
      </c>
    </row>
    <row r="538" spans="1:10" ht="15" x14ac:dyDescent="0.4">
      <c r="A538" s="13" t="s">
        <v>2714</v>
      </c>
      <c r="B538" s="2" t="s">
        <v>2715</v>
      </c>
      <c r="C538" s="4" t="s">
        <v>21</v>
      </c>
      <c r="D538" s="11">
        <v>39849</v>
      </c>
      <c r="E538" s="7" t="s">
        <v>2716</v>
      </c>
      <c r="F538" s="4" t="s">
        <v>4741</v>
      </c>
      <c r="G538" s="12" t="str">
        <f>IF(AND(Tabela1[[#This Row],[Data nascimento]]&gt;=$J$2,Tabela1[[#This Row],[Data nascimento]]&lt;=$I$2),"INFANTIL A",H538)</f>
        <v>JUVENIL</v>
      </c>
      <c r="H538" s="3" t="str">
        <f>IF(AND(Tabela1[[#This Row],[Data nascimento]]&gt;=$L$2,Tabela1[[#This Row],[Data nascimento]]&lt;=$K$2),"INFANTIL B",I538)</f>
        <v>JUVENIL</v>
      </c>
      <c r="I538" s="9" t="str">
        <f>IF(AND(Tabela1[[#This Row],[Data nascimento]]&gt;=$N$2,Tabela1[[#This Row],[Data nascimento]]&lt;=$M$2),"INICIADO",J538)</f>
        <v>JUVENIL</v>
      </c>
      <c r="J538" s="9" t="str">
        <f>IF(AND(Tabela1[[#This Row],[Data nascimento]]&gt;=$P$2,Tabela1[[#This Row],[Data nascimento]]&lt;=$O$2),"JUVENIL","JÚNIOR")</f>
        <v>JUVENIL</v>
      </c>
    </row>
    <row r="539" spans="1:10" ht="15" x14ac:dyDescent="0.4">
      <c r="A539" s="13" t="s">
        <v>2717</v>
      </c>
      <c r="B539" s="2" t="s">
        <v>2718</v>
      </c>
      <c r="C539" s="4" t="s">
        <v>21</v>
      </c>
      <c r="D539" s="11">
        <v>40044</v>
      </c>
      <c r="E539" s="7" t="s">
        <v>2719</v>
      </c>
      <c r="F539" s="4" t="s">
        <v>4741</v>
      </c>
      <c r="G539" s="12" t="str">
        <f>IF(AND(Tabela1[[#This Row],[Data nascimento]]&gt;=$J$2,Tabela1[[#This Row],[Data nascimento]]&lt;=$I$2),"INFANTIL A",H539)</f>
        <v>JUVENIL</v>
      </c>
      <c r="H539" s="3" t="str">
        <f>IF(AND(Tabela1[[#This Row],[Data nascimento]]&gt;=$L$2,Tabela1[[#This Row],[Data nascimento]]&lt;=$K$2),"INFANTIL B",I539)</f>
        <v>JUVENIL</v>
      </c>
      <c r="I539" s="9" t="str">
        <f>IF(AND(Tabela1[[#This Row],[Data nascimento]]&gt;=$N$2,Tabela1[[#This Row],[Data nascimento]]&lt;=$M$2),"INICIADO",J539)</f>
        <v>JUVENIL</v>
      </c>
      <c r="J539" s="9" t="str">
        <f>IF(AND(Tabela1[[#This Row],[Data nascimento]]&gt;=$P$2,Tabela1[[#This Row],[Data nascimento]]&lt;=$O$2),"JUVENIL","JÚNIOR")</f>
        <v>JUVENIL</v>
      </c>
    </row>
    <row r="540" spans="1:10" ht="15" x14ac:dyDescent="0.4">
      <c r="A540" s="13" t="s">
        <v>2720</v>
      </c>
      <c r="B540" s="2" t="s">
        <v>2721</v>
      </c>
      <c r="C540" s="4" t="s">
        <v>21</v>
      </c>
      <c r="D540" s="11">
        <v>39879</v>
      </c>
      <c r="E540" s="7" t="s">
        <v>2722</v>
      </c>
      <c r="F540" s="4" t="s">
        <v>4741</v>
      </c>
      <c r="G540" s="12" t="str">
        <f>IF(AND(Tabela1[[#This Row],[Data nascimento]]&gt;=$J$2,Tabela1[[#This Row],[Data nascimento]]&lt;=$I$2),"INFANTIL A",H540)</f>
        <v>JUVENIL</v>
      </c>
      <c r="H540" s="3" t="str">
        <f>IF(AND(Tabela1[[#This Row],[Data nascimento]]&gt;=$L$2,Tabela1[[#This Row],[Data nascimento]]&lt;=$K$2),"INFANTIL B",I540)</f>
        <v>JUVENIL</v>
      </c>
      <c r="I540" s="9" t="str">
        <f>IF(AND(Tabela1[[#This Row],[Data nascimento]]&gt;=$N$2,Tabela1[[#This Row],[Data nascimento]]&lt;=$M$2),"INICIADO",J540)</f>
        <v>JUVENIL</v>
      </c>
      <c r="J540" s="9" t="str">
        <f>IF(AND(Tabela1[[#This Row],[Data nascimento]]&gt;=$P$2,Tabela1[[#This Row],[Data nascimento]]&lt;=$O$2),"JUVENIL","JÚNIOR")</f>
        <v>JUVENIL</v>
      </c>
    </row>
    <row r="541" spans="1:10" ht="15" x14ac:dyDescent="0.4">
      <c r="A541" s="13" t="s">
        <v>2723</v>
      </c>
      <c r="B541" s="2" t="s">
        <v>2724</v>
      </c>
      <c r="C541" s="4" t="s">
        <v>8</v>
      </c>
      <c r="D541" s="11">
        <v>40168</v>
      </c>
      <c r="E541" s="7" t="s">
        <v>2725</v>
      </c>
      <c r="F541" s="4" t="s">
        <v>4741</v>
      </c>
      <c r="G541" s="12" t="str">
        <f>IF(AND(Tabela1[[#This Row],[Data nascimento]]&gt;=$J$2,Tabela1[[#This Row],[Data nascimento]]&lt;=$I$2),"INFANTIL A",H541)</f>
        <v>JUVENIL</v>
      </c>
      <c r="H541" s="3" t="str">
        <f>IF(AND(Tabela1[[#This Row],[Data nascimento]]&gt;=$L$2,Tabela1[[#This Row],[Data nascimento]]&lt;=$K$2),"INFANTIL B",I541)</f>
        <v>JUVENIL</v>
      </c>
      <c r="I541" s="9" t="str">
        <f>IF(AND(Tabela1[[#This Row],[Data nascimento]]&gt;=$N$2,Tabela1[[#This Row],[Data nascimento]]&lt;=$M$2),"INICIADO",J541)</f>
        <v>JUVENIL</v>
      </c>
      <c r="J541" s="9" t="str">
        <f>IF(AND(Tabela1[[#This Row],[Data nascimento]]&gt;=$P$2,Tabela1[[#This Row],[Data nascimento]]&lt;=$O$2),"JUVENIL","JÚNIOR")</f>
        <v>JUVENIL</v>
      </c>
    </row>
    <row r="542" spans="1:10" ht="15" x14ac:dyDescent="0.4">
      <c r="A542" s="13" t="s">
        <v>2726</v>
      </c>
      <c r="B542" s="2" t="s">
        <v>2727</v>
      </c>
      <c r="C542" s="4" t="s">
        <v>21</v>
      </c>
      <c r="D542" s="11">
        <v>39932</v>
      </c>
      <c r="E542" s="7" t="s">
        <v>2728</v>
      </c>
      <c r="F542" s="4" t="s">
        <v>4741</v>
      </c>
      <c r="G542" s="12" t="str">
        <f>IF(AND(Tabela1[[#This Row],[Data nascimento]]&gt;=$J$2,Tabela1[[#This Row],[Data nascimento]]&lt;=$I$2),"INFANTIL A",H542)</f>
        <v>JUVENIL</v>
      </c>
      <c r="H542" s="3" t="str">
        <f>IF(AND(Tabela1[[#This Row],[Data nascimento]]&gt;=$L$2,Tabela1[[#This Row],[Data nascimento]]&lt;=$K$2),"INFANTIL B",I542)</f>
        <v>JUVENIL</v>
      </c>
      <c r="I542" s="9" t="str">
        <f>IF(AND(Tabela1[[#This Row],[Data nascimento]]&gt;=$N$2,Tabela1[[#This Row],[Data nascimento]]&lt;=$M$2),"INICIADO",J542)</f>
        <v>JUVENIL</v>
      </c>
      <c r="J542" s="9" t="str">
        <f>IF(AND(Tabela1[[#This Row],[Data nascimento]]&gt;=$P$2,Tabela1[[#This Row],[Data nascimento]]&lt;=$O$2),"JUVENIL","JÚNIOR")</f>
        <v>JUVENIL</v>
      </c>
    </row>
    <row r="543" spans="1:10" ht="15" x14ac:dyDescent="0.4">
      <c r="A543" s="13" t="s">
        <v>2729</v>
      </c>
      <c r="B543" s="2" t="s">
        <v>2730</v>
      </c>
      <c r="C543" s="4" t="s">
        <v>8</v>
      </c>
      <c r="D543" s="11">
        <v>39850</v>
      </c>
      <c r="E543" s="7" t="s">
        <v>2731</v>
      </c>
      <c r="F543" s="4" t="s">
        <v>4741</v>
      </c>
      <c r="G543" s="12" t="str">
        <f>IF(AND(Tabela1[[#This Row],[Data nascimento]]&gt;=$J$2,Tabela1[[#This Row],[Data nascimento]]&lt;=$I$2),"INFANTIL A",H543)</f>
        <v>JUVENIL</v>
      </c>
      <c r="H543" s="3" t="str">
        <f>IF(AND(Tabela1[[#This Row],[Data nascimento]]&gt;=$L$2,Tabela1[[#This Row],[Data nascimento]]&lt;=$K$2),"INFANTIL B",I543)</f>
        <v>JUVENIL</v>
      </c>
      <c r="I543" s="9" t="str">
        <f>IF(AND(Tabela1[[#This Row],[Data nascimento]]&gt;=$N$2,Tabela1[[#This Row],[Data nascimento]]&lt;=$M$2),"INICIADO",J543)</f>
        <v>JUVENIL</v>
      </c>
      <c r="J543" s="9" t="str">
        <f>IF(AND(Tabela1[[#This Row],[Data nascimento]]&gt;=$P$2,Tabela1[[#This Row],[Data nascimento]]&lt;=$O$2),"JUVENIL","JÚNIOR")</f>
        <v>JUVENIL</v>
      </c>
    </row>
    <row r="544" spans="1:10" ht="15" x14ac:dyDescent="0.4">
      <c r="A544" s="13" t="s">
        <v>2732</v>
      </c>
      <c r="B544" s="2" t="s">
        <v>2733</v>
      </c>
      <c r="C544" s="4" t="s">
        <v>8</v>
      </c>
      <c r="D544" s="11">
        <v>39780</v>
      </c>
      <c r="E544" s="7" t="s">
        <v>2734</v>
      </c>
      <c r="F544" s="4" t="s">
        <v>4741</v>
      </c>
      <c r="G544" s="12" t="str">
        <f>IF(AND(Tabela1[[#This Row],[Data nascimento]]&gt;=$J$2,Tabela1[[#This Row],[Data nascimento]]&lt;=$I$2),"INFANTIL A",H544)</f>
        <v>JUVENIL</v>
      </c>
      <c r="H544" s="3" t="str">
        <f>IF(AND(Tabela1[[#This Row],[Data nascimento]]&gt;=$L$2,Tabela1[[#This Row],[Data nascimento]]&lt;=$K$2),"INFANTIL B",I544)</f>
        <v>JUVENIL</v>
      </c>
      <c r="I544" s="9" t="str">
        <f>IF(AND(Tabela1[[#This Row],[Data nascimento]]&gt;=$N$2,Tabela1[[#This Row],[Data nascimento]]&lt;=$M$2),"INICIADO",J544)</f>
        <v>JUVENIL</v>
      </c>
      <c r="J544" s="9" t="str">
        <f>IF(AND(Tabela1[[#This Row],[Data nascimento]]&gt;=$P$2,Tabela1[[#This Row],[Data nascimento]]&lt;=$O$2),"JUVENIL","JÚNIOR")</f>
        <v>JUVENIL</v>
      </c>
    </row>
    <row r="545" spans="1:10" ht="15" x14ac:dyDescent="0.4">
      <c r="A545" s="13" t="s">
        <v>2735</v>
      </c>
      <c r="B545" s="2" t="s">
        <v>2736</v>
      </c>
      <c r="C545" s="4" t="s">
        <v>8</v>
      </c>
      <c r="D545" s="11">
        <v>39861</v>
      </c>
      <c r="E545" s="7" t="s">
        <v>2737</v>
      </c>
      <c r="F545" s="4" t="s">
        <v>4741</v>
      </c>
      <c r="G545" s="12" t="str">
        <f>IF(AND(Tabela1[[#This Row],[Data nascimento]]&gt;=$J$2,Tabela1[[#This Row],[Data nascimento]]&lt;=$I$2),"INFANTIL A",H545)</f>
        <v>JUVENIL</v>
      </c>
      <c r="H545" s="3" t="str">
        <f>IF(AND(Tabela1[[#This Row],[Data nascimento]]&gt;=$L$2,Tabela1[[#This Row],[Data nascimento]]&lt;=$K$2),"INFANTIL B",I545)</f>
        <v>JUVENIL</v>
      </c>
      <c r="I545" s="9" t="str">
        <f>IF(AND(Tabela1[[#This Row],[Data nascimento]]&gt;=$N$2,Tabela1[[#This Row],[Data nascimento]]&lt;=$M$2),"INICIADO",J545)</f>
        <v>JUVENIL</v>
      </c>
      <c r="J545" s="9" t="str">
        <f>IF(AND(Tabela1[[#This Row],[Data nascimento]]&gt;=$P$2,Tabela1[[#This Row],[Data nascimento]]&lt;=$O$2),"JUVENIL","JÚNIOR")</f>
        <v>JUVENIL</v>
      </c>
    </row>
    <row r="546" spans="1:10" ht="15" x14ac:dyDescent="0.4">
      <c r="A546" s="13" t="s">
        <v>2738</v>
      </c>
      <c r="B546" s="2" t="s">
        <v>2739</v>
      </c>
      <c r="C546" s="4" t="s">
        <v>21</v>
      </c>
      <c r="D546" s="11">
        <v>39880</v>
      </c>
      <c r="E546" s="7" t="s">
        <v>2740</v>
      </c>
      <c r="F546" s="4" t="s">
        <v>4741</v>
      </c>
      <c r="G546" s="12" t="str">
        <f>IF(AND(Tabela1[[#This Row],[Data nascimento]]&gt;=$J$2,Tabela1[[#This Row],[Data nascimento]]&lt;=$I$2),"INFANTIL A",H546)</f>
        <v>JUVENIL</v>
      </c>
      <c r="H546" s="3" t="str">
        <f>IF(AND(Tabela1[[#This Row],[Data nascimento]]&gt;=$L$2,Tabela1[[#This Row],[Data nascimento]]&lt;=$K$2),"INFANTIL B",I546)</f>
        <v>JUVENIL</v>
      </c>
      <c r="I546" s="9" t="str">
        <f>IF(AND(Tabela1[[#This Row],[Data nascimento]]&gt;=$N$2,Tabela1[[#This Row],[Data nascimento]]&lt;=$M$2),"INICIADO",J546)</f>
        <v>JUVENIL</v>
      </c>
      <c r="J546" s="9" t="str">
        <f>IF(AND(Tabela1[[#This Row],[Data nascimento]]&gt;=$P$2,Tabela1[[#This Row],[Data nascimento]]&lt;=$O$2),"JUVENIL","JÚNIOR")</f>
        <v>JUVENIL</v>
      </c>
    </row>
    <row r="547" spans="1:10" ht="15" x14ac:dyDescent="0.4">
      <c r="A547" s="13" t="s">
        <v>2741</v>
      </c>
      <c r="B547" s="2" t="s">
        <v>2742</v>
      </c>
      <c r="C547" s="4" t="s">
        <v>21</v>
      </c>
      <c r="D547" s="11">
        <v>39969</v>
      </c>
      <c r="E547" s="7" t="s">
        <v>2743</v>
      </c>
      <c r="F547" s="4" t="s">
        <v>4741</v>
      </c>
      <c r="G547" s="12" t="str">
        <f>IF(AND(Tabela1[[#This Row],[Data nascimento]]&gt;=$J$2,Tabela1[[#This Row],[Data nascimento]]&lt;=$I$2),"INFANTIL A",H547)</f>
        <v>JUVENIL</v>
      </c>
      <c r="H547" s="3" t="str">
        <f>IF(AND(Tabela1[[#This Row],[Data nascimento]]&gt;=$L$2,Tabela1[[#This Row],[Data nascimento]]&lt;=$K$2),"INFANTIL B",I547)</f>
        <v>JUVENIL</v>
      </c>
      <c r="I547" s="9" t="str">
        <f>IF(AND(Tabela1[[#This Row],[Data nascimento]]&gt;=$N$2,Tabela1[[#This Row],[Data nascimento]]&lt;=$M$2),"INICIADO",J547)</f>
        <v>JUVENIL</v>
      </c>
      <c r="J547" s="9" t="str">
        <f>IF(AND(Tabela1[[#This Row],[Data nascimento]]&gt;=$P$2,Tabela1[[#This Row],[Data nascimento]]&lt;=$O$2),"JUVENIL","JÚNIOR")</f>
        <v>JUVENIL</v>
      </c>
    </row>
    <row r="548" spans="1:10" ht="15" x14ac:dyDescent="0.4">
      <c r="A548" s="13" t="s">
        <v>2744</v>
      </c>
      <c r="B548" s="2" t="s">
        <v>2745</v>
      </c>
      <c r="C548" s="4" t="s">
        <v>21</v>
      </c>
      <c r="D548" s="11">
        <v>39985</v>
      </c>
      <c r="E548" s="7" t="s">
        <v>2746</v>
      </c>
      <c r="F548" s="4" t="s">
        <v>4741</v>
      </c>
      <c r="G548" s="12" t="str">
        <f>IF(AND(Tabela1[[#This Row],[Data nascimento]]&gt;=$J$2,Tabela1[[#This Row],[Data nascimento]]&lt;=$I$2),"INFANTIL A",H548)</f>
        <v>JUVENIL</v>
      </c>
      <c r="H548" s="3" t="str">
        <f>IF(AND(Tabela1[[#This Row],[Data nascimento]]&gt;=$L$2,Tabela1[[#This Row],[Data nascimento]]&lt;=$K$2),"INFANTIL B",I548)</f>
        <v>JUVENIL</v>
      </c>
      <c r="I548" s="9" t="str">
        <f>IF(AND(Tabela1[[#This Row],[Data nascimento]]&gt;=$N$2,Tabela1[[#This Row],[Data nascimento]]&lt;=$M$2),"INICIADO",J548)</f>
        <v>JUVENIL</v>
      </c>
      <c r="J548" s="9" t="str">
        <f>IF(AND(Tabela1[[#This Row],[Data nascimento]]&gt;=$P$2,Tabela1[[#This Row],[Data nascimento]]&lt;=$O$2),"JUVENIL","JÚNIOR")</f>
        <v>JUVENIL</v>
      </c>
    </row>
    <row r="549" spans="1:10" ht="15" x14ac:dyDescent="0.4">
      <c r="A549" s="13" t="s">
        <v>2747</v>
      </c>
      <c r="B549" s="2" t="s">
        <v>2748</v>
      </c>
      <c r="C549" s="4" t="s">
        <v>21</v>
      </c>
      <c r="D549" s="11">
        <v>40145</v>
      </c>
      <c r="E549" s="7" t="s">
        <v>2749</v>
      </c>
      <c r="F549" s="4" t="s">
        <v>4741</v>
      </c>
      <c r="G549" s="12" t="str">
        <f>IF(AND(Tabela1[[#This Row],[Data nascimento]]&gt;=$J$2,Tabela1[[#This Row],[Data nascimento]]&lt;=$I$2),"INFANTIL A",H549)</f>
        <v>JUVENIL</v>
      </c>
      <c r="H549" s="3" t="str">
        <f>IF(AND(Tabela1[[#This Row],[Data nascimento]]&gt;=$L$2,Tabela1[[#This Row],[Data nascimento]]&lt;=$K$2),"INFANTIL B",I549)</f>
        <v>JUVENIL</v>
      </c>
      <c r="I549" s="9" t="str">
        <f>IF(AND(Tabela1[[#This Row],[Data nascimento]]&gt;=$N$2,Tabela1[[#This Row],[Data nascimento]]&lt;=$M$2),"INICIADO",J549)</f>
        <v>JUVENIL</v>
      </c>
      <c r="J549" s="9" t="str">
        <f>IF(AND(Tabela1[[#This Row],[Data nascimento]]&gt;=$P$2,Tabela1[[#This Row],[Data nascimento]]&lt;=$O$2),"JUVENIL","JÚNIOR")</f>
        <v>JUVENIL</v>
      </c>
    </row>
    <row r="550" spans="1:10" ht="15" x14ac:dyDescent="0.4">
      <c r="A550" s="13" t="s">
        <v>2750</v>
      </c>
      <c r="B550" s="2" t="s">
        <v>2751</v>
      </c>
      <c r="C550" s="4" t="s">
        <v>21</v>
      </c>
      <c r="D550" s="11">
        <v>39929</v>
      </c>
      <c r="E550" s="7" t="s">
        <v>2752</v>
      </c>
      <c r="F550" s="4" t="s">
        <v>4741</v>
      </c>
      <c r="G550" s="12" t="str">
        <f>IF(AND(Tabela1[[#This Row],[Data nascimento]]&gt;=$J$2,Tabela1[[#This Row],[Data nascimento]]&lt;=$I$2),"INFANTIL A",H550)</f>
        <v>JUVENIL</v>
      </c>
      <c r="H550" s="3" t="str">
        <f>IF(AND(Tabela1[[#This Row],[Data nascimento]]&gt;=$L$2,Tabela1[[#This Row],[Data nascimento]]&lt;=$K$2),"INFANTIL B",I550)</f>
        <v>JUVENIL</v>
      </c>
      <c r="I550" s="9" t="str">
        <f>IF(AND(Tabela1[[#This Row],[Data nascimento]]&gt;=$N$2,Tabela1[[#This Row],[Data nascimento]]&lt;=$M$2),"INICIADO",J550)</f>
        <v>JUVENIL</v>
      </c>
      <c r="J550" s="9" t="str">
        <f>IF(AND(Tabela1[[#This Row],[Data nascimento]]&gt;=$P$2,Tabela1[[#This Row],[Data nascimento]]&lt;=$O$2),"JUVENIL","JÚNIOR")</f>
        <v>JUVENIL</v>
      </c>
    </row>
    <row r="551" spans="1:10" ht="15" x14ac:dyDescent="0.4">
      <c r="A551" s="13" t="s">
        <v>2753</v>
      </c>
      <c r="B551" s="2" t="s">
        <v>2754</v>
      </c>
      <c r="C551" s="4" t="s">
        <v>21</v>
      </c>
      <c r="D551" s="11">
        <v>39864</v>
      </c>
      <c r="E551" s="7" t="s">
        <v>2755</v>
      </c>
      <c r="F551" s="4" t="s">
        <v>4741</v>
      </c>
      <c r="G551" s="12" t="str">
        <f>IF(AND(Tabela1[[#This Row],[Data nascimento]]&gt;=$J$2,Tabela1[[#This Row],[Data nascimento]]&lt;=$I$2),"INFANTIL A",H551)</f>
        <v>JUVENIL</v>
      </c>
      <c r="H551" s="3" t="str">
        <f>IF(AND(Tabela1[[#This Row],[Data nascimento]]&gt;=$L$2,Tabela1[[#This Row],[Data nascimento]]&lt;=$K$2),"INFANTIL B",I551)</f>
        <v>JUVENIL</v>
      </c>
      <c r="I551" s="9" t="str">
        <f>IF(AND(Tabela1[[#This Row],[Data nascimento]]&gt;=$N$2,Tabela1[[#This Row],[Data nascimento]]&lt;=$M$2),"INICIADO",J551)</f>
        <v>JUVENIL</v>
      </c>
      <c r="J551" s="9" t="str">
        <f>IF(AND(Tabela1[[#This Row],[Data nascimento]]&gt;=$P$2,Tabela1[[#This Row],[Data nascimento]]&lt;=$O$2),"JUVENIL","JÚNIOR")</f>
        <v>JUVENIL</v>
      </c>
    </row>
    <row r="552" spans="1:10" ht="15" x14ac:dyDescent="0.4">
      <c r="A552" s="13" t="s">
        <v>2756</v>
      </c>
      <c r="B552" s="2" t="s">
        <v>2757</v>
      </c>
      <c r="C552" s="4" t="s">
        <v>8</v>
      </c>
      <c r="D552" s="11">
        <v>39470</v>
      </c>
      <c r="E552" s="7" t="s">
        <v>2758</v>
      </c>
      <c r="F552" s="4" t="s">
        <v>4741</v>
      </c>
      <c r="G552" s="12" t="str">
        <f>IF(AND(Tabela1[[#This Row],[Data nascimento]]&gt;=$J$2,Tabela1[[#This Row],[Data nascimento]]&lt;=$I$2),"INFANTIL A",H552)</f>
        <v>JUVENIL</v>
      </c>
      <c r="H552" s="3" t="str">
        <f>IF(AND(Tabela1[[#This Row],[Data nascimento]]&gt;=$L$2,Tabela1[[#This Row],[Data nascimento]]&lt;=$K$2),"INFANTIL B",I552)</f>
        <v>JUVENIL</v>
      </c>
      <c r="I552" s="9" t="str">
        <f>IF(AND(Tabela1[[#This Row],[Data nascimento]]&gt;=$N$2,Tabela1[[#This Row],[Data nascimento]]&lt;=$M$2),"INICIADO",J552)</f>
        <v>JUVENIL</v>
      </c>
      <c r="J552" s="9" t="str">
        <f>IF(AND(Tabela1[[#This Row],[Data nascimento]]&gt;=$P$2,Tabela1[[#This Row],[Data nascimento]]&lt;=$O$2),"JUVENIL","JÚNIOR")</f>
        <v>JUVENIL</v>
      </c>
    </row>
    <row r="553" spans="1:10" ht="15" x14ac:dyDescent="0.4">
      <c r="A553" s="13" t="s">
        <v>2759</v>
      </c>
      <c r="B553" s="2" t="s">
        <v>2760</v>
      </c>
      <c r="C553" s="4" t="s">
        <v>21</v>
      </c>
      <c r="D553" s="11">
        <v>39925</v>
      </c>
      <c r="E553" s="7" t="s">
        <v>2761</v>
      </c>
      <c r="F553" s="4" t="s">
        <v>4742</v>
      </c>
      <c r="G553" s="12" t="str">
        <f>IF(AND(Tabela1[[#This Row],[Data nascimento]]&gt;=$J$2,Tabela1[[#This Row],[Data nascimento]]&lt;=$I$2),"INFANTIL A",H553)</f>
        <v>JUVENIL</v>
      </c>
      <c r="H553" s="3" t="str">
        <f>IF(AND(Tabela1[[#This Row],[Data nascimento]]&gt;=$L$2,Tabela1[[#This Row],[Data nascimento]]&lt;=$K$2),"INFANTIL B",I553)</f>
        <v>JUVENIL</v>
      </c>
      <c r="I553" s="9" t="str">
        <f>IF(AND(Tabela1[[#This Row],[Data nascimento]]&gt;=$N$2,Tabela1[[#This Row],[Data nascimento]]&lt;=$M$2),"INICIADO",J553)</f>
        <v>JUVENIL</v>
      </c>
      <c r="J553" s="9" t="str">
        <f>IF(AND(Tabela1[[#This Row],[Data nascimento]]&gt;=$P$2,Tabela1[[#This Row],[Data nascimento]]&lt;=$O$2),"JUVENIL","JÚNIOR")</f>
        <v>JUVENIL</v>
      </c>
    </row>
    <row r="554" spans="1:10" ht="15" x14ac:dyDescent="0.4">
      <c r="A554" s="13" t="s">
        <v>2762</v>
      </c>
      <c r="B554" s="2" t="s">
        <v>2763</v>
      </c>
      <c r="C554" s="4" t="s">
        <v>8</v>
      </c>
      <c r="D554" s="11">
        <v>39826</v>
      </c>
      <c r="E554" s="7" t="s">
        <v>2764</v>
      </c>
      <c r="F554" s="4" t="s">
        <v>4742</v>
      </c>
      <c r="G554" s="12" t="str">
        <f>IF(AND(Tabela1[[#This Row],[Data nascimento]]&gt;=$J$2,Tabela1[[#This Row],[Data nascimento]]&lt;=$I$2),"INFANTIL A",H554)</f>
        <v>JUVENIL</v>
      </c>
      <c r="H554" s="3" t="str">
        <f>IF(AND(Tabela1[[#This Row],[Data nascimento]]&gt;=$L$2,Tabela1[[#This Row],[Data nascimento]]&lt;=$K$2),"INFANTIL B",I554)</f>
        <v>JUVENIL</v>
      </c>
      <c r="I554" s="9" t="str">
        <f>IF(AND(Tabela1[[#This Row],[Data nascimento]]&gt;=$N$2,Tabela1[[#This Row],[Data nascimento]]&lt;=$M$2),"INICIADO",J554)</f>
        <v>JUVENIL</v>
      </c>
      <c r="J554" s="9" t="str">
        <f>IF(AND(Tabela1[[#This Row],[Data nascimento]]&gt;=$P$2,Tabela1[[#This Row],[Data nascimento]]&lt;=$O$2),"JUVENIL","JÚNIOR")</f>
        <v>JUVENIL</v>
      </c>
    </row>
    <row r="555" spans="1:10" ht="15" x14ac:dyDescent="0.4">
      <c r="A555" s="13" t="s">
        <v>2765</v>
      </c>
      <c r="B555" s="2" t="s">
        <v>2766</v>
      </c>
      <c r="C555" s="4" t="s">
        <v>21</v>
      </c>
      <c r="D555" s="11">
        <v>40065</v>
      </c>
      <c r="E555" s="7" t="s">
        <v>2767</v>
      </c>
      <c r="F555" s="4" t="s">
        <v>4742</v>
      </c>
      <c r="G555" s="12" t="str">
        <f>IF(AND(Tabela1[[#This Row],[Data nascimento]]&gt;=$J$2,Tabela1[[#This Row],[Data nascimento]]&lt;=$I$2),"INFANTIL A",H555)</f>
        <v>JUVENIL</v>
      </c>
      <c r="H555" s="3" t="str">
        <f>IF(AND(Tabela1[[#This Row],[Data nascimento]]&gt;=$L$2,Tabela1[[#This Row],[Data nascimento]]&lt;=$K$2),"INFANTIL B",I555)</f>
        <v>JUVENIL</v>
      </c>
      <c r="I555" s="9" t="str">
        <f>IF(AND(Tabela1[[#This Row],[Data nascimento]]&gt;=$N$2,Tabela1[[#This Row],[Data nascimento]]&lt;=$M$2),"INICIADO",J555)</f>
        <v>JUVENIL</v>
      </c>
      <c r="J555" s="9" t="str">
        <f>IF(AND(Tabela1[[#This Row],[Data nascimento]]&gt;=$P$2,Tabela1[[#This Row],[Data nascimento]]&lt;=$O$2),"JUVENIL","JÚNIOR")</f>
        <v>JUVENIL</v>
      </c>
    </row>
    <row r="556" spans="1:10" ht="15" x14ac:dyDescent="0.4">
      <c r="A556" s="13" t="s">
        <v>2768</v>
      </c>
      <c r="B556" s="2" t="s">
        <v>2769</v>
      </c>
      <c r="C556" s="4" t="s">
        <v>21</v>
      </c>
      <c r="D556" s="11">
        <v>40027</v>
      </c>
      <c r="E556" s="7" t="s">
        <v>2770</v>
      </c>
      <c r="F556" s="4" t="s">
        <v>4742</v>
      </c>
      <c r="G556" s="12" t="str">
        <f>IF(AND(Tabela1[[#This Row],[Data nascimento]]&gt;=$J$2,Tabela1[[#This Row],[Data nascimento]]&lt;=$I$2),"INFANTIL A",H556)</f>
        <v>JUVENIL</v>
      </c>
      <c r="H556" s="3" t="str">
        <f>IF(AND(Tabela1[[#This Row],[Data nascimento]]&gt;=$L$2,Tabela1[[#This Row],[Data nascimento]]&lt;=$K$2),"INFANTIL B",I556)</f>
        <v>JUVENIL</v>
      </c>
      <c r="I556" s="9" t="str">
        <f>IF(AND(Tabela1[[#This Row],[Data nascimento]]&gt;=$N$2,Tabela1[[#This Row],[Data nascimento]]&lt;=$M$2),"INICIADO",J556)</f>
        <v>JUVENIL</v>
      </c>
      <c r="J556" s="9" t="str">
        <f>IF(AND(Tabela1[[#This Row],[Data nascimento]]&gt;=$P$2,Tabela1[[#This Row],[Data nascimento]]&lt;=$O$2),"JUVENIL","JÚNIOR")</f>
        <v>JUVENIL</v>
      </c>
    </row>
    <row r="557" spans="1:10" ht="15" x14ac:dyDescent="0.4">
      <c r="A557" s="13" t="s">
        <v>2771</v>
      </c>
      <c r="B557" s="2" t="s">
        <v>2772</v>
      </c>
      <c r="C557" s="4" t="s">
        <v>21</v>
      </c>
      <c r="D557" s="11">
        <v>39872</v>
      </c>
      <c r="E557" s="7" t="s">
        <v>2773</v>
      </c>
      <c r="F557" s="4" t="s">
        <v>4742</v>
      </c>
      <c r="G557" s="12" t="str">
        <f>IF(AND(Tabela1[[#This Row],[Data nascimento]]&gt;=$J$2,Tabela1[[#This Row],[Data nascimento]]&lt;=$I$2),"INFANTIL A",H557)</f>
        <v>JUVENIL</v>
      </c>
      <c r="H557" s="3" t="str">
        <f>IF(AND(Tabela1[[#This Row],[Data nascimento]]&gt;=$L$2,Tabela1[[#This Row],[Data nascimento]]&lt;=$K$2),"INFANTIL B",I557)</f>
        <v>JUVENIL</v>
      </c>
      <c r="I557" s="9" t="str">
        <f>IF(AND(Tabela1[[#This Row],[Data nascimento]]&gt;=$N$2,Tabela1[[#This Row],[Data nascimento]]&lt;=$M$2),"INICIADO",J557)</f>
        <v>JUVENIL</v>
      </c>
      <c r="J557" s="9" t="str">
        <f>IF(AND(Tabela1[[#This Row],[Data nascimento]]&gt;=$P$2,Tabela1[[#This Row],[Data nascimento]]&lt;=$O$2),"JUVENIL","JÚNIOR")</f>
        <v>JUVENIL</v>
      </c>
    </row>
    <row r="558" spans="1:10" ht="15" x14ac:dyDescent="0.4">
      <c r="A558" s="13" t="s">
        <v>2774</v>
      </c>
      <c r="B558" s="2" t="s">
        <v>2775</v>
      </c>
      <c r="C558" s="4" t="s">
        <v>21</v>
      </c>
      <c r="D558" s="11">
        <v>40056</v>
      </c>
      <c r="E558" s="7" t="s">
        <v>2776</v>
      </c>
      <c r="F558" s="4" t="s">
        <v>4742</v>
      </c>
      <c r="G558" s="12" t="str">
        <f>IF(AND(Tabela1[[#This Row],[Data nascimento]]&gt;=$J$2,Tabela1[[#This Row],[Data nascimento]]&lt;=$I$2),"INFANTIL A",H558)</f>
        <v>JUVENIL</v>
      </c>
      <c r="H558" s="3" t="str">
        <f>IF(AND(Tabela1[[#This Row],[Data nascimento]]&gt;=$L$2,Tabela1[[#This Row],[Data nascimento]]&lt;=$K$2),"INFANTIL B",I558)</f>
        <v>JUVENIL</v>
      </c>
      <c r="I558" s="9" t="str">
        <f>IF(AND(Tabela1[[#This Row],[Data nascimento]]&gt;=$N$2,Tabela1[[#This Row],[Data nascimento]]&lt;=$M$2),"INICIADO",J558)</f>
        <v>JUVENIL</v>
      </c>
      <c r="J558" s="9" t="str">
        <f>IF(AND(Tabela1[[#This Row],[Data nascimento]]&gt;=$P$2,Tabela1[[#This Row],[Data nascimento]]&lt;=$O$2),"JUVENIL","JÚNIOR")</f>
        <v>JUVENIL</v>
      </c>
    </row>
    <row r="559" spans="1:10" ht="15" x14ac:dyDescent="0.4">
      <c r="A559" s="13" t="s">
        <v>2777</v>
      </c>
      <c r="B559" s="2" t="s">
        <v>2778</v>
      </c>
      <c r="C559" s="4" t="s">
        <v>21</v>
      </c>
      <c r="D559" s="11">
        <v>39924</v>
      </c>
      <c r="E559" s="7" t="s">
        <v>2779</v>
      </c>
      <c r="F559" s="4" t="s">
        <v>4742</v>
      </c>
      <c r="G559" s="12" t="str">
        <f>IF(AND(Tabela1[[#This Row],[Data nascimento]]&gt;=$J$2,Tabela1[[#This Row],[Data nascimento]]&lt;=$I$2),"INFANTIL A",H559)</f>
        <v>JUVENIL</v>
      </c>
      <c r="H559" s="3" t="str">
        <f>IF(AND(Tabela1[[#This Row],[Data nascimento]]&gt;=$L$2,Tabela1[[#This Row],[Data nascimento]]&lt;=$K$2),"INFANTIL B",I559)</f>
        <v>JUVENIL</v>
      </c>
      <c r="I559" s="9" t="str">
        <f>IF(AND(Tabela1[[#This Row],[Data nascimento]]&gt;=$N$2,Tabela1[[#This Row],[Data nascimento]]&lt;=$M$2),"INICIADO",J559)</f>
        <v>JUVENIL</v>
      </c>
      <c r="J559" s="9" t="str">
        <f>IF(AND(Tabela1[[#This Row],[Data nascimento]]&gt;=$P$2,Tabela1[[#This Row],[Data nascimento]]&lt;=$O$2),"JUVENIL","JÚNIOR")</f>
        <v>JUVENIL</v>
      </c>
    </row>
    <row r="560" spans="1:10" ht="15" x14ac:dyDescent="0.4">
      <c r="A560" s="13" t="s">
        <v>2780</v>
      </c>
      <c r="B560" s="2" t="s">
        <v>2781</v>
      </c>
      <c r="C560" s="4" t="s">
        <v>21</v>
      </c>
      <c r="D560" s="11">
        <v>40158</v>
      </c>
      <c r="E560" s="7" t="s">
        <v>2782</v>
      </c>
      <c r="F560" s="4" t="s">
        <v>4742</v>
      </c>
      <c r="G560" s="12" t="str">
        <f>IF(AND(Tabela1[[#This Row],[Data nascimento]]&gt;=$J$2,Tabela1[[#This Row],[Data nascimento]]&lt;=$I$2),"INFANTIL A",H560)</f>
        <v>JUVENIL</v>
      </c>
      <c r="H560" s="3" t="str">
        <f>IF(AND(Tabela1[[#This Row],[Data nascimento]]&gt;=$L$2,Tabela1[[#This Row],[Data nascimento]]&lt;=$K$2),"INFANTIL B",I560)</f>
        <v>JUVENIL</v>
      </c>
      <c r="I560" s="9" t="str">
        <f>IF(AND(Tabela1[[#This Row],[Data nascimento]]&gt;=$N$2,Tabela1[[#This Row],[Data nascimento]]&lt;=$M$2),"INICIADO",J560)</f>
        <v>JUVENIL</v>
      </c>
      <c r="J560" s="9" t="str">
        <f>IF(AND(Tabela1[[#This Row],[Data nascimento]]&gt;=$P$2,Tabela1[[#This Row],[Data nascimento]]&lt;=$O$2),"JUVENIL","JÚNIOR")</f>
        <v>JUVENIL</v>
      </c>
    </row>
    <row r="561" spans="1:10" ht="15" x14ac:dyDescent="0.4">
      <c r="A561" s="13" t="s">
        <v>2783</v>
      </c>
      <c r="B561" s="2" t="s">
        <v>2784</v>
      </c>
      <c r="C561" s="4" t="s">
        <v>21</v>
      </c>
      <c r="D561" s="11">
        <v>39615</v>
      </c>
      <c r="E561" s="7" t="s">
        <v>2785</v>
      </c>
      <c r="F561" s="4" t="s">
        <v>4742</v>
      </c>
      <c r="G561" s="12" t="str">
        <f>IF(AND(Tabela1[[#This Row],[Data nascimento]]&gt;=$J$2,Tabela1[[#This Row],[Data nascimento]]&lt;=$I$2),"INFANTIL A",H561)</f>
        <v>JUVENIL</v>
      </c>
      <c r="H561" s="3" t="str">
        <f>IF(AND(Tabela1[[#This Row],[Data nascimento]]&gt;=$L$2,Tabela1[[#This Row],[Data nascimento]]&lt;=$K$2),"INFANTIL B",I561)</f>
        <v>JUVENIL</v>
      </c>
      <c r="I561" s="9" t="str">
        <f>IF(AND(Tabela1[[#This Row],[Data nascimento]]&gt;=$N$2,Tabela1[[#This Row],[Data nascimento]]&lt;=$M$2),"INICIADO",J561)</f>
        <v>JUVENIL</v>
      </c>
      <c r="J561" s="9" t="str">
        <f>IF(AND(Tabela1[[#This Row],[Data nascimento]]&gt;=$P$2,Tabela1[[#This Row],[Data nascimento]]&lt;=$O$2),"JUVENIL","JÚNIOR")</f>
        <v>JUVENIL</v>
      </c>
    </row>
    <row r="562" spans="1:10" ht="15" x14ac:dyDescent="0.4">
      <c r="A562" s="13" t="s">
        <v>2786</v>
      </c>
      <c r="B562" s="2" t="s">
        <v>2787</v>
      </c>
      <c r="C562" s="4" t="s">
        <v>21</v>
      </c>
      <c r="D562" s="11">
        <v>40070</v>
      </c>
      <c r="E562" s="7" t="s">
        <v>2788</v>
      </c>
      <c r="F562" s="4" t="s">
        <v>4742</v>
      </c>
      <c r="G562" s="12" t="str">
        <f>IF(AND(Tabela1[[#This Row],[Data nascimento]]&gt;=$J$2,Tabela1[[#This Row],[Data nascimento]]&lt;=$I$2),"INFANTIL A",H562)</f>
        <v>JUVENIL</v>
      </c>
      <c r="H562" s="3" t="str">
        <f>IF(AND(Tabela1[[#This Row],[Data nascimento]]&gt;=$L$2,Tabela1[[#This Row],[Data nascimento]]&lt;=$K$2),"INFANTIL B",I562)</f>
        <v>JUVENIL</v>
      </c>
      <c r="I562" s="9" t="str">
        <f>IF(AND(Tabela1[[#This Row],[Data nascimento]]&gt;=$N$2,Tabela1[[#This Row],[Data nascimento]]&lt;=$M$2),"INICIADO",J562)</f>
        <v>JUVENIL</v>
      </c>
      <c r="J562" s="9" t="str">
        <f>IF(AND(Tabela1[[#This Row],[Data nascimento]]&gt;=$P$2,Tabela1[[#This Row],[Data nascimento]]&lt;=$O$2),"JUVENIL","JÚNIOR")</f>
        <v>JUVENIL</v>
      </c>
    </row>
    <row r="563" spans="1:10" ht="15" x14ac:dyDescent="0.4">
      <c r="A563" s="13" t="s">
        <v>2789</v>
      </c>
      <c r="B563" s="2" t="s">
        <v>2790</v>
      </c>
      <c r="C563" s="4" t="s">
        <v>21</v>
      </c>
      <c r="D563" s="11">
        <v>40103</v>
      </c>
      <c r="E563" s="7" t="s">
        <v>2791</v>
      </c>
      <c r="F563" s="4" t="s">
        <v>4742</v>
      </c>
      <c r="G563" s="12" t="str">
        <f>IF(AND(Tabela1[[#This Row],[Data nascimento]]&gt;=$J$2,Tabela1[[#This Row],[Data nascimento]]&lt;=$I$2),"INFANTIL A",H563)</f>
        <v>JUVENIL</v>
      </c>
      <c r="H563" s="3" t="str">
        <f>IF(AND(Tabela1[[#This Row],[Data nascimento]]&gt;=$L$2,Tabela1[[#This Row],[Data nascimento]]&lt;=$K$2),"INFANTIL B",I563)</f>
        <v>JUVENIL</v>
      </c>
      <c r="I563" s="9" t="str">
        <f>IF(AND(Tabela1[[#This Row],[Data nascimento]]&gt;=$N$2,Tabela1[[#This Row],[Data nascimento]]&lt;=$M$2),"INICIADO",J563)</f>
        <v>JUVENIL</v>
      </c>
      <c r="J563" s="9" t="str">
        <f>IF(AND(Tabela1[[#This Row],[Data nascimento]]&gt;=$P$2,Tabela1[[#This Row],[Data nascimento]]&lt;=$O$2),"JUVENIL","JÚNIOR")</f>
        <v>JUVENIL</v>
      </c>
    </row>
    <row r="564" spans="1:10" ht="15" x14ac:dyDescent="0.4">
      <c r="A564" s="13" t="s">
        <v>2792</v>
      </c>
      <c r="B564" s="2" t="s">
        <v>2793</v>
      </c>
      <c r="C564" s="4" t="s">
        <v>8</v>
      </c>
      <c r="D564" s="11">
        <v>40014</v>
      </c>
      <c r="E564" s="7" t="s">
        <v>2794</v>
      </c>
      <c r="F564" s="4" t="s">
        <v>4742</v>
      </c>
      <c r="G564" s="12" t="str">
        <f>IF(AND(Tabela1[[#This Row],[Data nascimento]]&gt;=$J$2,Tabela1[[#This Row],[Data nascimento]]&lt;=$I$2),"INFANTIL A",H564)</f>
        <v>JUVENIL</v>
      </c>
      <c r="H564" s="3" t="str">
        <f>IF(AND(Tabela1[[#This Row],[Data nascimento]]&gt;=$L$2,Tabela1[[#This Row],[Data nascimento]]&lt;=$K$2),"INFANTIL B",I564)</f>
        <v>JUVENIL</v>
      </c>
      <c r="I564" s="9" t="str">
        <f>IF(AND(Tabela1[[#This Row],[Data nascimento]]&gt;=$N$2,Tabela1[[#This Row],[Data nascimento]]&lt;=$M$2),"INICIADO",J564)</f>
        <v>JUVENIL</v>
      </c>
      <c r="J564" s="9" t="str">
        <f>IF(AND(Tabela1[[#This Row],[Data nascimento]]&gt;=$P$2,Tabela1[[#This Row],[Data nascimento]]&lt;=$O$2),"JUVENIL","JÚNIOR")</f>
        <v>JUVENIL</v>
      </c>
    </row>
    <row r="565" spans="1:10" ht="15" x14ac:dyDescent="0.4">
      <c r="A565" s="13" t="s">
        <v>2795</v>
      </c>
      <c r="B565" s="2" t="s">
        <v>2796</v>
      </c>
      <c r="C565" s="4" t="s">
        <v>21</v>
      </c>
      <c r="D565" s="11">
        <v>40142</v>
      </c>
      <c r="E565" s="7" t="s">
        <v>2797</v>
      </c>
      <c r="F565" s="4" t="s">
        <v>4742</v>
      </c>
      <c r="G565" s="12" t="str">
        <f>IF(AND(Tabela1[[#This Row],[Data nascimento]]&gt;=$J$2,Tabela1[[#This Row],[Data nascimento]]&lt;=$I$2),"INFANTIL A",H565)</f>
        <v>JUVENIL</v>
      </c>
      <c r="H565" s="3" t="str">
        <f>IF(AND(Tabela1[[#This Row],[Data nascimento]]&gt;=$L$2,Tabela1[[#This Row],[Data nascimento]]&lt;=$K$2),"INFANTIL B",I565)</f>
        <v>JUVENIL</v>
      </c>
      <c r="I565" s="9" t="str">
        <f>IF(AND(Tabela1[[#This Row],[Data nascimento]]&gt;=$N$2,Tabela1[[#This Row],[Data nascimento]]&lt;=$M$2),"INICIADO",J565)</f>
        <v>JUVENIL</v>
      </c>
      <c r="J565" s="9" t="str">
        <f>IF(AND(Tabela1[[#This Row],[Data nascimento]]&gt;=$P$2,Tabela1[[#This Row],[Data nascimento]]&lt;=$O$2),"JUVENIL","JÚNIOR")</f>
        <v>JUVENIL</v>
      </c>
    </row>
    <row r="566" spans="1:10" ht="15" x14ac:dyDescent="0.4">
      <c r="A566" s="13" t="s">
        <v>2798</v>
      </c>
      <c r="B566" s="2" t="s">
        <v>2799</v>
      </c>
      <c r="C566" s="4" t="s">
        <v>21</v>
      </c>
      <c r="D566" s="11">
        <v>39965</v>
      </c>
      <c r="E566" s="7" t="s">
        <v>2800</v>
      </c>
      <c r="F566" s="4" t="s">
        <v>4742</v>
      </c>
      <c r="G566" s="12" t="str">
        <f>IF(AND(Tabela1[[#This Row],[Data nascimento]]&gt;=$J$2,Tabela1[[#This Row],[Data nascimento]]&lt;=$I$2),"INFANTIL A",H566)</f>
        <v>JUVENIL</v>
      </c>
      <c r="H566" s="3" t="str">
        <f>IF(AND(Tabela1[[#This Row],[Data nascimento]]&gt;=$L$2,Tabela1[[#This Row],[Data nascimento]]&lt;=$K$2),"INFANTIL B",I566)</f>
        <v>JUVENIL</v>
      </c>
      <c r="I566" s="9" t="str">
        <f>IF(AND(Tabela1[[#This Row],[Data nascimento]]&gt;=$N$2,Tabela1[[#This Row],[Data nascimento]]&lt;=$M$2),"INICIADO",J566)</f>
        <v>JUVENIL</v>
      </c>
      <c r="J566" s="9" t="str">
        <f>IF(AND(Tabela1[[#This Row],[Data nascimento]]&gt;=$P$2,Tabela1[[#This Row],[Data nascimento]]&lt;=$O$2),"JUVENIL","JÚNIOR")</f>
        <v>JUVENIL</v>
      </c>
    </row>
    <row r="567" spans="1:10" ht="15" x14ac:dyDescent="0.4">
      <c r="A567" s="13" t="s">
        <v>2801</v>
      </c>
      <c r="B567" s="2" t="s">
        <v>2802</v>
      </c>
      <c r="C567" s="4" t="s">
        <v>21</v>
      </c>
      <c r="D567" s="11">
        <v>39739</v>
      </c>
      <c r="E567" s="7" t="s">
        <v>2803</v>
      </c>
      <c r="F567" s="4" t="s">
        <v>4743</v>
      </c>
      <c r="G567" s="12" t="str">
        <f>IF(AND(Tabela1[[#This Row],[Data nascimento]]&gt;=$J$2,Tabela1[[#This Row],[Data nascimento]]&lt;=$I$2),"INFANTIL A",H567)</f>
        <v>JUVENIL</v>
      </c>
      <c r="H567" s="3" t="str">
        <f>IF(AND(Tabela1[[#This Row],[Data nascimento]]&gt;=$L$2,Tabela1[[#This Row],[Data nascimento]]&lt;=$K$2),"INFANTIL B",I567)</f>
        <v>JUVENIL</v>
      </c>
      <c r="I567" s="9" t="str">
        <f>IF(AND(Tabela1[[#This Row],[Data nascimento]]&gt;=$N$2,Tabela1[[#This Row],[Data nascimento]]&lt;=$M$2),"INICIADO",J567)</f>
        <v>JUVENIL</v>
      </c>
      <c r="J567" s="9" t="str">
        <f>IF(AND(Tabela1[[#This Row],[Data nascimento]]&gt;=$P$2,Tabela1[[#This Row],[Data nascimento]]&lt;=$O$2),"JUVENIL","JÚNIOR")</f>
        <v>JUVENIL</v>
      </c>
    </row>
    <row r="568" spans="1:10" ht="15" x14ac:dyDescent="0.4">
      <c r="A568" s="13" t="s">
        <v>2804</v>
      </c>
      <c r="B568" s="2" t="s">
        <v>2805</v>
      </c>
      <c r="C568" s="4" t="s">
        <v>8</v>
      </c>
      <c r="D568" s="11">
        <v>40074</v>
      </c>
      <c r="E568" s="7" t="s">
        <v>2806</v>
      </c>
      <c r="F568" s="4" t="s">
        <v>4743</v>
      </c>
      <c r="G568" s="12" t="str">
        <f>IF(AND(Tabela1[[#This Row],[Data nascimento]]&gt;=$J$2,Tabela1[[#This Row],[Data nascimento]]&lt;=$I$2),"INFANTIL A",H568)</f>
        <v>JUVENIL</v>
      </c>
      <c r="H568" s="3" t="str">
        <f>IF(AND(Tabela1[[#This Row],[Data nascimento]]&gt;=$L$2,Tabela1[[#This Row],[Data nascimento]]&lt;=$K$2),"INFANTIL B",I568)</f>
        <v>JUVENIL</v>
      </c>
      <c r="I568" s="9" t="str">
        <f>IF(AND(Tabela1[[#This Row],[Data nascimento]]&gt;=$N$2,Tabela1[[#This Row],[Data nascimento]]&lt;=$M$2),"INICIADO",J568)</f>
        <v>JUVENIL</v>
      </c>
      <c r="J568" s="9" t="str">
        <f>IF(AND(Tabela1[[#This Row],[Data nascimento]]&gt;=$P$2,Tabela1[[#This Row],[Data nascimento]]&lt;=$O$2),"JUVENIL","JÚNIOR")</f>
        <v>JUVENIL</v>
      </c>
    </row>
    <row r="569" spans="1:10" ht="15" x14ac:dyDescent="0.4">
      <c r="A569" s="13" t="s">
        <v>2807</v>
      </c>
      <c r="B569" s="2" t="s">
        <v>2808</v>
      </c>
      <c r="C569" s="4" t="s">
        <v>21</v>
      </c>
      <c r="D569" s="11">
        <v>39723</v>
      </c>
      <c r="E569" s="7" t="s">
        <v>2809</v>
      </c>
      <c r="F569" s="4" t="s">
        <v>4743</v>
      </c>
      <c r="G569" s="12" t="str">
        <f>IF(AND(Tabela1[[#This Row],[Data nascimento]]&gt;=$J$2,Tabela1[[#This Row],[Data nascimento]]&lt;=$I$2),"INFANTIL A",H569)</f>
        <v>JUVENIL</v>
      </c>
      <c r="H569" s="3" t="str">
        <f>IF(AND(Tabela1[[#This Row],[Data nascimento]]&gt;=$L$2,Tabela1[[#This Row],[Data nascimento]]&lt;=$K$2),"INFANTIL B",I569)</f>
        <v>JUVENIL</v>
      </c>
      <c r="I569" s="9" t="str">
        <f>IF(AND(Tabela1[[#This Row],[Data nascimento]]&gt;=$N$2,Tabela1[[#This Row],[Data nascimento]]&lt;=$M$2),"INICIADO",J569)</f>
        <v>JUVENIL</v>
      </c>
      <c r="J569" s="9" t="str">
        <f>IF(AND(Tabela1[[#This Row],[Data nascimento]]&gt;=$P$2,Tabela1[[#This Row],[Data nascimento]]&lt;=$O$2),"JUVENIL","JÚNIOR")</f>
        <v>JUVENIL</v>
      </c>
    </row>
    <row r="570" spans="1:10" ht="15" x14ac:dyDescent="0.4">
      <c r="A570" s="13" t="s">
        <v>2810</v>
      </c>
      <c r="B570" s="2" t="s">
        <v>2811</v>
      </c>
      <c r="C570" s="4" t="s">
        <v>21</v>
      </c>
      <c r="D570" s="11">
        <v>39813</v>
      </c>
      <c r="E570" s="7" t="s">
        <v>2812</v>
      </c>
      <c r="F570" s="4" t="s">
        <v>4743</v>
      </c>
      <c r="G570" s="12" t="str">
        <f>IF(AND(Tabela1[[#This Row],[Data nascimento]]&gt;=$J$2,Tabela1[[#This Row],[Data nascimento]]&lt;=$I$2),"INFANTIL A",H570)</f>
        <v>JUVENIL</v>
      </c>
      <c r="H570" s="3" t="str">
        <f>IF(AND(Tabela1[[#This Row],[Data nascimento]]&gt;=$L$2,Tabela1[[#This Row],[Data nascimento]]&lt;=$K$2),"INFANTIL B",I570)</f>
        <v>JUVENIL</v>
      </c>
      <c r="I570" s="9" t="str">
        <f>IF(AND(Tabela1[[#This Row],[Data nascimento]]&gt;=$N$2,Tabela1[[#This Row],[Data nascimento]]&lt;=$M$2),"INICIADO",J570)</f>
        <v>JUVENIL</v>
      </c>
      <c r="J570" s="9" t="str">
        <f>IF(AND(Tabela1[[#This Row],[Data nascimento]]&gt;=$P$2,Tabela1[[#This Row],[Data nascimento]]&lt;=$O$2),"JUVENIL","JÚNIOR")</f>
        <v>JUVENIL</v>
      </c>
    </row>
    <row r="571" spans="1:10" ht="15" x14ac:dyDescent="0.4">
      <c r="A571" s="13" t="s">
        <v>2813</v>
      </c>
      <c r="B571" s="2" t="s">
        <v>2814</v>
      </c>
      <c r="C571" s="4" t="s">
        <v>21</v>
      </c>
      <c r="D571" s="11">
        <v>39700</v>
      </c>
      <c r="E571" s="7" t="s">
        <v>2815</v>
      </c>
      <c r="F571" s="4" t="s">
        <v>4743</v>
      </c>
      <c r="G571" s="12" t="str">
        <f>IF(AND(Tabela1[[#This Row],[Data nascimento]]&gt;=$J$2,Tabela1[[#This Row],[Data nascimento]]&lt;=$I$2),"INFANTIL A",H571)</f>
        <v>JUVENIL</v>
      </c>
      <c r="H571" s="3" t="str">
        <f>IF(AND(Tabela1[[#This Row],[Data nascimento]]&gt;=$L$2,Tabela1[[#This Row],[Data nascimento]]&lt;=$K$2),"INFANTIL B",I571)</f>
        <v>JUVENIL</v>
      </c>
      <c r="I571" s="9" t="str">
        <f>IF(AND(Tabela1[[#This Row],[Data nascimento]]&gt;=$N$2,Tabela1[[#This Row],[Data nascimento]]&lt;=$M$2),"INICIADO",J571)</f>
        <v>JUVENIL</v>
      </c>
      <c r="J571" s="9" t="str">
        <f>IF(AND(Tabela1[[#This Row],[Data nascimento]]&gt;=$P$2,Tabela1[[#This Row],[Data nascimento]]&lt;=$O$2),"JUVENIL","JÚNIOR")</f>
        <v>JUVENIL</v>
      </c>
    </row>
    <row r="572" spans="1:10" ht="15" x14ac:dyDescent="0.4">
      <c r="A572" s="13" t="s">
        <v>2816</v>
      </c>
      <c r="B572" s="2" t="s">
        <v>2817</v>
      </c>
      <c r="C572" s="4" t="s">
        <v>8</v>
      </c>
      <c r="D572" s="11">
        <v>40043</v>
      </c>
      <c r="E572" s="7" t="s">
        <v>2818</v>
      </c>
      <c r="F572" s="4" t="s">
        <v>4743</v>
      </c>
      <c r="G572" s="12" t="str">
        <f>IF(AND(Tabela1[[#This Row],[Data nascimento]]&gt;=$J$2,Tabela1[[#This Row],[Data nascimento]]&lt;=$I$2),"INFANTIL A",H572)</f>
        <v>JUVENIL</v>
      </c>
      <c r="H572" s="3" t="str">
        <f>IF(AND(Tabela1[[#This Row],[Data nascimento]]&gt;=$L$2,Tabela1[[#This Row],[Data nascimento]]&lt;=$K$2),"INFANTIL B",I572)</f>
        <v>JUVENIL</v>
      </c>
      <c r="I572" s="9" t="str">
        <f>IF(AND(Tabela1[[#This Row],[Data nascimento]]&gt;=$N$2,Tabela1[[#This Row],[Data nascimento]]&lt;=$M$2),"INICIADO",J572)</f>
        <v>JUVENIL</v>
      </c>
      <c r="J572" s="9" t="str">
        <f>IF(AND(Tabela1[[#This Row],[Data nascimento]]&gt;=$P$2,Tabela1[[#This Row],[Data nascimento]]&lt;=$O$2),"JUVENIL","JÚNIOR")</f>
        <v>JUVENIL</v>
      </c>
    </row>
    <row r="573" spans="1:10" ht="15" x14ac:dyDescent="0.4">
      <c r="A573" s="13" t="s">
        <v>2819</v>
      </c>
      <c r="B573" s="2" t="s">
        <v>2820</v>
      </c>
      <c r="C573" s="4" t="s">
        <v>21</v>
      </c>
      <c r="D573" s="11">
        <v>39523</v>
      </c>
      <c r="E573" s="7" t="s">
        <v>2821</v>
      </c>
      <c r="F573" s="4" t="s">
        <v>4743</v>
      </c>
      <c r="G573" s="12" t="str">
        <f>IF(AND(Tabela1[[#This Row],[Data nascimento]]&gt;=$J$2,Tabela1[[#This Row],[Data nascimento]]&lt;=$I$2),"INFANTIL A",H573)</f>
        <v>JUVENIL</v>
      </c>
      <c r="H573" s="3" t="str">
        <f>IF(AND(Tabela1[[#This Row],[Data nascimento]]&gt;=$L$2,Tabela1[[#This Row],[Data nascimento]]&lt;=$K$2),"INFANTIL B",I573)</f>
        <v>JUVENIL</v>
      </c>
      <c r="I573" s="9" t="str">
        <f>IF(AND(Tabela1[[#This Row],[Data nascimento]]&gt;=$N$2,Tabela1[[#This Row],[Data nascimento]]&lt;=$M$2),"INICIADO",J573)</f>
        <v>JUVENIL</v>
      </c>
      <c r="J573" s="9" t="str">
        <f>IF(AND(Tabela1[[#This Row],[Data nascimento]]&gt;=$P$2,Tabela1[[#This Row],[Data nascimento]]&lt;=$O$2),"JUVENIL","JÚNIOR")</f>
        <v>JUVENIL</v>
      </c>
    </row>
    <row r="574" spans="1:10" ht="15" x14ac:dyDescent="0.4">
      <c r="A574" s="13" t="s">
        <v>2822</v>
      </c>
      <c r="B574" s="2" t="s">
        <v>2823</v>
      </c>
      <c r="C574" s="4" t="s">
        <v>21</v>
      </c>
      <c r="D574" s="11">
        <v>39915</v>
      </c>
      <c r="E574" s="7" t="s">
        <v>2824</v>
      </c>
      <c r="F574" s="4" t="s">
        <v>4743</v>
      </c>
      <c r="G574" s="12" t="str">
        <f>IF(AND(Tabela1[[#This Row],[Data nascimento]]&gt;=$J$2,Tabela1[[#This Row],[Data nascimento]]&lt;=$I$2),"INFANTIL A",H574)</f>
        <v>JUVENIL</v>
      </c>
      <c r="H574" s="3" t="str">
        <f>IF(AND(Tabela1[[#This Row],[Data nascimento]]&gt;=$L$2,Tabela1[[#This Row],[Data nascimento]]&lt;=$K$2),"INFANTIL B",I574)</f>
        <v>JUVENIL</v>
      </c>
      <c r="I574" s="9" t="str">
        <f>IF(AND(Tabela1[[#This Row],[Data nascimento]]&gt;=$N$2,Tabela1[[#This Row],[Data nascimento]]&lt;=$M$2),"INICIADO",J574)</f>
        <v>JUVENIL</v>
      </c>
      <c r="J574" s="9" t="str">
        <f>IF(AND(Tabela1[[#This Row],[Data nascimento]]&gt;=$P$2,Tabela1[[#This Row],[Data nascimento]]&lt;=$O$2),"JUVENIL","JÚNIOR")</f>
        <v>JUVENIL</v>
      </c>
    </row>
    <row r="575" spans="1:10" ht="15" x14ac:dyDescent="0.4">
      <c r="A575" s="13" t="s">
        <v>2825</v>
      </c>
      <c r="B575" s="2" t="s">
        <v>2826</v>
      </c>
      <c r="C575" s="4" t="s">
        <v>21</v>
      </c>
      <c r="D575" s="11">
        <v>39886</v>
      </c>
      <c r="E575" s="7" t="s">
        <v>2827</v>
      </c>
      <c r="F575" s="4" t="s">
        <v>4743</v>
      </c>
      <c r="G575" s="12" t="str">
        <f>IF(AND(Tabela1[[#This Row],[Data nascimento]]&gt;=$J$2,Tabela1[[#This Row],[Data nascimento]]&lt;=$I$2),"INFANTIL A",H575)</f>
        <v>JUVENIL</v>
      </c>
      <c r="H575" s="3" t="str">
        <f>IF(AND(Tabela1[[#This Row],[Data nascimento]]&gt;=$L$2,Tabela1[[#This Row],[Data nascimento]]&lt;=$K$2),"INFANTIL B",I575)</f>
        <v>JUVENIL</v>
      </c>
      <c r="I575" s="9" t="str">
        <f>IF(AND(Tabela1[[#This Row],[Data nascimento]]&gt;=$N$2,Tabela1[[#This Row],[Data nascimento]]&lt;=$M$2),"INICIADO",J575)</f>
        <v>JUVENIL</v>
      </c>
      <c r="J575" s="9" t="str">
        <f>IF(AND(Tabela1[[#This Row],[Data nascimento]]&gt;=$P$2,Tabela1[[#This Row],[Data nascimento]]&lt;=$O$2),"JUVENIL","JÚNIOR")</f>
        <v>JUVENIL</v>
      </c>
    </row>
    <row r="576" spans="1:10" ht="15" x14ac:dyDescent="0.4">
      <c r="A576" s="13" t="s">
        <v>2828</v>
      </c>
      <c r="B576" s="2" t="s">
        <v>2829</v>
      </c>
      <c r="C576" s="4" t="s">
        <v>8</v>
      </c>
      <c r="D576" s="11">
        <v>40170</v>
      </c>
      <c r="E576" s="7" t="s">
        <v>2830</v>
      </c>
      <c r="F576" s="4" t="s">
        <v>4743</v>
      </c>
      <c r="G576" s="12" t="str">
        <f>IF(AND(Tabela1[[#This Row],[Data nascimento]]&gt;=$J$2,Tabela1[[#This Row],[Data nascimento]]&lt;=$I$2),"INFANTIL A",H576)</f>
        <v>JUVENIL</v>
      </c>
      <c r="H576" s="3" t="str">
        <f>IF(AND(Tabela1[[#This Row],[Data nascimento]]&gt;=$L$2,Tabela1[[#This Row],[Data nascimento]]&lt;=$K$2),"INFANTIL B",I576)</f>
        <v>JUVENIL</v>
      </c>
      <c r="I576" s="9" t="str">
        <f>IF(AND(Tabela1[[#This Row],[Data nascimento]]&gt;=$N$2,Tabela1[[#This Row],[Data nascimento]]&lt;=$M$2),"INICIADO",J576)</f>
        <v>JUVENIL</v>
      </c>
      <c r="J576" s="9" t="str">
        <f>IF(AND(Tabela1[[#This Row],[Data nascimento]]&gt;=$P$2,Tabela1[[#This Row],[Data nascimento]]&lt;=$O$2),"JUVENIL","JÚNIOR")</f>
        <v>JUVENIL</v>
      </c>
    </row>
    <row r="577" spans="1:10" ht="15" x14ac:dyDescent="0.4">
      <c r="A577" s="13" t="s">
        <v>2831</v>
      </c>
      <c r="B577" s="2" t="s">
        <v>2832</v>
      </c>
      <c r="C577" s="4" t="s">
        <v>21</v>
      </c>
      <c r="D577" s="11">
        <v>39951</v>
      </c>
      <c r="E577" s="7" t="s">
        <v>2833</v>
      </c>
      <c r="F577" s="4" t="s">
        <v>4742</v>
      </c>
      <c r="G577" s="12" t="str">
        <f>IF(AND(Tabela1[[#This Row],[Data nascimento]]&gt;=$J$2,Tabela1[[#This Row],[Data nascimento]]&lt;=$I$2),"INFANTIL A",H577)</f>
        <v>JUVENIL</v>
      </c>
      <c r="H577" s="3" t="str">
        <f>IF(AND(Tabela1[[#This Row],[Data nascimento]]&gt;=$L$2,Tabela1[[#This Row],[Data nascimento]]&lt;=$K$2),"INFANTIL B",I577)</f>
        <v>JUVENIL</v>
      </c>
      <c r="I577" s="9" t="str">
        <f>IF(AND(Tabela1[[#This Row],[Data nascimento]]&gt;=$N$2,Tabela1[[#This Row],[Data nascimento]]&lt;=$M$2),"INICIADO",J577)</f>
        <v>JUVENIL</v>
      </c>
      <c r="J577" s="9" t="str">
        <f>IF(AND(Tabela1[[#This Row],[Data nascimento]]&gt;=$P$2,Tabela1[[#This Row],[Data nascimento]]&lt;=$O$2),"JUVENIL","JÚNIOR")</f>
        <v>JUVENIL</v>
      </c>
    </row>
    <row r="578" spans="1:10" ht="15" x14ac:dyDescent="0.4">
      <c r="A578" s="13" t="s">
        <v>2834</v>
      </c>
      <c r="B578" s="2" t="s">
        <v>2835</v>
      </c>
      <c r="C578" s="4" t="s">
        <v>8</v>
      </c>
      <c r="D578" s="11">
        <v>40102</v>
      </c>
      <c r="E578" s="7" t="s">
        <v>2836</v>
      </c>
      <c r="F578" s="4" t="s">
        <v>4739</v>
      </c>
      <c r="G578" s="12" t="str">
        <f>IF(AND(Tabela1[[#This Row],[Data nascimento]]&gt;=$J$2,Tabela1[[#This Row],[Data nascimento]]&lt;=$I$2),"INFANTIL A",H578)</f>
        <v>JUVENIL</v>
      </c>
      <c r="H578" s="3" t="str">
        <f>IF(AND(Tabela1[[#This Row],[Data nascimento]]&gt;=$L$2,Tabela1[[#This Row],[Data nascimento]]&lt;=$K$2),"INFANTIL B",I578)</f>
        <v>JUVENIL</v>
      </c>
      <c r="I578" s="9" t="str">
        <f>IF(AND(Tabela1[[#This Row],[Data nascimento]]&gt;=$N$2,Tabela1[[#This Row],[Data nascimento]]&lt;=$M$2),"INICIADO",J578)</f>
        <v>JUVENIL</v>
      </c>
      <c r="J578" s="9" t="str">
        <f>IF(AND(Tabela1[[#This Row],[Data nascimento]]&gt;=$P$2,Tabela1[[#This Row],[Data nascimento]]&lt;=$O$2),"JUVENIL","JÚNIOR")</f>
        <v>JUVENIL</v>
      </c>
    </row>
    <row r="579" spans="1:10" ht="15" x14ac:dyDescent="0.4">
      <c r="A579" s="13" t="s">
        <v>2837</v>
      </c>
      <c r="B579" s="2" t="s">
        <v>2838</v>
      </c>
      <c r="C579" s="4" t="s">
        <v>8</v>
      </c>
      <c r="D579" s="11">
        <v>39848</v>
      </c>
      <c r="E579" s="7" t="s">
        <v>2839</v>
      </c>
      <c r="F579" s="4" t="s">
        <v>4735</v>
      </c>
      <c r="G579" s="12" t="str">
        <f>IF(AND(Tabela1[[#This Row],[Data nascimento]]&gt;=$J$2,Tabela1[[#This Row],[Data nascimento]]&lt;=$I$2),"INFANTIL A",H579)</f>
        <v>JUVENIL</v>
      </c>
      <c r="H579" s="3" t="str">
        <f>IF(AND(Tabela1[[#This Row],[Data nascimento]]&gt;=$L$2,Tabela1[[#This Row],[Data nascimento]]&lt;=$K$2),"INFANTIL B",I579)</f>
        <v>JUVENIL</v>
      </c>
      <c r="I579" s="9" t="str">
        <f>IF(AND(Tabela1[[#This Row],[Data nascimento]]&gt;=$N$2,Tabela1[[#This Row],[Data nascimento]]&lt;=$M$2),"INICIADO",J579)</f>
        <v>JUVENIL</v>
      </c>
      <c r="J579" s="9" t="str">
        <f>IF(AND(Tabela1[[#This Row],[Data nascimento]]&gt;=$P$2,Tabela1[[#This Row],[Data nascimento]]&lt;=$O$2),"JUVENIL","JÚNIOR")</f>
        <v>JUVENIL</v>
      </c>
    </row>
    <row r="580" spans="1:10" ht="15" x14ac:dyDescent="0.4">
      <c r="A580" s="13" t="s">
        <v>2840</v>
      </c>
      <c r="B580" s="2" t="s">
        <v>2841</v>
      </c>
      <c r="C580" s="4" t="s">
        <v>8</v>
      </c>
      <c r="D580" s="11">
        <v>39624</v>
      </c>
      <c r="E580" s="7" t="s">
        <v>2842</v>
      </c>
      <c r="F580" s="4" t="s">
        <v>4737</v>
      </c>
      <c r="G580" s="12" t="str">
        <f>IF(AND(Tabela1[[#This Row],[Data nascimento]]&gt;=$J$2,Tabela1[[#This Row],[Data nascimento]]&lt;=$I$2),"INFANTIL A",H580)</f>
        <v>JUVENIL</v>
      </c>
      <c r="H580" s="3" t="str">
        <f>IF(AND(Tabela1[[#This Row],[Data nascimento]]&gt;=$L$2,Tabela1[[#This Row],[Data nascimento]]&lt;=$K$2),"INFANTIL B",I580)</f>
        <v>JUVENIL</v>
      </c>
      <c r="I580" s="9" t="str">
        <f>IF(AND(Tabela1[[#This Row],[Data nascimento]]&gt;=$N$2,Tabela1[[#This Row],[Data nascimento]]&lt;=$M$2),"INICIADO",J580)</f>
        <v>JUVENIL</v>
      </c>
      <c r="J580" s="9" t="str">
        <f>IF(AND(Tabela1[[#This Row],[Data nascimento]]&gt;=$P$2,Tabela1[[#This Row],[Data nascimento]]&lt;=$O$2),"JUVENIL","JÚNIOR")</f>
        <v>JUVENIL</v>
      </c>
    </row>
    <row r="581" spans="1:10" ht="15" x14ac:dyDescent="0.4">
      <c r="A581" s="13" t="s">
        <v>3098</v>
      </c>
      <c r="B581" s="2" t="s">
        <v>3099</v>
      </c>
      <c r="C581" s="4" t="s">
        <v>8</v>
      </c>
      <c r="D581" s="11">
        <v>39968</v>
      </c>
      <c r="E581" s="7" t="s">
        <v>3100</v>
      </c>
      <c r="F581" s="4" t="s">
        <v>4737</v>
      </c>
      <c r="G581" s="12" t="str">
        <f>IF(AND(Tabela1[[#This Row],[Data nascimento]]&gt;=$J$2,Tabela1[[#This Row],[Data nascimento]]&lt;=$I$2),"INFANTIL A",H581)</f>
        <v>JUVENIL</v>
      </c>
      <c r="H581" s="3" t="str">
        <f>IF(AND(Tabela1[[#This Row],[Data nascimento]]&gt;=$L$2,Tabela1[[#This Row],[Data nascimento]]&lt;=$K$2),"INFANTIL B",I581)</f>
        <v>JUVENIL</v>
      </c>
      <c r="I581" s="9" t="str">
        <f>IF(AND(Tabela1[[#This Row],[Data nascimento]]&gt;=$N$2,Tabela1[[#This Row],[Data nascimento]]&lt;=$M$2),"INICIADO",J581)</f>
        <v>JUVENIL</v>
      </c>
      <c r="J581" s="9" t="str">
        <f>IF(AND(Tabela1[[#This Row],[Data nascimento]]&gt;=$P$2,Tabela1[[#This Row],[Data nascimento]]&lt;=$O$2),"JUVENIL","JÚNIOR")</f>
        <v>JUVENIL</v>
      </c>
    </row>
    <row r="582" spans="1:10" ht="15" x14ac:dyDescent="0.4">
      <c r="A582" s="13" t="s">
        <v>3311</v>
      </c>
      <c r="B582" s="2" t="s">
        <v>3312</v>
      </c>
      <c r="C582" s="4" t="s">
        <v>8</v>
      </c>
      <c r="D582" s="11">
        <v>40098</v>
      </c>
      <c r="E582" s="7" t="s">
        <v>3313</v>
      </c>
      <c r="F582" s="4" t="s">
        <v>4736</v>
      </c>
      <c r="G582" s="12" t="str">
        <f>IF(AND(Tabela1[[#This Row],[Data nascimento]]&gt;=$J$2,Tabela1[[#This Row],[Data nascimento]]&lt;=$I$2),"INFANTIL A",H582)</f>
        <v>JUVENIL</v>
      </c>
      <c r="H582" s="3" t="str">
        <f>IF(AND(Tabela1[[#This Row],[Data nascimento]]&gt;=$L$2,Tabela1[[#This Row],[Data nascimento]]&lt;=$K$2),"INFANTIL B",I582)</f>
        <v>JUVENIL</v>
      </c>
      <c r="I582" s="9" t="str">
        <f>IF(AND(Tabela1[[#This Row],[Data nascimento]]&gt;=$N$2,Tabela1[[#This Row],[Data nascimento]]&lt;=$M$2),"INICIADO",J582)</f>
        <v>JUVENIL</v>
      </c>
      <c r="J582" s="9" t="str">
        <f>IF(AND(Tabela1[[#This Row],[Data nascimento]]&gt;=$P$2,Tabela1[[#This Row],[Data nascimento]]&lt;=$O$2),"JUVENIL","JÚNIOR")</f>
        <v>JUVENIL</v>
      </c>
    </row>
    <row r="583" spans="1:10" ht="15" x14ac:dyDescent="0.4">
      <c r="A583" s="13" t="s">
        <v>3314</v>
      </c>
      <c r="B583" s="2" t="s">
        <v>3315</v>
      </c>
      <c r="C583" s="4" t="s">
        <v>21</v>
      </c>
      <c r="D583" s="11">
        <v>39855</v>
      </c>
      <c r="E583" s="7" t="s">
        <v>3316</v>
      </c>
      <c r="F583" s="4" t="s">
        <v>4736</v>
      </c>
      <c r="G583" s="12" t="str">
        <f>IF(AND(Tabela1[[#This Row],[Data nascimento]]&gt;=$J$2,Tabela1[[#This Row],[Data nascimento]]&lt;=$I$2),"INFANTIL A",H583)</f>
        <v>JUVENIL</v>
      </c>
      <c r="H583" s="3" t="str">
        <f>IF(AND(Tabela1[[#This Row],[Data nascimento]]&gt;=$L$2,Tabela1[[#This Row],[Data nascimento]]&lt;=$K$2),"INFANTIL B",I583)</f>
        <v>JUVENIL</v>
      </c>
      <c r="I583" s="9" t="str">
        <f>IF(AND(Tabela1[[#This Row],[Data nascimento]]&gt;=$N$2,Tabela1[[#This Row],[Data nascimento]]&lt;=$M$2),"INICIADO",J583)</f>
        <v>JUVENIL</v>
      </c>
      <c r="J583" s="9" t="str">
        <f>IF(AND(Tabela1[[#This Row],[Data nascimento]]&gt;=$P$2,Tabela1[[#This Row],[Data nascimento]]&lt;=$O$2),"JUVENIL","JÚNIOR")</f>
        <v>JUVENIL</v>
      </c>
    </row>
    <row r="584" spans="1:10" ht="15" x14ac:dyDescent="0.4">
      <c r="A584" s="13" t="s">
        <v>3320</v>
      </c>
      <c r="B584" s="2" t="s">
        <v>3321</v>
      </c>
      <c r="C584" s="4" t="s">
        <v>21</v>
      </c>
      <c r="D584" s="11">
        <v>39984</v>
      </c>
      <c r="E584" s="7" t="s">
        <v>3322</v>
      </c>
      <c r="F584" s="4" t="s">
        <v>4740</v>
      </c>
      <c r="G584" s="12" t="str">
        <f>IF(AND(Tabela1[[#This Row],[Data nascimento]]&gt;=$J$2,Tabela1[[#This Row],[Data nascimento]]&lt;=$I$2),"INFANTIL A",H584)</f>
        <v>JUVENIL</v>
      </c>
      <c r="H584" s="3" t="str">
        <f>IF(AND(Tabela1[[#This Row],[Data nascimento]]&gt;=$L$2,Tabela1[[#This Row],[Data nascimento]]&lt;=$K$2),"INFANTIL B",I584)</f>
        <v>JUVENIL</v>
      </c>
      <c r="I584" s="9" t="str">
        <f>IF(AND(Tabela1[[#This Row],[Data nascimento]]&gt;=$N$2,Tabela1[[#This Row],[Data nascimento]]&lt;=$M$2),"INICIADO",J584)</f>
        <v>JUVENIL</v>
      </c>
      <c r="J584" s="9" t="str">
        <f>IF(AND(Tabela1[[#This Row],[Data nascimento]]&gt;=$P$2,Tabela1[[#This Row],[Data nascimento]]&lt;=$O$2),"JUVENIL","JÚNIOR")</f>
        <v>JUVENIL</v>
      </c>
    </row>
    <row r="585" spans="1:10" ht="15" x14ac:dyDescent="0.4">
      <c r="A585" s="13" t="s">
        <v>4439</v>
      </c>
      <c r="B585" s="2" t="s">
        <v>4440</v>
      </c>
      <c r="C585" s="4" t="s">
        <v>21</v>
      </c>
      <c r="D585" s="11">
        <v>39904</v>
      </c>
      <c r="E585" s="7" t="s">
        <v>4441</v>
      </c>
      <c r="F585" s="4" t="s">
        <v>4740</v>
      </c>
      <c r="G585" s="12" t="str">
        <f>IF(AND(Tabela1[[#This Row],[Data nascimento]]&gt;=$J$2,Tabela1[[#This Row],[Data nascimento]]&lt;=$I$2),"INFANTIL A",H585)</f>
        <v>JUVENIL</v>
      </c>
      <c r="H585" s="3" t="str">
        <f>IF(AND(Tabela1[[#This Row],[Data nascimento]]&gt;=$L$2,Tabela1[[#This Row],[Data nascimento]]&lt;=$K$2),"INFANTIL B",I585)</f>
        <v>JUVENIL</v>
      </c>
      <c r="I585" s="9" t="str">
        <f>IF(AND(Tabela1[[#This Row],[Data nascimento]]&gt;=$N$2,Tabela1[[#This Row],[Data nascimento]]&lt;=$M$2),"INICIADO",J585)</f>
        <v>JUVENIL</v>
      </c>
      <c r="J585" s="9" t="str">
        <f>IF(AND(Tabela1[[#This Row],[Data nascimento]]&gt;=$P$2,Tabela1[[#This Row],[Data nascimento]]&lt;=$O$2),"JUVENIL","JÚNIOR")</f>
        <v>JUVENIL</v>
      </c>
    </row>
    <row r="586" spans="1:10" ht="15" x14ac:dyDescent="0.4">
      <c r="A586" s="13" t="s">
        <v>4499</v>
      </c>
      <c r="B586" s="2" t="s">
        <v>4500</v>
      </c>
      <c r="C586" s="4" t="s">
        <v>8</v>
      </c>
      <c r="D586" s="11">
        <v>39341</v>
      </c>
      <c r="E586" s="7" t="s">
        <v>4501</v>
      </c>
      <c r="F586" s="4" t="s">
        <v>4735</v>
      </c>
      <c r="G586" s="12" t="str">
        <f>IF(AND(Tabela1[[#This Row],[Data nascimento]]&gt;=$J$2,Tabela1[[#This Row],[Data nascimento]]&lt;=$I$2),"INFANTIL A",H586)</f>
        <v>JÚNIOR</v>
      </c>
      <c r="H586" s="3" t="str">
        <f>IF(AND(Tabela1[[#This Row],[Data nascimento]]&gt;=$L$2,Tabela1[[#This Row],[Data nascimento]]&lt;=$K$2),"INFANTIL B",I586)</f>
        <v>JÚNIOR</v>
      </c>
      <c r="I586" s="9" t="str">
        <f>IF(AND(Tabela1[[#This Row],[Data nascimento]]&gt;=$N$2,Tabela1[[#This Row],[Data nascimento]]&lt;=$M$2),"INICIADO",J586)</f>
        <v>JÚNIOR</v>
      </c>
      <c r="J586" s="9" t="str">
        <f>IF(AND(Tabela1[[#This Row],[Data nascimento]]&gt;=$P$2,Tabela1[[#This Row],[Data nascimento]]&lt;=$O$2),"JUVENIL","JÚNIOR")</f>
        <v>JÚNIOR</v>
      </c>
    </row>
    <row r="587" spans="1:10" ht="15" x14ac:dyDescent="0.4">
      <c r="A587" s="13" t="s">
        <v>4508</v>
      </c>
      <c r="B587" s="2" t="s">
        <v>4509</v>
      </c>
      <c r="C587" s="4" t="s">
        <v>21</v>
      </c>
      <c r="D587" s="11">
        <v>40149</v>
      </c>
      <c r="E587" s="7" t="s">
        <v>4510</v>
      </c>
      <c r="F587" s="4" t="s">
        <v>4736</v>
      </c>
      <c r="G587" s="12" t="str">
        <f>IF(AND(Tabela1[[#This Row],[Data nascimento]]&gt;=$J$2,Tabela1[[#This Row],[Data nascimento]]&lt;=$I$2),"INFANTIL A",H587)</f>
        <v>JUVENIL</v>
      </c>
      <c r="H587" s="3" t="str">
        <f>IF(AND(Tabela1[[#This Row],[Data nascimento]]&gt;=$L$2,Tabela1[[#This Row],[Data nascimento]]&lt;=$K$2),"INFANTIL B",I587)</f>
        <v>JUVENIL</v>
      </c>
      <c r="I587" s="9" t="str">
        <f>IF(AND(Tabela1[[#This Row],[Data nascimento]]&gt;=$N$2,Tabela1[[#This Row],[Data nascimento]]&lt;=$M$2),"INICIADO",J587)</f>
        <v>JUVENIL</v>
      </c>
      <c r="J587" s="9" t="str">
        <f>IF(AND(Tabela1[[#This Row],[Data nascimento]]&gt;=$P$2,Tabela1[[#This Row],[Data nascimento]]&lt;=$O$2),"JUVENIL","JÚNIOR")</f>
        <v>JUVENIL</v>
      </c>
    </row>
    <row r="588" spans="1:10" ht="15" x14ac:dyDescent="0.4">
      <c r="A588" s="13" t="s">
        <v>4532</v>
      </c>
      <c r="B588" s="2" t="s">
        <v>4533</v>
      </c>
      <c r="C588" s="4" t="s">
        <v>21</v>
      </c>
      <c r="D588" s="11">
        <v>39372</v>
      </c>
      <c r="E588" s="7" t="s">
        <v>4534</v>
      </c>
      <c r="F588" s="4" t="s">
        <v>4743</v>
      </c>
      <c r="G588" s="12" t="str">
        <f>IF(AND(Tabela1[[#This Row],[Data nascimento]]&gt;=$J$2,Tabela1[[#This Row],[Data nascimento]]&lt;=$I$2),"INFANTIL A",H588)</f>
        <v>JÚNIOR</v>
      </c>
      <c r="H588" s="3" t="str">
        <f>IF(AND(Tabela1[[#This Row],[Data nascimento]]&gt;=$L$2,Tabela1[[#This Row],[Data nascimento]]&lt;=$K$2),"INFANTIL B",I588)</f>
        <v>JÚNIOR</v>
      </c>
      <c r="I588" s="9" t="str">
        <f>IF(AND(Tabela1[[#This Row],[Data nascimento]]&gt;=$N$2,Tabela1[[#This Row],[Data nascimento]]&lt;=$M$2),"INICIADO",J588)</f>
        <v>JÚNIOR</v>
      </c>
      <c r="J588" s="9" t="str">
        <f>IF(AND(Tabela1[[#This Row],[Data nascimento]]&gt;=$P$2,Tabela1[[#This Row],[Data nascimento]]&lt;=$O$2),"JUVENIL","JÚNIOR")</f>
        <v>JÚNIOR</v>
      </c>
    </row>
    <row r="589" spans="1:10" ht="15" x14ac:dyDescent="0.4">
      <c r="A589" s="13" t="s">
        <v>4589</v>
      </c>
      <c r="B589" s="2" t="s">
        <v>4590</v>
      </c>
      <c r="C589" s="4" t="s">
        <v>21</v>
      </c>
      <c r="D589" s="11">
        <v>39473</v>
      </c>
      <c r="E589" s="7" t="s">
        <v>4591</v>
      </c>
      <c r="F589" s="4" t="s">
        <v>4740</v>
      </c>
      <c r="G589" s="12" t="str">
        <f>IF(AND(Tabela1[[#This Row],[Data nascimento]]&gt;=$J$2,Tabela1[[#This Row],[Data nascimento]]&lt;=$I$2),"INFANTIL A",H589)</f>
        <v>JUVENIL</v>
      </c>
      <c r="H589" s="3" t="str">
        <f>IF(AND(Tabela1[[#This Row],[Data nascimento]]&gt;=$L$2,Tabela1[[#This Row],[Data nascimento]]&lt;=$K$2),"INFANTIL B",I589)</f>
        <v>JUVENIL</v>
      </c>
      <c r="I589" s="9" t="str">
        <f>IF(AND(Tabela1[[#This Row],[Data nascimento]]&gt;=$N$2,Tabela1[[#This Row],[Data nascimento]]&lt;=$M$2),"INICIADO",J589)</f>
        <v>JUVENIL</v>
      </c>
      <c r="J589" s="9" t="str">
        <f>IF(AND(Tabela1[[#This Row],[Data nascimento]]&gt;=$P$2,Tabela1[[#This Row],[Data nascimento]]&lt;=$O$2),"JUVENIL","JÚNIOR")</f>
        <v>JUVENIL</v>
      </c>
    </row>
    <row r="590" spans="1:10" ht="15" x14ac:dyDescent="0.4">
      <c r="A590" s="13" t="s">
        <v>4625</v>
      </c>
      <c r="B590" s="2" t="s">
        <v>4626</v>
      </c>
      <c r="C590" s="4" t="s">
        <v>8</v>
      </c>
      <c r="D590" s="11">
        <v>39486</v>
      </c>
      <c r="E590" s="7" t="s">
        <v>4627</v>
      </c>
      <c r="F590" s="4" t="s">
        <v>4742</v>
      </c>
      <c r="G590" s="12" t="str">
        <f>IF(AND(Tabela1[[#This Row],[Data nascimento]]&gt;=$J$2,Tabela1[[#This Row],[Data nascimento]]&lt;=$I$2),"INFANTIL A",H590)</f>
        <v>JUVENIL</v>
      </c>
      <c r="H590" s="3" t="str">
        <f>IF(AND(Tabela1[[#This Row],[Data nascimento]]&gt;=$L$2,Tabela1[[#This Row],[Data nascimento]]&lt;=$K$2),"INFANTIL B",I590)</f>
        <v>JUVENIL</v>
      </c>
      <c r="I590" s="9" t="str">
        <f>IF(AND(Tabela1[[#This Row],[Data nascimento]]&gt;=$N$2,Tabela1[[#This Row],[Data nascimento]]&lt;=$M$2),"INICIADO",J590)</f>
        <v>JUVENIL</v>
      </c>
      <c r="J590" s="9" t="str">
        <f>IF(AND(Tabela1[[#This Row],[Data nascimento]]&gt;=$P$2,Tabela1[[#This Row],[Data nascimento]]&lt;=$O$2),"JUVENIL","JÚNIOR")</f>
        <v>JUVENIL</v>
      </c>
    </row>
    <row r="591" spans="1:10" ht="15" x14ac:dyDescent="0.4">
      <c r="A591" s="13" t="s">
        <v>4628</v>
      </c>
      <c r="B591" s="2" t="s">
        <v>4629</v>
      </c>
      <c r="C591" s="4" t="s">
        <v>21</v>
      </c>
      <c r="D591" s="11">
        <v>39351</v>
      </c>
      <c r="E591" s="7" t="s">
        <v>4630</v>
      </c>
      <c r="F591" s="4" t="s">
        <v>4742</v>
      </c>
      <c r="G591" s="12" t="str">
        <f>IF(AND(Tabela1[[#This Row],[Data nascimento]]&gt;=$J$2,Tabela1[[#This Row],[Data nascimento]]&lt;=$I$2),"INFANTIL A",H591)</f>
        <v>JÚNIOR</v>
      </c>
      <c r="H591" s="3" t="str">
        <f>IF(AND(Tabela1[[#This Row],[Data nascimento]]&gt;=$L$2,Tabela1[[#This Row],[Data nascimento]]&lt;=$K$2),"INFANTIL B",I591)</f>
        <v>JÚNIOR</v>
      </c>
      <c r="I591" s="9" t="str">
        <f>IF(AND(Tabela1[[#This Row],[Data nascimento]]&gt;=$N$2,Tabela1[[#This Row],[Data nascimento]]&lt;=$M$2),"INICIADO",J591)</f>
        <v>JÚNIOR</v>
      </c>
      <c r="J591" s="9" t="str">
        <f>IF(AND(Tabela1[[#This Row],[Data nascimento]]&gt;=$P$2,Tabela1[[#This Row],[Data nascimento]]&lt;=$O$2),"JUVENIL","JÚNIOR")</f>
        <v>JÚNIOR</v>
      </c>
    </row>
    <row r="592" spans="1:10" ht="15" x14ac:dyDescent="0.4">
      <c r="A592" s="13" t="s">
        <v>4652</v>
      </c>
      <c r="B592" s="2" t="s">
        <v>4653</v>
      </c>
      <c r="C592" s="4" t="s">
        <v>21</v>
      </c>
      <c r="D592" s="11">
        <v>39426</v>
      </c>
      <c r="E592" s="7" t="s">
        <v>4654</v>
      </c>
      <c r="F592" s="4" t="s">
        <v>4735</v>
      </c>
      <c r="G592" s="12" t="str">
        <f>IF(AND(Tabela1[[#This Row],[Data nascimento]]&gt;=$J$2,Tabela1[[#This Row],[Data nascimento]]&lt;=$I$2),"INFANTIL A",H592)</f>
        <v>JÚNIOR</v>
      </c>
      <c r="H592" s="3" t="str">
        <f>IF(AND(Tabela1[[#This Row],[Data nascimento]]&gt;=$L$2,Tabela1[[#This Row],[Data nascimento]]&lt;=$K$2),"INFANTIL B",I592)</f>
        <v>JÚNIOR</v>
      </c>
      <c r="I592" s="9" t="str">
        <f>IF(AND(Tabela1[[#This Row],[Data nascimento]]&gt;=$N$2,Tabela1[[#This Row],[Data nascimento]]&lt;=$M$2),"INICIADO",J592)</f>
        <v>JÚNIOR</v>
      </c>
      <c r="J592" s="9" t="str">
        <f>IF(AND(Tabela1[[#This Row],[Data nascimento]]&gt;=$P$2,Tabela1[[#This Row],[Data nascimento]]&lt;=$O$2),"JUVENIL","JÚNIOR")</f>
        <v>JÚNIOR</v>
      </c>
    </row>
    <row r="593" spans="1:10" ht="15" x14ac:dyDescent="0.4">
      <c r="A593" s="13" t="s">
        <v>4655</v>
      </c>
      <c r="B593" s="2" t="s">
        <v>4656</v>
      </c>
      <c r="C593" s="4" t="s">
        <v>21</v>
      </c>
      <c r="D593" s="11">
        <v>39044</v>
      </c>
      <c r="E593" s="7" t="s">
        <v>4657</v>
      </c>
      <c r="F593" s="4" t="s">
        <v>4735</v>
      </c>
      <c r="G593" s="12" t="str">
        <f>IF(AND(Tabela1[[#This Row],[Data nascimento]]&gt;=$J$2,Tabela1[[#This Row],[Data nascimento]]&lt;=$I$2),"INFANTIL A",H593)</f>
        <v>JÚNIOR</v>
      </c>
      <c r="H593" s="3" t="str">
        <f>IF(AND(Tabela1[[#This Row],[Data nascimento]]&gt;=$L$2,Tabela1[[#This Row],[Data nascimento]]&lt;=$K$2),"INFANTIL B",I593)</f>
        <v>JÚNIOR</v>
      </c>
      <c r="I593" s="9" t="str">
        <f>IF(AND(Tabela1[[#This Row],[Data nascimento]]&gt;=$N$2,Tabela1[[#This Row],[Data nascimento]]&lt;=$M$2),"INICIADO",J593)</f>
        <v>JÚNIOR</v>
      </c>
      <c r="J593" s="9" t="str">
        <f>IF(AND(Tabela1[[#This Row],[Data nascimento]]&gt;=$P$2,Tabela1[[#This Row],[Data nascimento]]&lt;=$O$2),"JUVENIL","JÚNIOR")</f>
        <v>JÚNIOR</v>
      </c>
    </row>
    <row r="594" spans="1:10" ht="15" x14ac:dyDescent="0.4">
      <c r="A594" s="13" t="s">
        <v>1124</v>
      </c>
      <c r="B594" s="2" t="s">
        <v>1125</v>
      </c>
      <c r="C594" s="4" t="s">
        <v>21</v>
      </c>
      <c r="D594" s="11">
        <v>39750</v>
      </c>
      <c r="E594" s="7" t="s">
        <v>1126</v>
      </c>
      <c r="F594" s="4" t="s">
        <v>4742</v>
      </c>
      <c r="G594" s="12" t="str">
        <f>IF(AND(Tabela1[[#This Row],[Data nascimento]]&gt;=$J$2,Tabela1[[#This Row],[Data nascimento]]&lt;=$I$2),"INFANTIL A",H594)</f>
        <v>JUVENIL</v>
      </c>
      <c r="H594" s="3" t="str">
        <f>IF(AND(Tabela1[[#This Row],[Data nascimento]]&gt;=$L$2,Tabela1[[#This Row],[Data nascimento]]&lt;=$K$2),"INFANTIL B",I594)</f>
        <v>JUVENIL</v>
      </c>
      <c r="I594" s="9" t="str">
        <f>IF(AND(Tabela1[[#This Row],[Data nascimento]]&gt;=$N$2,Tabela1[[#This Row],[Data nascimento]]&lt;=$M$2),"INICIADO",J594)</f>
        <v>JUVENIL</v>
      </c>
      <c r="J594" s="9" t="str">
        <f>IF(AND(Tabela1[[#This Row],[Data nascimento]]&gt;=$P$2,Tabela1[[#This Row],[Data nascimento]]&lt;=$O$2),"JUVENIL","JÚNIOR")</f>
        <v>JUVENIL</v>
      </c>
    </row>
    <row r="595" spans="1:10" ht="15" x14ac:dyDescent="0.4">
      <c r="A595" s="13" t="s">
        <v>3314</v>
      </c>
      <c r="B595" s="2" t="s">
        <v>3315</v>
      </c>
      <c r="C595" s="4" t="s">
        <v>21</v>
      </c>
      <c r="D595" s="11">
        <v>39855</v>
      </c>
      <c r="E595" s="7" t="s">
        <v>3316</v>
      </c>
      <c r="F595" s="4" t="s">
        <v>4738</v>
      </c>
      <c r="G595" s="12" t="str">
        <f>IF(AND(Tabela1[[#This Row],[Data nascimento]]&gt;=$J$2,Tabela1[[#This Row],[Data nascimento]]&lt;=$I$2),"INFANTIL A",H595)</f>
        <v>JUVENIL</v>
      </c>
      <c r="H595" s="3" t="str">
        <f>IF(AND(Tabela1[[#This Row],[Data nascimento]]&gt;=$L$2,Tabela1[[#This Row],[Data nascimento]]&lt;=$K$2),"INFANTIL B",I595)</f>
        <v>JUVENIL</v>
      </c>
      <c r="I595" s="9" t="str">
        <f>IF(AND(Tabela1[[#This Row],[Data nascimento]]&gt;=$N$2,Tabela1[[#This Row],[Data nascimento]]&lt;=$M$2),"INICIADO",J595)</f>
        <v>JUVENIL</v>
      </c>
      <c r="J595" s="9" t="str">
        <f>IF(AND(Tabela1[[#This Row],[Data nascimento]]&gt;=$P$2,Tabela1[[#This Row],[Data nascimento]]&lt;=$O$2),"JUVENIL","JÚNIOR")</f>
        <v>JUVENIL</v>
      </c>
    </row>
    <row r="596" spans="1:10" ht="15" x14ac:dyDescent="0.4">
      <c r="A596" s="13" t="s">
        <v>3311</v>
      </c>
      <c r="B596" s="2" t="s">
        <v>3312</v>
      </c>
      <c r="C596" s="4" t="s">
        <v>8</v>
      </c>
      <c r="D596" s="11">
        <v>40098</v>
      </c>
      <c r="E596" s="7" t="s">
        <v>3313</v>
      </c>
      <c r="F596" s="4" t="s">
        <v>4738</v>
      </c>
      <c r="G596" s="12" t="str">
        <f>IF(AND(Tabela1[[#This Row],[Data nascimento]]&gt;=$J$2,Tabela1[[#This Row],[Data nascimento]]&lt;=$I$2),"INFANTIL A",H596)</f>
        <v>JUVENIL</v>
      </c>
      <c r="H596" s="3" t="str">
        <f>IF(AND(Tabela1[[#This Row],[Data nascimento]]&gt;=$L$2,Tabela1[[#This Row],[Data nascimento]]&lt;=$K$2),"INFANTIL B",I596)</f>
        <v>JUVENIL</v>
      </c>
      <c r="I596" s="9" t="str">
        <f>IF(AND(Tabela1[[#This Row],[Data nascimento]]&gt;=$N$2,Tabela1[[#This Row],[Data nascimento]]&lt;=$M$2),"INICIADO",J596)</f>
        <v>JUVENIL</v>
      </c>
      <c r="J596" s="9" t="str">
        <f>IF(AND(Tabela1[[#This Row],[Data nascimento]]&gt;=$P$2,Tabela1[[#This Row],[Data nascimento]]&lt;=$O$2),"JUVENIL","JÚNIOR")</f>
        <v>JUVENIL</v>
      </c>
    </row>
    <row r="597" spans="1:10" ht="15" x14ac:dyDescent="0.4">
      <c r="A597" s="13" t="s">
        <v>107</v>
      </c>
      <c r="B597" s="2" t="s">
        <v>108</v>
      </c>
      <c r="C597" s="4" t="s">
        <v>8</v>
      </c>
      <c r="D597" s="11">
        <v>39857</v>
      </c>
      <c r="E597" s="7" t="s">
        <v>109</v>
      </c>
      <c r="F597" s="4" t="s">
        <v>4744</v>
      </c>
      <c r="G597" s="12" t="str">
        <f>IF(AND(Tabela1[[#This Row],[Data nascimento]]&gt;=$J$2,Tabela1[[#This Row],[Data nascimento]]&lt;=$I$2),"INFANTIL A",H597)</f>
        <v>JUVENIL</v>
      </c>
      <c r="H597" s="3" t="str">
        <f>IF(AND(Tabela1[[#This Row],[Data nascimento]]&gt;=$L$2,Tabela1[[#This Row],[Data nascimento]]&lt;=$K$2),"INFANTIL B",I597)</f>
        <v>JUVENIL</v>
      </c>
      <c r="I597" s="9" t="str">
        <f>IF(AND(Tabela1[[#This Row],[Data nascimento]]&gt;=$N$2,Tabela1[[#This Row],[Data nascimento]]&lt;=$M$2),"INICIADO",J597)</f>
        <v>JUVENIL</v>
      </c>
      <c r="J597" s="9" t="str">
        <f>IF(AND(Tabela1[[#This Row],[Data nascimento]]&gt;=$P$2,Tabela1[[#This Row],[Data nascimento]]&lt;=$O$2),"JUVENIL","JÚNIOR")</f>
        <v>JUVENIL</v>
      </c>
    </row>
    <row r="598" spans="1:10" ht="15" x14ac:dyDescent="0.4">
      <c r="A598" s="13" t="s">
        <v>110</v>
      </c>
      <c r="B598" s="2" t="s">
        <v>111</v>
      </c>
      <c r="C598" s="4" t="s">
        <v>8</v>
      </c>
      <c r="D598" s="11">
        <v>39380</v>
      </c>
      <c r="E598" s="7" t="s">
        <v>112</v>
      </c>
      <c r="F598" s="4" t="s">
        <v>4744</v>
      </c>
      <c r="G598" s="12" t="str">
        <f>IF(AND(Tabela1[[#This Row],[Data nascimento]]&gt;=$J$2,Tabela1[[#This Row],[Data nascimento]]&lt;=$I$2),"INFANTIL A",H598)</f>
        <v>JÚNIOR</v>
      </c>
      <c r="H598" s="3" t="str">
        <f>IF(AND(Tabela1[[#This Row],[Data nascimento]]&gt;=$L$2,Tabela1[[#This Row],[Data nascimento]]&lt;=$K$2),"INFANTIL B",I598)</f>
        <v>JÚNIOR</v>
      </c>
      <c r="I598" s="9" t="str">
        <f>IF(AND(Tabela1[[#This Row],[Data nascimento]]&gt;=$N$2,Tabela1[[#This Row],[Data nascimento]]&lt;=$M$2),"INICIADO",J598)</f>
        <v>JÚNIOR</v>
      </c>
      <c r="J598" s="9" t="str">
        <f>IF(AND(Tabela1[[#This Row],[Data nascimento]]&gt;=$P$2,Tabela1[[#This Row],[Data nascimento]]&lt;=$O$2),"JUVENIL","JÚNIOR")</f>
        <v>JÚNIOR</v>
      </c>
    </row>
    <row r="599" spans="1:10" ht="15" x14ac:dyDescent="0.4">
      <c r="A599" s="13" t="s">
        <v>113</v>
      </c>
      <c r="B599" s="2" t="s">
        <v>114</v>
      </c>
      <c r="C599" s="4" t="s">
        <v>8</v>
      </c>
      <c r="D599" s="11">
        <v>39412</v>
      </c>
      <c r="E599" s="7" t="s">
        <v>115</v>
      </c>
      <c r="F599" s="4" t="s">
        <v>4744</v>
      </c>
      <c r="G599" s="12" t="str">
        <f>IF(AND(Tabela1[[#This Row],[Data nascimento]]&gt;=$J$2,Tabela1[[#This Row],[Data nascimento]]&lt;=$I$2),"INFANTIL A",H599)</f>
        <v>JÚNIOR</v>
      </c>
      <c r="H599" s="3" t="str">
        <f>IF(AND(Tabela1[[#This Row],[Data nascimento]]&gt;=$L$2,Tabela1[[#This Row],[Data nascimento]]&lt;=$K$2),"INFANTIL B",I599)</f>
        <v>JÚNIOR</v>
      </c>
      <c r="I599" s="9" t="str">
        <f>IF(AND(Tabela1[[#This Row],[Data nascimento]]&gt;=$N$2,Tabela1[[#This Row],[Data nascimento]]&lt;=$M$2),"INICIADO",J599)</f>
        <v>JÚNIOR</v>
      </c>
      <c r="J599" s="9" t="str">
        <f>IF(AND(Tabela1[[#This Row],[Data nascimento]]&gt;=$P$2,Tabela1[[#This Row],[Data nascimento]]&lt;=$O$2),"JUVENIL","JÚNIOR")</f>
        <v>JÚNIOR</v>
      </c>
    </row>
    <row r="600" spans="1:10" ht="15" x14ac:dyDescent="0.4">
      <c r="A600" s="13" t="s">
        <v>116</v>
      </c>
      <c r="B600" s="2" t="s">
        <v>117</v>
      </c>
      <c r="C600" s="4" t="s">
        <v>21</v>
      </c>
      <c r="D600" s="11">
        <v>39766</v>
      </c>
      <c r="E600" s="7" t="s">
        <v>118</v>
      </c>
      <c r="F600" s="4" t="s">
        <v>4744</v>
      </c>
      <c r="G600" s="12" t="str">
        <f>IF(AND(Tabela1[[#This Row],[Data nascimento]]&gt;=$J$2,Tabela1[[#This Row],[Data nascimento]]&lt;=$I$2),"INFANTIL A",H600)</f>
        <v>JUVENIL</v>
      </c>
      <c r="H600" s="3" t="str">
        <f>IF(AND(Tabela1[[#This Row],[Data nascimento]]&gt;=$L$2,Tabela1[[#This Row],[Data nascimento]]&lt;=$K$2),"INFANTIL B",I600)</f>
        <v>JUVENIL</v>
      </c>
      <c r="I600" s="9" t="str">
        <f>IF(AND(Tabela1[[#This Row],[Data nascimento]]&gt;=$N$2,Tabela1[[#This Row],[Data nascimento]]&lt;=$M$2),"INICIADO",J600)</f>
        <v>JUVENIL</v>
      </c>
      <c r="J600" s="9" t="str">
        <f>IF(AND(Tabela1[[#This Row],[Data nascimento]]&gt;=$P$2,Tabela1[[#This Row],[Data nascimento]]&lt;=$O$2),"JUVENIL","JÚNIOR")</f>
        <v>JUVENIL</v>
      </c>
    </row>
    <row r="601" spans="1:10" ht="15" x14ac:dyDescent="0.4">
      <c r="A601" s="13" t="s">
        <v>119</v>
      </c>
      <c r="B601" s="2" t="s">
        <v>120</v>
      </c>
      <c r="C601" s="4" t="s">
        <v>8</v>
      </c>
      <c r="D601" s="11">
        <v>39717</v>
      </c>
      <c r="E601" s="7" t="s">
        <v>121</v>
      </c>
      <c r="F601" s="4" t="s">
        <v>4744</v>
      </c>
      <c r="G601" s="12" t="str">
        <f>IF(AND(Tabela1[[#This Row],[Data nascimento]]&gt;=$J$2,Tabela1[[#This Row],[Data nascimento]]&lt;=$I$2),"INFANTIL A",H601)</f>
        <v>JUVENIL</v>
      </c>
      <c r="H601" s="3" t="str">
        <f>IF(AND(Tabela1[[#This Row],[Data nascimento]]&gt;=$L$2,Tabela1[[#This Row],[Data nascimento]]&lt;=$K$2),"INFANTIL B",I601)</f>
        <v>JUVENIL</v>
      </c>
      <c r="I601" s="9" t="str">
        <f>IF(AND(Tabela1[[#This Row],[Data nascimento]]&gt;=$N$2,Tabela1[[#This Row],[Data nascimento]]&lt;=$M$2),"INICIADO",J601)</f>
        <v>JUVENIL</v>
      </c>
      <c r="J601" s="9" t="str">
        <f>IF(AND(Tabela1[[#This Row],[Data nascimento]]&gt;=$P$2,Tabela1[[#This Row],[Data nascimento]]&lt;=$O$2),"JUVENIL","JÚNIOR")</f>
        <v>JUVENIL</v>
      </c>
    </row>
    <row r="602" spans="1:10" ht="15" x14ac:dyDescent="0.4">
      <c r="A602" s="13" t="s">
        <v>122</v>
      </c>
      <c r="B602" s="2" t="s">
        <v>123</v>
      </c>
      <c r="C602" s="4" t="s">
        <v>8</v>
      </c>
      <c r="D602" s="11">
        <v>39777</v>
      </c>
      <c r="E602" s="7" t="s">
        <v>124</v>
      </c>
      <c r="F602" s="4" t="s">
        <v>4744</v>
      </c>
      <c r="G602" s="12" t="str">
        <f>IF(AND(Tabela1[[#This Row],[Data nascimento]]&gt;=$J$2,Tabela1[[#This Row],[Data nascimento]]&lt;=$I$2),"INFANTIL A",H602)</f>
        <v>JUVENIL</v>
      </c>
      <c r="H602" s="3" t="str">
        <f>IF(AND(Tabela1[[#This Row],[Data nascimento]]&gt;=$L$2,Tabela1[[#This Row],[Data nascimento]]&lt;=$K$2),"INFANTIL B",I602)</f>
        <v>JUVENIL</v>
      </c>
      <c r="I602" s="9" t="str">
        <f>IF(AND(Tabela1[[#This Row],[Data nascimento]]&gt;=$N$2,Tabela1[[#This Row],[Data nascimento]]&lt;=$M$2),"INICIADO",J602)</f>
        <v>JUVENIL</v>
      </c>
      <c r="J602" s="9" t="str">
        <f>IF(AND(Tabela1[[#This Row],[Data nascimento]]&gt;=$P$2,Tabela1[[#This Row],[Data nascimento]]&lt;=$O$2),"JUVENIL","JÚNIOR")</f>
        <v>JUVENIL</v>
      </c>
    </row>
    <row r="603" spans="1:10" ht="15" x14ac:dyDescent="0.4">
      <c r="A603" s="13" t="s">
        <v>125</v>
      </c>
      <c r="B603" s="2" t="s">
        <v>126</v>
      </c>
      <c r="C603" s="4" t="s">
        <v>8</v>
      </c>
      <c r="D603" s="11">
        <v>39644</v>
      </c>
      <c r="E603" s="7" t="s">
        <v>127</v>
      </c>
      <c r="F603" s="4" t="s">
        <v>4744</v>
      </c>
      <c r="G603" s="12" t="str">
        <f>IF(AND(Tabela1[[#This Row],[Data nascimento]]&gt;=$J$2,Tabela1[[#This Row],[Data nascimento]]&lt;=$I$2),"INFANTIL A",H603)</f>
        <v>JUVENIL</v>
      </c>
      <c r="H603" s="3" t="str">
        <f>IF(AND(Tabela1[[#This Row],[Data nascimento]]&gt;=$L$2,Tabela1[[#This Row],[Data nascimento]]&lt;=$K$2),"INFANTIL B",I603)</f>
        <v>JUVENIL</v>
      </c>
      <c r="I603" s="9" t="str">
        <f>IF(AND(Tabela1[[#This Row],[Data nascimento]]&gt;=$N$2,Tabela1[[#This Row],[Data nascimento]]&lt;=$M$2),"INICIADO",J603)</f>
        <v>JUVENIL</v>
      </c>
      <c r="J603" s="9" t="str">
        <f>IF(AND(Tabela1[[#This Row],[Data nascimento]]&gt;=$P$2,Tabela1[[#This Row],[Data nascimento]]&lt;=$O$2),"JUVENIL","JÚNIOR")</f>
        <v>JUVENIL</v>
      </c>
    </row>
    <row r="604" spans="1:10" ht="15" x14ac:dyDescent="0.4">
      <c r="A604" s="13" t="s">
        <v>128</v>
      </c>
      <c r="B604" s="2" t="s">
        <v>129</v>
      </c>
      <c r="C604" s="4" t="s">
        <v>21</v>
      </c>
      <c r="D604" s="11">
        <v>39677</v>
      </c>
      <c r="E604" s="7" t="s">
        <v>130</v>
      </c>
      <c r="F604" s="4" t="s">
        <v>4744</v>
      </c>
      <c r="G604" s="12" t="str">
        <f>IF(AND(Tabela1[[#This Row],[Data nascimento]]&gt;=$J$2,Tabela1[[#This Row],[Data nascimento]]&lt;=$I$2),"INFANTIL A",H604)</f>
        <v>JUVENIL</v>
      </c>
      <c r="H604" s="3" t="str">
        <f>IF(AND(Tabela1[[#This Row],[Data nascimento]]&gt;=$L$2,Tabela1[[#This Row],[Data nascimento]]&lt;=$K$2),"INFANTIL B",I604)</f>
        <v>JUVENIL</v>
      </c>
      <c r="I604" s="9" t="str">
        <f>IF(AND(Tabela1[[#This Row],[Data nascimento]]&gt;=$N$2,Tabela1[[#This Row],[Data nascimento]]&lt;=$M$2),"INICIADO",J604)</f>
        <v>JUVENIL</v>
      </c>
      <c r="J604" s="9" t="str">
        <f>IF(AND(Tabela1[[#This Row],[Data nascimento]]&gt;=$P$2,Tabela1[[#This Row],[Data nascimento]]&lt;=$O$2),"JUVENIL","JÚNIOR")</f>
        <v>JUVENIL</v>
      </c>
    </row>
    <row r="605" spans="1:10" ht="15" x14ac:dyDescent="0.4">
      <c r="A605" s="13" t="s">
        <v>131</v>
      </c>
      <c r="B605" s="2" t="s">
        <v>132</v>
      </c>
      <c r="C605" s="4" t="s">
        <v>21</v>
      </c>
      <c r="D605" s="11">
        <v>39677</v>
      </c>
      <c r="E605" s="7" t="s">
        <v>133</v>
      </c>
      <c r="F605" s="4" t="s">
        <v>4744</v>
      </c>
      <c r="G605" s="12" t="str">
        <f>IF(AND(Tabela1[[#This Row],[Data nascimento]]&gt;=$J$2,Tabela1[[#This Row],[Data nascimento]]&lt;=$I$2),"INFANTIL A",H605)</f>
        <v>JUVENIL</v>
      </c>
      <c r="H605" s="3" t="str">
        <f>IF(AND(Tabela1[[#This Row],[Data nascimento]]&gt;=$L$2,Tabela1[[#This Row],[Data nascimento]]&lt;=$K$2),"INFANTIL B",I605)</f>
        <v>JUVENIL</v>
      </c>
      <c r="I605" s="9" t="str">
        <f>IF(AND(Tabela1[[#This Row],[Data nascimento]]&gt;=$N$2,Tabela1[[#This Row],[Data nascimento]]&lt;=$M$2),"INICIADO",J605)</f>
        <v>JUVENIL</v>
      </c>
      <c r="J605" s="9" t="str">
        <f>IF(AND(Tabela1[[#This Row],[Data nascimento]]&gt;=$P$2,Tabela1[[#This Row],[Data nascimento]]&lt;=$O$2),"JUVENIL","JÚNIOR")</f>
        <v>JUVENIL</v>
      </c>
    </row>
    <row r="606" spans="1:10" ht="15" x14ac:dyDescent="0.4">
      <c r="A606" s="13" t="s">
        <v>134</v>
      </c>
      <c r="B606" s="2" t="s">
        <v>135</v>
      </c>
      <c r="C606" s="4" t="s">
        <v>8</v>
      </c>
      <c r="D606" s="11">
        <v>40013</v>
      </c>
      <c r="E606" s="7" t="s">
        <v>136</v>
      </c>
      <c r="F606" s="4" t="s">
        <v>4744</v>
      </c>
      <c r="G606" s="12" t="str">
        <f>IF(AND(Tabela1[[#This Row],[Data nascimento]]&gt;=$J$2,Tabela1[[#This Row],[Data nascimento]]&lt;=$I$2),"INFANTIL A",H606)</f>
        <v>JUVENIL</v>
      </c>
      <c r="H606" s="3" t="str">
        <f>IF(AND(Tabela1[[#This Row],[Data nascimento]]&gt;=$L$2,Tabela1[[#This Row],[Data nascimento]]&lt;=$K$2),"INFANTIL B",I606)</f>
        <v>JUVENIL</v>
      </c>
      <c r="I606" s="9" t="str">
        <f>IF(AND(Tabela1[[#This Row],[Data nascimento]]&gt;=$N$2,Tabela1[[#This Row],[Data nascimento]]&lt;=$M$2),"INICIADO",J606)</f>
        <v>JUVENIL</v>
      </c>
      <c r="J606" s="9" t="str">
        <f>IF(AND(Tabela1[[#This Row],[Data nascimento]]&gt;=$P$2,Tabela1[[#This Row],[Data nascimento]]&lt;=$O$2),"JUVENIL","JÚNIOR")</f>
        <v>JUVENIL</v>
      </c>
    </row>
    <row r="607" spans="1:10" ht="15" x14ac:dyDescent="0.4">
      <c r="A607" s="13" t="s">
        <v>137</v>
      </c>
      <c r="B607" s="2" t="s">
        <v>138</v>
      </c>
      <c r="C607" s="4" t="s">
        <v>8</v>
      </c>
      <c r="D607" s="11">
        <v>40173</v>
      </c>
      <c r="E607" s="7" t="s">
        <v>139</v>
      </c>
      <c r="F607" s="4" t="s">
        <v>4744</v>
      </c>
      <c r="G607" s="12" t="str">
        <f>IF(AND(Tabela1[[#This Row],[Data nascimento]]&gt;=$J$2,Tabela1[[#This Row],[Data nascimento]]&lt;=$I$2),"INFANTIL A",H607)</f>
        <v>JUVENIL</v>
      </c>
      <c r="H607" s="3" t="str">
        <f>IF(AND(Tabela1[[#This Row],[Data nascimento]]&gt;=$L$2,Tabela1[[#This Row],[Data nascimento]]&lt;=$K$2),"INFANTIL B",I607)</f>
        <v>JUVENIL</v>
      </c>
      <c r="I607" s="9" t="str">
        <f>IF(AND(Tabela1[[#This Row],[Data nascimento]]&gt;=$N$2,Tabela1[[#This Row],[Data nascimento]]&lt;=$M$2),"INICIADO",J607)</f>
        <v>JUVENIL</v>
      </c>
      <c r="J607" s="9" t="str">
        <f>IF(AND(Tabela1[[#This Row],[Data nascimento]]&gt;=$P$2,Tabela1[[#This Row],[Data nascimento]]&lt;=$O$2),"JUVENIL","JÚNIOR")</f>
        <v>JUVENIL</v>
      </c>
    </row>
    <row r="608" spans="1:10" ht="15" x14ac:dyDescent="0.4">
      <c r="A608" s="13" t="s">
        <v>140</v>
      </c>
      <c r="B608" s="2" t="s">
        <v>141</v>
      </c>
      <c r="C608" s="4" t="s">
        <v>21</v>
      </c>
      <c r="D608" s="11">
        <v>39936</v>
      </c>
      <c r="E608" s="7" t="s">
        <v>142</v>
      </c>
      <c r="F608" s="4" t="s">
        <v>4744</v>
      </c>
      <c r="G608" s="12" t="str">
        <f>IF(AND(Tabela1[[#This Row],[Data nascimento]]&gt;=$J$2,Tabela1[[#This Row],[Data nascimento]]&lt;=$I$2),"INFANTIL A",H608)</f>
        <v>JUVENIL</v>
      </c>
      <c r="H608" s="3" t="str">
        <f>IF(AND(Tabela1[[#This Row],[Data nascimento]]&gt;=$L$2,Tabela1[[#This Row],[Data nascimento]]&lt;=$K$2),"INFANTIL B",I608)</f>
        <v>JUVENIL</v>
      </c>
      <c r="I608" s="9" t="str">
        <f>IF(AND(Tabela1[[#This Row],[Data nascimento]]&gt;=$N$2,Tabela1[[#This Row],[Data nascimento]]&lt;=$M$2),"INICIADO",J608)</f>
        <v>JUVENIL</v>
      </c>
      <c r="J608" s="9" t="str">
        <f>IF(AND(Tabela1[[#This Row],[Data nascimento]]&gt;=$P$2,Tabela1[[#This Row],[Data nascimento]]&lt;=$O$2),"JUVENIL","JÚNIOR")</f>
        <v>JUVENIL</v>
      </c>
    </row>
    <row r="609" spans="1:10" ht="15" x14ac:dyDescent="0.4">
      <c r="A609" s="13" t="s">
        <v>143</v>
      </c>
      <c r="B609" s="2" t="s">
        <v>144</v>
      </c>
      <c r="C609" s="4" t="s">
        <v>21</v>
      </c>
      <c r="D609" s="11">
        <v>39803</v>
      </c>
      <c r="E609" s="7" t="s">
        <v>145</v>
      </c>
      <c r="F609" s="4" t="s">
        <v>4744</v>
      </c>
      <c r="G609" s="12" t="str">
        <f>IF(AND(Tabela1[[#This Row],[Data nascimento]]&gt;=$J$2,Tabela1[[#This Row],[Data nascimento]]&lt;=$I$2),"INFANTIL A",H609)</f>
        <v>JUVENIL</v>
      </c>
      <c r="H609" s="3" t="str">
        <f>IF(AND(Tabela1[[#This Row],[Data nascimento]]&gt;=$L$2,Tabela1[[#This Row],[Data nascimento]]&lt;=$K$2),"INFANTIL B",I609)</f>
        <v>JUVENIL</v>
      </c>
      <c r="I609" s="9" t="str">
        <f>IF(AND(Tabela1[[#This Row],[Data nascimento]]&gt;=$N$2,Tabela1[[#This Row],[Data nascimento]]&lt;=$M$2),"INICIADO",J609)</f>
        <v>JUVENIL</v>
      </c>
      <c r="J609" s="9" t="str">
        <f>IF(AND(Tabela1[[#This Row],[Data nascimento]]&gt;=$P$2,Tabela1[[#This Row],[Data nascimento]]&lt;=$O$2),"JUVENIL","JÚNIOR")</f>
        <v>JUVENIL</v>
      </c>
    </row>
    <row r="610" spans="1:10" ht="15" x14ac:dyDescent="0.4">
      <c r="A610" s="13" t="s">
        <v>146</v>
      </c>
      <c r="B610" s="2" t="s">
        <v>147</v>
      </c>
      <c r="C610" s="4" t="s">
        <v>8</v>
      </c>
      <c r="D610" s="11">
        <v>39833</v>
      </c>
      <c r="E610" s="7" t="s">
        <v>148</v>
      </c>
      <c r="F610" s="4" t="s">
        <v>4745</v>
      </c>
      <c r="G610" s="12" t="str">
        <f>IF(AND(Tabela1[[#This Row],[Data nascimento]]&gt;=$J$2,Tabela1[[#This Row],[Data nascimento]]&lt;=$I$2),"INFANTIL A",H610)</f>
        <v>JUVENIL</v>
      </c>
      <c r="H610" s="3" t="str">
        <f>IF(AND(Tabela1[[#This Row],[Data nascimento]]&gt;=$L$2,Tabela1[[#This Row],[Data nascimento]]&lt;=$K$2),"INFANTIL B",I610)</f>
        <v>JUVENIL</v>
      </c>
      <c r="I610" s="9" t="str">
        <f>IF(AND(Tabela1[[#This Row],[Data nascimento]]&gt;=$N$2,Tabela1[[#This Row],[Data nascimento]]&lt;=$M$2),"INICIADO",J610)</f>
        <v>JUVENIL</v>
      </c>
      <c r="J610" s="9" t="str">
        <f>IF(AND(Tabela1[[#This Row],[Data nascimento]]&gt;=$P$2,Tabela1[[#This Row],[Data nascimento]]&lt;=$O$2),"JUVENIL","JÚNIOR")</f>
        <v>JUVENIL</v>
      </c>
    </row>
    <row r="611" spans="1:10" ht="15" x14ac:dyDescent="0.4">
      <c r="A611" s="13" t="s">
        <v>149</v>
      </c>
      <c r="B611" s="2" t="s">
        <v>150</v>
      </c>
      <c r="C611" s="4" t="s">
        <v>21</v>
      </c>
      <c r="D611" s="11">
        <v>39268</v>
      </c>
      <c r="E611" s="7" t="s">
        <v>151</v>
      </c>
      <c r="F611" s="4" t="s">
        <v>4745</v>
      </c>
      <c r="G611" s="12" t="str">
        <f>IF(AND(Tabela1[[#This Row],[Data nascimento]]&gt;=$J$2,Tabela1[[#This Row],[Data nascimento]]&lt;=$I$2),"INFANTIL A",H611)</f>
        <v>JÚNIOR</v>
      </c>
      <c r="H611" s="3" t="str">
        <f>IF(AND(Tabela1[[#This Row],[Data nascimento]]&gt;=$L$2,Tabela1[[#This Row],[Data nascimento]]&lt;=$K$2),"INFANTIL B",I611)</f>
        <v>JÚNIOR</v>
      </c>
      <c r="I611" s="9" t="str">
        <f>IF(AND(Tabela1[[#This Row],[Data nascimento]]&gt;=$N$2,Tabela1[[#This Row],[Data nascimento]]&lt;=$M$2),"INICIADO",J611)</f>
        <v>JÚNIOR</v>
      </c>
      <c r="J611" s="9" t="str">
        <f>IF(AND(Tabela1[[#This Row],[Data nascimento]]&gt;=$P$2,Tabela1[[#This Row],[Data nascimento]]&lt;=$O$2),"JUVENIL","JÚNIOR")</f>
        <v>JÚNIOR</v>
      </c>
    </row>
    <row r="612" spans="1:10" ht="15" x14ac:dyDescent="0.4">
      <c r="A612" s="13" t="s">
        <v>152</v>
      </c>
      <c r="B612" s="2" t="s">
        <v>153</v>
      </c>
      <c r="C612" s="4" t="s">
        <v>21</v>
      </c>
      <c r="D612" s="11">
        <v>40072</v>
      </c>
      <c r="E612" s="7" t="s">
        <v>154</v>
      </c>
      <c r="F612" s="4" t="s">
        <v>4745</v>
      </c>
      <c r="G612" s="12" t="str">
        <f>IF(AND(Tabela1[[#This Row],[Data nascimento]]&gt;=$J$2,Tabela1[[#This Row],[Data nascimento]]&lt;=$I$2),"INFANTIL A",H612)</f>
        <v>JUVENIL</v>
      </c>
      <c r="H612" s="3" t="str">
        <f>IF(AND(Tabela1[[#This Row],[Data nascimento]]&gt;=$L$2,Tabela1[[#This Row],[Data nascimento]]&lt;=$K$2),"INFANTIL B",I612)</f>
        <v>JUVENIL</v>
      </c>
      <c r="I612" s="9" t="str">
        <f>IF(AND(Tabela1[[#This Row],[Data nascimento]]&gt;=$N$2,Tabela1[[#This Row],[Data nascimento]]&lt;=$M$2),"INICIADO",J612)</f>
        <v>JUVENIL</v>
      </c>
      <c r="J612" s="9" t="str">
        <f>IF(AND(Tabela1[[#This Row],[Data nascimento]]&gt;=$P$2,Tabela1[[#This Row],[Data nascimento]]&lt;=$O$2),"JUVENIL","JÚNIOR")</f>
        <v>JUVENIL</v>
      </c>
    </row>
    <row r="613" spans="1:10" ht="15" x14ac:dyDescent="0.4">
      <c r="A613" s="13" t="s">
        <v>155</v>
      </c>
      <c r="B613" s="2" t="s">
        <v>156</v>
      </c>
      <c r="C613" s="4" t="s">
        <v>21</v>
      </c>
      <c r="D613" s="11">
        <v>40080</v>
      </c>
      <c r="E613" s="7" t="s">
        <v>157</v>
      </c>
      <c r="F613" s="4" t="s">
        <v>4745</v>
      </c>
      <c r="G613" s="12" t="str">
        <f>IF(AND(Tabela1[[#This Row],[Data nascimento]]&gt;=$J$2,Tabela1[[#This Row],[Data nascimento]]&lt;=$I$2),"INFANTIL A",H613)</f>
        <v>JUVENIL</v>
      </c>
      <c r="H613" s="3" t="str">
        <f>IF(AND(Tabela1[[#This Row],[Data nascimento]]&gt;=$L$2,Tabela1[[#This Row],[Data nascimento]]&lt;=$K$2),"INFANTIL B",I613)</f>
        <v>JUVENIL</v>
      </c>
      <c r="I613" s="9" t="str">
        <f>IF(AND(Tabela1[[#This Row],[Data nascimento]]&gt;=$N$2,Tabela1[[#This Row],[Data nascimento]]&lt;=$M$2),"INICIADO",J613)</f>
        <v>JUVENIL</v>
      </c>
      <c r="J613" s="9" t="str">
        <f>IF(AND(Tabela1[[#This Row],[Data nascimento]]&gt;=$P$2,Tabela1[[#This Row],[Data nascimento]]&lt;=$O$2),"JUVENIL","JÚNIOR")</f>
        <v>JUVENIL</v>
      </c>
    </row>
    <row r="614" spans="1:10" ht="15" x14ac:dyDescent="0.4">
      <c r="A614" s="13" t="s">
        <v>158</v>
      </c>
      <c r="B614" s="2" t="s">
        <v>159</v>
      </c>
      <c r="C614" s="4" t="s">
        <v>21</v>
      </c>
      <c r="D614" s="11">
        <v>39992</v>
      </c>
      <c r="E614" s="7" t="s">
        <v>160</v>
      </c>
      <c r="F614" s="4" t="s">
        <v>4745</v>
      </c>
      <c r="G614" s="12" t="str">
        <f>IF(AND(Tabela1[[#This Row],[Data nascimento]]&gt;=$J$2,Tabela1[[#This Row],[Data nascimento]]&lt;=$I$2),"INFANTIL A",H614)</f>
        <v>JUVENIL</v>
      </c>
      <c r="H614" s="3" t="str">
        <f>IF(AND(Tabela1[[#This Row],[Data nascimento]]&gt;=$L$2,Tabela1[[#This Row],[Data nascimento]]&lt;=$K$2),"INFANTIL B",I614)</f>
        <v>JUVENIL</v>
      </c>
      <c r="I614" s="9" t="str">
        <f>IF(AND(Tabela1[[#This Row],[Data nascimento]]&gt;=$N$2,Tabela1[[#This Row],[Data nascimento]]&lt;=$M$2),"INICIADO",J614)</f>
        <v>JUVENIL</v>
      </c>
      <c r="J614" s="9" t="str">
        <f>IF(AND(Tabela1[[#This Row],[Data nascimento]]&gt;=$P$2,Tabela1[[#This Row],[Data nascimento]]&lt;=$O$2),"JUVENIL","JÚNIOR")</f>
        <v>JUVENIL</v>
      </c>
    </row>
    <row r="615" spans="1:10" ht="15" x14ac:dyDescent="0.4">
      <c r="A615" s="13" t="s">
        <v>161</v>
      </c>
      <c r="B615" s="2" t="s">
        <v>162</v>
      </c>
      <c r="C615" s="4" t="s">
        <v>8</v>
      </c>
      <c r="D615" s="11">
        <v>40278</v>
      </c>
      <c r="E615" s="7" t="s">
        <v>163</v>
      </c>
      <c r="F615" s="4" t="s">
        <v>4745</v>
      </c>
      <c r="G615" s="12" t="str">
        <f>IF(AND(Tabela1[[#This Row],[Data nascimento]]&gt;=$J$2,Tabela1[[#This Row],[Data nascimento]]&lt;=$I$2),"INFANTIL A",H615)</f>
        <v>JUVENIL</v>
      </c>
      <c r="H615" s="3" t="str">
        <f>IF(AND(Tabela1[[#This Row],[Data nascimento]]&gt;=$L$2,Tabela1[[#This Row],[Data nascimento]]&lt;=$K$2),"INFANTIL B",I615)</f>
        <v>JUVENIL</v>
      </c>
      <c r="I615" s="9" t="str">
        <f>IF(AND(Tabela1[[#This Row],[Data nascimento]]&gt;=$N$2,Tabela1[[#This Row],[Data nascimento]]&lt;=$M$2),"INICIADO",J615)</f>
        <v>JUVENIL</v>
      </c>
      <c r="J615" s="9" t="str">
        <f>IF(AND(Tabela1[[#This Row],[Data nascimento]]&gt;=$P$2,Tabela1[[#This Row],[Data nascimento]]&lt;=$O$2),"JUVENIL","JÚNIOR")</f>
        <v>JUVENIL</v>
      </c>
    </row>
    <row r="616" spans="1:10" ht="15" x14ac:dyDescent="0.4">
      <c r="A616" s="13" t="s">
        <v>164</v>
      </c>
      <c r="B616" s="2" t="s">
        <v>165</v>
      </c>
      <c r="C616" s="4" t="s">
        <v>21</v>
      </c>
      <c r="D616" s="11">
        <v>40058</v>
      </c>
      <c r="E616" s="7" t="s">
        <v>166</v>
      </c>
      <c r="F616" s="4" t="s">
        <v>4745</v>
      </c>
      <c r="G616" s="12" t="str">
        <f>IF(AND(Tabela1[[#This Row],[Data nascimento]]&gt;=$J$2,Tabela1[[#This Row],[Data nascimento]]&lt;=$I$2),"INFANTIL A",H616)</f>
        <v>JUVENIL</v>
      </c>
      <c r="H616" s="3" t="str">
        <f>IF(AND(Tabela1[[#This Row],[Data nascimento]]&gt;=$L$2,Tabela1[[#This Row],[Data nascimento]]&lt;=$K$2),"INFANTIL B",I616)</f>
        <v>JUVENIL</v>
      </c>
      <c r="I616" s="9" t="str">
        <f>IF(AND(Tabela1[[#This Row],[Data nascimento]]&gt;=$N$2,Tabela1[[#This Row],[Data nascimento]]&lt;=$M$2),"INICIADO",J616)</f>
        <v>JUVENIL</v>
      </c>
      <c r="J616" s="9" t="str">
        <f>IF(AND(Tabela1[[#This Row],[Data nascimento]]&gt;=$P$2,Tabela1[[#This Row],[Data nascimento]]&lt;=$O$2),"JUVENIL","JÚNIOR")</f>
        <v>JUVENIL</v>
      </c>
    </row>
    <row r="617" spans="1:10" ht="15" x14ac:dyDescent="0.4">
      <c r="A617" s="13" t="s">
        <v>167</v>
      </c>
      <c r="B617" s="2" t="s">
        <v>168</v>
      </c>
      <c r="C617" s="4" t="s">
        <v>21</v>
      </c>
      <c r="D617" s="11">
        <v>39078</v>
      </c>
      <c r="E617" s="7" t="s">
        <v>169</v>
      </c>
      <c r="F617" s="4" t="s">
        <v>4745</v>
      </c>
      <c r="G617" s="12" t="str">
        <f>IF(AND(Tabela1[[#This Row],[Data nascimento]]&gt;=$J$2,Tabela1[[#This Row],[Data nascimento]]&lt;=$I$2),"INFANTIL A",H617)</f>
        <v>JÚNIOR</v>
      </c>
      <c r="H617" s="3" t="str">
        <f>IF(AND(Tabela1[[#This Row],[Data nascimento]]&gt;=$L$2,Tabela1[[#This Row],[Data nascimento]]&lt;=$K$2),"INFANTIL B",I617)</f>
        <v>JÚNIOR</v>
      </c>
      <c r="I617" s="9" t="str">
        <f>IF(AND(Tabela1[[#This Row],[Data nascimento]]&gt;=$N$2,Tabela1[[#This Row],[Data nascimento]]&lt;=$M$2),"INICIADO",J617)</f>
        <v>JÚNIOR</v>
      </c>
      <c r="J617" s="9" t="str">
        <f>IF(AND(Tabela1[[#This Row],[Data nascimento]]&gt;=$P$2,Tabela1[[#This Row],[Data nascimento]]&lt;=$O$2),"JUVENIL","JÚNIOR")</f>
        <v>JÚNIOR</v>
      </c>
    </row>
    <row r="618" spans="1:10" ht="15" x14ac:dyDescent="0.4">
      <c r="A618" s="13" t="s">
        <v>170</v>
      </c>
      <c r="B618" s="2" t="s">
        <v>171</v>
      </c>
      <c r="C618" s="4" t="s">
        <v>21</v>
      </c>
      <c r="D618" s="11">
        <v>38542</v>
      </c>
      <c r="E618" s="7" t="s">
        <v>172</v>
      </c>
      <c r="F618" s="4" t="s">
        <v>4745</v>
      </c>
      <c r="G618" s="12" t="str">
        <f>IF(AND(Tabela1[[#This Row],[Data nascimento]]&gt;=$J$2,Tabela1[[#This Row],[Data nascimento]]&lt;=$I$2),"INFANTIL A",H618)</f>
        <v>JÚNIOR</v>
      </c>
      <c r="H618" s="3" t="str">
        <f>IF(AND(Tabela1[[#This Row],[Data nascimento]]&gt;=$L$2,Tabela1[[#This Row],[Data nascimento]]&lt;=$K$2),"INFANTIL B",I618)</f>
        <v>JÚNIOR</v>
      </c>
      <c r="I618" s="9" t="str">
        <f>IF(AND(Tabela1[[#This Row],[Data nascimento]]&gt;=$N$2,Tabela1[[#This Row],[Data nascimento]]&lt;=$M$2),"INICIADO",J618)</f>
        <v>JÚNIOR</v>
      </c>
      <c r="J618" s="9" t="str">
        <f>IF(AND(Tabela1[[#This Row],[Data nascimento]]&gt;=$P$2,Tabela1[[#This Row],[Data nascimento]]&lt;=$O$2),"JUVENIL","JÚNIOR")</f>
        <v>JÚNIOR</v>
      </c>
    </row>
    <row r="619" spans="1:10" ht="15" x14ac:dyDescent="0.4">
      <c r="A619" s="13" t="s">
        <v>173</v>
      </c>
      <c r="B619" s="2" t="s">
        <v>174</v>
      </c>
      <c r="C619" s="4" t="s">
        <v>21</v>
      </c>
      <c r="D619" s="11">
        <v>40132</v>
      </c>
      <c r="E619" s="7" t="s">
        <v>175</v>
      </c>
      <c r="F619" s="4" t="s">
        <v>4745</v>
      </c>
      <c r="G619" s="12" t="str">
        <f>IF(AND(Tabela1[[#This Row],[Data nascimento]]&gt;=$J$2,Tabela1[[#This Row],[Data nascimento]]&lt;=$I$2),"INFANTIL A",H619)</f>
        <v>JUVENIL</v>
      </c>
      <c r="H619" s="3" t="str">
        <f>IF(AND(Tabela1[[#This Row],[Data nascimento]]&gt;=$L$2,Tabela1[[#This Row],[Data nascimento]]&lt;=$K$2),"INFANTIL B",I619)</f>
        <v>JUVENIL</v>
      </c>
      <c r="I619" s="9" t="str">
        <f>IF(AND(Tabela1[[#This Row],[Data nascimento]]&gt;=$N$2,Tabela1[[#This Row],[Data nascimento]]&lt;=$M$2),"INICIADO",J619)</f>
        <v>JUVENIL</v>
      </c>
      <c r="J619" s="9" t="str">
        <f>IF(AND(Tabela1[[#This Row],[Data nascimento]]&gt;=$P$2,Tabela1[[#This Row],[Data nascimento]]&lt;=$O$2),"JUVENIL","JÚNIOR")</f>
        <v>JUVENIL</v>
      </c>
    </row>
    <row r="620" spans="1:10" ht="15" x14ac:dyDescent="0.4">
      <c r="A620" s="13" t="s">
        <v>176</v>
      </c>
      <c r="B620" s="2" t="s">
        <v>177</v>
      </c>
      <c r="C620" s="4" t="s">
        <v>21</v>
      </c>
      <c r="D620" s="11">
        <v>39841</v>
      </c>
      <c r="E620" s="7" t="s">
        <v>178</v>
      </c>
      <c r="F620" s="4" t="s">
        <v>4745</v>
      </c>
      <c r="G620" s="12" t="str">
        <f>IF(AND(Tabela1[[#This Row],[Data nascimento]]&gt;=$J$2,Tabela1[[#This Row],[Data nascimento]]&lt;=$I$2),"INFANTIL A",H620)</f>
        <v>JUVENIL</v>
      </c>
      <c r="H620" s="3" t="str">
        <f>IF(AND(Tabela1[[#This Row],[Data nascimento]]&gt;=$L$2,Tabela1[[#This Row],[Data nascimento]]&lt;=$K$2),"INFANTIL B",I620)</f>
        <v>JUVENIL</v>
      </c>
      <c r="I620" s="9" t="str">
        <f>IF(AND(Tabela1[[#This Row],[Data nascimento]]&gt;=$N$2,Tabela1[[#This Row],[Data nascimento]]&lt;=$M$2),"INICIADO",J620)</f>
        <v>JUVENIL</v>
      </c>
      <c r="J620" s="9" t="str">
        <f>IF(AND(Tabela1[[#This Row],[Data nascimento]]&gt;=$P$2,Tabela1[[#This Row],[Data nascimento]]&lt;=$O$2),"JUVENIL","JÚNIOR")</f>
        <v>JUVENIL</v>
      </c>
    </row>
    <row r="621" spans="1:10" ht="15" x14ac:dyDescent="0.4">
      <c r="A621" s="13" t="s">
        <v>179</v>
      </c>
      <c r="B621" s="2" t="s">
        <v>180</v>
      </c>
      <c r="C621" s="4" t="s">
        <v>21</v>
      </c>
      <c r="D621" s="11">
        <v>39965</v>
      </c>
      <c r="E621" s="7" t="s">
        <v>181</v>
      </c>
      <c r="F621" s="4" t="s">
        <v>4745</v>
      </c>
      <c r="G621" s="12" t="str">
        <f>IF(AND(Tabela1[[#This Row],[Data nascimento]]&gt;=$J$2,Tabela1[[#This Row],[Data nascimento]]&lt;=$I$2),"INFANTIL A",H621)</f>
        <v>JUVENIL</v>
      </c>
      <c r="H621" s="3" t="str">
        <f>IF(AND(Tabela1[[#This Row],[Data nascimento]]&gt;=$L$2,Tabela1[[#This Row],[Data nascimento]]&lt;=$K$2),"INFANTIL B",I621)</f>
        <v>JUVENIL</v>
      </c>
      <c r="I621" s="9" t="str">
        <f>IF(AND(Tabela1[[#This Row],[Data nascimento]]&gt;=$N$2,Tabela1[[#This Row],[Data nascimento]]&lt;=$M$2),"INICIADO",J621)</f>
        <v>JUVENIL</v>
      </c>
      <c r="J621" s="9" t="str">
        <f>IF(AND(Tabela1[[#This Row],[Data nascimento]]&gt;=$P$2,Tabela1[[#This Row],[Data nascimento]]&lt;=$O$2),"JUVENIL","JÚNIOR")</f>
        <v>JUVENIL</v>
      </c>
    </row>
    <row r="622" spans="1:10" ht="15" x14ac:dyDescent="0.4">
      <c r="A622" s="13" t="s">
        <v>182</v>
      </c>
      <c r="B622" s="2" t="s">
        <v>183</v>
      </c>
      <c r="C622" s="4" t="s">
        <v>21</v>
      </c>
      <c r="D622" s="11">
        <v>39731</v>
      </c>
      <c r="E622" s="7" t="s">
        <v>184</v>
      </c>
      <c r="F622" s="4" t="s">
        <v>4745</v>
      </c>
      <c r="G622" s="12" t="str">
        <f>IF(AND(Tabela1[[#This Row],[Data nascimento]]&gt;=$J$2,Tabela1[[#This Row],[Data nascimento]]&lt;=$I$2),"INFANTIL A",H622)</f>
        <v>JUVENIL</v>
      </c>
      <c r="H622" s="3" t="str">
        <f>IF(AND(Tabela1[[#This Row],[Data nascimento]]&gt;=$L$2,Tabela1[[#This Row],[Data nascimento]]&lt;=$K$2),"INFANTIL B",I622)</f>
        <v>JUVENIL</v>
      </c>
      <c r="I622" s="9" t="str">
        <f>IF(AND(Tabela1[[#This Row],[Data nascimento]]&gt;=$N$2,Tabela1[[#This Row],[Data nascimento]]&lt;=$M$2),"INICIADO",J622)</f>
        <v>JUVENIL</v>
      </c>
      <c r="J622" s="9" t="str">
        <f>IF(AND(Tabela1[[#This Row],[Data nascimento]]&gt;=$P$2,Tabela1[[#This Row],[Data nascimento]]&lt;=$O$2),"JUVENIL","JÚNIOR")</f>
        <v>JUVENIL</v>
      </c>
    </row>
    <row r="623" spans="1:10" ht="15" x14ac:dyDescent="0.4">
      <c r="A623" s="13" t="s">
        <v>185</v>
      </c>
      <c r="B623" s="2" t="s">
        <v>186</v>
      </c>
      <c r="C623" s="4" t="s">
        <v>8</v>
      </c>
      <c r="D623" s="11">
        <v>39545</v>
      </c>
      <c r="E623" s="7" t="s">
        <v>187</v>
      </c>
      <c r="F623" s="4" t="s">
        <v>4746</v>
      </c>
      <c r="G623" s="12" t="str">
        <f>IF(AND(Tabela1[[#This Row],[Data nascimento]]&gt;=$J$2,Tabela1[[#This Row],[Data nascimento]]&lt;=$I$2),"INFANTIL A",H623)</f>
        <v>JUVENIL</v>
      </c>
      <c r="H623" s="3" t="str">
        <f>IF(AND(Tabela1[[#This Row],[Data nascimento]]&gt;=$L$2,Tabela1[[#This Row],[Data nascimento]]&lt;=$K$2),"INFANTIL B",I623)</f>
        <v>JUVENIL</v>
      </c>
      <c r="I623" s="9" t="str">
        <f>IF(AND(Tabela1[[#This Row],[Data nascimento]]&gt;=$N$2,Tabela1[[#This Row],[Data nascimento]]&lt;=$M$2),"INICIADO",J623)</f>
        <v>JUVENIL</v>
      </c>
      <c r="J623" s="9" t="str">
        <f>IF(AND(Tabela1[[#This Row],[Data nascimento]]&gt;=$P$2,Tabela1[[#This Row],[Data nascimento]]&lt;=$O$2),"JUVENIL","JÚNIOR")</f>
        <v>JUVENIL</v>
      </c>
    </row>
    <row r="624" spans="1:10" ht="15" x14ac:dyDescent="0.4">
      <c r="A624" s="13" t="s">
        <v>188</v>
      </c>
      <c r="B624" s="2" t="s">
        <v>189</v>
      </c>
      <c r="C624" s="4" t="s">
        <v>8</v>
      </c>
      <c r="D624" s="11">
        <v>40158</v>
      </c>
      <c r="E624" s="7" t="s">
        <v>190</v>
      </c>
      <c r="F624" s="4" t="s">
        <v>4746</v>
      </c>
      <c r="G624" s="12" t="str">
        <f>IF(AND(Tabela1[[#This Row],[Data nascimento]]&gt;=$J$2,Tabela1[[#This Row],[Data nascimento]]&lt;=$I$2),"INFANTIL A",H624)</f>
        <v>JUVENIL</v>
      </c>
      <c r="H624" s="3" t="str">
        <f>IF(AND(Tabela1[[#This Row],[Data nascimento]]&gt;=$L$2,Tabela1[[#This Row],[Data nascimento]]&lt;=$K$2),"INFANTIL B",I624)</f>
        <v>JUVENIL</v>
      </c>
      <c r="I624" s="9" t="str">
        <f>IF(AND(Tabela1[[#This Row],[Data nascimento]]&gt;=$N$2,Tabela1[[#This Row],[Data nascimento]]&lt;=$M$2),"INICIADO",J624)</f>
        <v>JUVENIL</v>
      </c>
      <c r="J624" s="9" t="str">
        <f>IF(AND(Tabela1[[#This Row],[Data nascimento]]&gt;=$P$2,Tabela1[[#This Row],[Data nascimento]]&lt;=$O$2),"JUVENIL","JÚNIOR")</f>
        <v>JUVENIL</v>
      </c>
    </row>
    <row r="625" spans="1:10" ht="15" x14ac:dyDescent="0.4">
      <c r="A625" s="13" t="s">
        <v>191</v>
      </c>
      <c r="B625" s="2" t="s">
        <v>192</v>
      </c>
      <c r="C625" s="4" t="s">
        <v>8</v>
      </c>
      <c r="D625" s="11">
        <v>39577</v>
      </c>
      <c r="E625" s="7" t="s">
        <v>193</v>
      </c>
      <c r="F625" s="4" t="s">
        <v>4746</v>
      </c>
      <c r="G625" s="12" t="str">
        <f>IF(AND(Tabela1[[#This Row],[Data nascimento]]&gt;=$J$2,Tabela1[[#This Row],[Data nascimento]]&lt;=$I$2),"INFANTIL A",H625)</f>
        <v>JUVENIL</v>
      </c>
      <c r="H625" s="3" t="str">
        <f>IF(AND(Tabela1[[#This Row],[Data nascimento]]&gt;=$L$2,Tabela1[[#This Row],[Data nascimento]]&lt;=$K$2),"INFANTIL B",I625)</f>
        <v>JUVENIL</v>
      </c>
      <c r="I625" s="9" t="str">
        <f>IF(AND(Tabela1[[#This Row],[Data nascimento]]&gt;=$N$2,Tabela1[[#This Row],[Data nascimento]]&lt;=$M$2),"INICIADO",J625)</f>
        <v>JUVENIL</v>
      </c>
      <c r="J625" s="9" t="str">
        <f>IF(AND(Tabela1[[#This Row],[Data nascimento]]&gt;=$P$2,Tabela1[[#This Row],[Data nascimento]]&lt;=$O$2),"JUVENIL","JÚNIOR")</f>
        <v>JUVENIL</v>
      </c>
    </row>
    <row r="626" spans="1:10" ht="15" x14ac:dyDescent="0.4">
      <c r="A626" s="13" t="s">
        <v>194</v>
      </c>
      <c r="B626" s="2" t="s">
        <v>195</v>
      </c>
      <c r="C626" s="4" t="s">
        <v>8</v>
      </c>
      <c r="D626" s="11">
        <v>39885</v>
      </c>
      <c r="E626" s="7" t="s">
        <v>196</v>
      </c>
      <c r="F626" s="4" t="s">
        <v>4746</v>
      </c>
      <c r="G626" s="12" t="str">
        <f>IF(AND(Tabela1[[#This Row],[Data nascimento]]&gt;=$J$2,Tabela1[[#This Row],[Data nascimento]]&lt;=$I$2),"INFANTIL A",H626)</f>
        <v>JUVENIL</v>
      </c>
      <c r="H626" s="3" t="str">
        <f>IF(AND(Tabela1[[#This Row],[Data nascimento]]&gt;=$L$2,Tabela1[[#This Row],[Data nascimento]]&lt;=$K$2),"INFANTIL B",I626)</f>
        <v>JUVENIL</v>
      </c>
      <c r="I626" s="9" t="str">
        <f>IF(AND(Tabela1[[#This Row],[Data nascimento]]&gt;=$N$2,Tabela1[[#This Row],[Data nascimento]]&lt;=$M$2),"INICIADO",J626)</f>
        <v>JUVENIL</v>
      </c>
      <c r="J626" s="9" t="str">
        <f>IF(AND(Tabela1[[#This Row],[Data nascimento]]&gt;=$P$2,Tabela1[[#This Row],[Data nascimento]]&lt;=$O$2),"JUVENIL","JÚNIOR")</f>
        <v>JUVENIL</v>
      </c>
    </row>
    <row r="627" spans="1:10" ht="15" x14ac:dyDescent="0.4">
      <c r="A627" s="13" t="s">
        <v>197</v>
      </c>
      <c r="B627" s="2" t="s">
        <v>198</v>
      </c>
      <c r="C627" s="4" t="s">
        <v>8</v>
      </c>
      <c r="D627" s="11">
        <v>40131</v>
      </c>
      <c r="E627" s="7" t="s">
        <v>199</v>
      </c>
      <c r="F627" s="4" t="s">
        <v>4746</v>
      </c>
      <c r="G627" s="12" t="str">
        <f>IF(AND(Tabela1[[#This Row],[Data nascimento]]&gt;=$J$2,Tabela1[[#This Row],[Data nascimento]]&lt;=$I$2),"INFANTIL A",H627)</f>
        <v>JUVENIL</v>
      </c>
      <c r="H627" s="3" t="str">
        <f>IF(AND(Tabela1[[#This Row],[Data nascimento]]&gt;=$L$2,Tabela1[[#This Row],[Data nascimento]]&lt;=$K$2),"INFANTIL B",I627)</f>
        <v>JUVENIL</v>
      </c>
      <c r="I627" s="9" t="str">
        <f>IF(AND(Tabela1[[#This Row],[Data nascimento]]&gt;=$N$2,Tabela1[[#This Row],[Data nascimento]]&lt;=$M$2),"INICIADO",J627)</f>
        <v>JUVENIL</v>
      </c>
      <c r="J627" s="9" t="str">
        <f>IF(AND(Tabela1[[#This Row],[Data nascimento]]&gt;=$P$2,Tabela1[[#This Row],[Data nascimento]]&lt;=$O$2),"JUVENIL","JÚNIOR")</f>
        <v>JUVENIL</v>
      </c>
    </row>
    <row r="628" spans="1:10" ht="15" x14ac:dyDescent="0.4">
      <c r="A628" s="13" t="s">
        <v>200</v>
      </c>
      <c r="B628" s="2" t="s">
        <v>201</v>
      </c>
      <c r="C628" s="4" t="s">
        <v>8</v>
      </c>
      <c r="D628" s="11">
        <v>40081</v>
      </c>
      <c r="E628" s="7" t="s">
        <v>202</v>
      </c>
      <c r="F628" s="4" t="s">
        <v>4746</v>
      </c>
      <c r="G628" s="12" t="str">
        <f>IF(AND(Tabela1[[#This Row],[Data nascimento]]&gt;=$J$2,Tabela1[[#This Row],[Data nascimento]]&lt;=$I$2),"INFANTIL A",H628)</f>
        <v>JUVENIL</v>
      </c>
      <c r="H628" s="3" t="str">
        <f>IF(AND(Tabela1[[#This Row],[Data nascimento]]&gt;=$L$2,Tabela1[[#This Row],[Data nascimento]]&lt;=$K$2),"INFANTIL B",I628)</f>
        <v>JUVENIL</v>
      </c>
      <c r="I628" s="9" t="str">
        <f>IF(AND(Tabela1[[#This Row],[Data nascimento]]&gt;=$N$2,Tabela1[[#This Row],[Data nascimento]]&lt;=$M$2),"INICIADO",J628)</f>
        <v>JUVENIL</v>
      </c>
      <c r="J628" s="9" t="str">
        <f>IF(AND(Tabela1[[#This Row],[Data nascimento]]&gt;=$P$2,Tabela1[[#This Row],[Data nascimento]]&lt;=$O$2),"JUVENIL","JÚNIOR")</f>
        <v>JUVENIL</v>
      </c>
    </row>
    <row r="629" spans="1:10" ht="15" x14ac:dyDescent="0.4">
      <c r="A629" s="13" t="s">
        <v>203</v>
      </c>
      <c r="B629" s="2" t="s">
        <v>204</v>
      </c>
      <c r="C629" s="4" t="s">
        <v>8</v>
      </c>
      <c r="D629" s="11">
        <v>39810</v>
      </c>
      <c r="E629" s="7" t="s">
        <v>205</v>
      </c>
      <c r="F629" s="4" t="s">
        <v>4746</v>
      </c>
      <c r="G629" s="12" t="str">
        <f>IF(AND(Tabela1[[#This Row],[Data nascimento]]&gt;=$J$2,Tabela1[[#This Row],[Data nascimento]]&lt;=$I$2),"INFANTIL A",H629)</f>
        <v>JUVENIL</v>
      </c>
      <c r="H629" s="3" t="str">
        <f>IF(AND(Tabela1[[#This Row],[Data nascimento]]&gt;=$L$2,Tabela1[[#This Row],[Data nascimento]]&lt;=$K$2),"INFANTIL B",I629)</f>
        <v>JUVENIL</v>
      </c>
      <c r="I629" s="9" t="str">
        <f>IF(AND(Tabela1[[#This Row],[Data nascimento]]&gt;=$N$2,Tabela1[[#This Row],[Data nascimento]]&lt;=$M$2),"INICIADO",J629)</f>
        <v>JUVENIL</v>
      </c>
      <c r="J629" s="9" t="str">
        <f>IF(AND(Tabela1[[#This Row],[Data nascimento]]&gt;=$P$2,Tabela1[[#This Row],[Data nascimento]]&lt;=$O$2),"JUVENIL","JÚNIOR")</f>
        <v>JUVENIL</v>
      </c>
    </row>
    <row r="630" spans="1:10" ht="15" x14ac:dyDescent="0.4">
      <c r="A630" s="13" t="s">
        <v>206</v>
      </c>
      <c r="B630" s="2" t="s">
        <v>207</v>
      </c>
      <c r="C630" s="4" t="s">
        <v>8</v>
      </c>
      <c r="D630" s="11">
        <v>39665</v>
      </c>
      <c r="E630" s="7" t="s">
        <v>208</v>
      </c>
      <c r="F630" s="4" t="s">
        <v>4746</v>
      </c>
      <c r="G630" s="12" t="str">
        <f>IF(AND(Tabela1[[#This Row],[Data nascimento]]&gt;=$J$2,Tabela1[[#This Row],[Data nascimento]]&lt;=$I$2),"INFANTIL A",H630)</f>
        <v>JUVENIL</v>
      </c>
      <c r="H630" s="3" t="str">
        <f>IF(AND(Tabela1[[#This Row],[Data nascimento]]&gt;=$L$2,Tabela1[[#This Row],[Data nascimento]]&lt;=$K$2),"INFANTIL B",I630)</f>
        <v>JUVENIL</v>
      </c>
      <c r="I630" s="9" t="str">
        <f>IF(AND(Tabela1[[#This Row],[Data nascimento]]&gt;=$N$2,Tabela1[[#This Row],[Data nascimento]]&lt;=$M$2),"INICIADO",J630)</f>
        <v>JUVENIL</v>
      </c>
      <c r="J630" s="9" t="str">
        <f>IF(AND(Tabela1[[#This Row],[Data nascimento]]&gt;=$P$2,Tabela1[[#This Row],[Data nascimento]]&lt;=$O$2),"JUVENIL","JÚNIOR")</f>
        <v>JUVENIL</v>
      </c>
    </row>
    <row r="631" spans="1:10" ht="15" x14ac:dyDescent="0.4">
      <c r="A631" s="13" t="s">
        <v>209</v>
      </c>
      <c r="B631" s="2" t="s">
        <v>210</v>
      </c>
      <c r="C631" s="4" t="s">
        <v>8</v>
      </c>
      <c r="D631" s="11">
        <v>39849</v>
      </c>
      <c r="E631" s="7" t="s">
        <v>211</v>
      </c>
      <c r="F631" s="4" t="s">
        <v>4746</v>
      </c>
      <c r="G631" s="12" t="str">
        <f>IF(AND(Tabela1[[#This Row],[Data nascimento]]&gt;=$J$2,Tabela1[[#This Row],[Data nascimento]]&lt;=$I$2),"INFANTIL A",H631)</f>
        <v>JUVENIL</v>
      </c>
      <c r="H631" s="3" t="str">
        <f>IF(AND(Tabela1[[#This Row],[Data nascimento]]&gt;=$L$2,Tabela1[[#This Row],[Data nascimento]]&lt;=$K$2),"INFANTIL B",I631)</f>
        <v>JUVENIL</v>
      </c>
      <c r="I631" s="9" t="str">
        <f>IF(AND(Tabela1[[#This Row],[Data nascimento]]&gt;=$N$2,Tabela1[[#This Row],[Data nascimento]]&lt;=$M$2),"INICIADO",J631)</f>
        <v>JUVENIL</v>
      </c>
      <c r="J631" s="9" t="str">
        <f>IF(AND(Tabela1[[#This Row],[Data nascimento]]&gt;=$P$2,Tabela1[[#This Row],[Data nascimento]]&lt;=$O$2),"JUVENIL","JÚNIOR")</f>
        <v>JUVENIL</v>
      </c>
    </row>
    <row r="632" spans="1:10" ht="15" x14ac:dyDescent="0.4">
      <c r="A632" s="13" t="s">
        <v>212</v>
      </c>
      <c r="B632" s="2" t="s">
        <v>213</v>
      </c>
      <c r="C632" s="4" t="s">
        <v>8</v>
      </c>
      <c r="D632" s="11">
        <v>39748</v>
      </c>
      <c r="E632" s="7" t="s">
        <v>214</v>
      </c>
      <c r="F632" s="4" t="s">
        <v>4746</v>
      </c>
      <c r="G632" s="12" t="str">
        <f>IF(AND(Tabela1[[#This Row],[Data nascimento]]&gt;=$J$2,Tabela1[[#This Row],[Data nascimento]]&lt;=$I$2),"INFANTIL A",H632)</f>
        <v>JUVENIL</v>
      </c>
      <c r="H632" s="3" t="str">
        <f>IF(AND(Tabela1[[#This Row],[Data nascimento]]&gt;=$L$2,Tabela1[[#This Row],[Data nascimento]]&lt;=$K$2),"INFANTIL B",I632)</f>
        <v>JUVENIL</v>
      </c>
      <c r="I632" s="9" t="str">
        <f>IF(AND(Tabela1[[#This Row],[Data nascimento]]&gt;=$N$2,Tabela1[[#This Row],[Data nascimento]]&lt;=$M$2),"INICIADO",J632)</f>
        <v>JUVENIL</v>
      </c>
      <c r="J632" s="9" t="str">
        <f>IF(AND(Tabela1[[#This Row],[Data nascimento]]&gt;=$P$2,Tabela1[[#This Row],[Data nascimento]]&lt;=$O$2),"JUVENIL","JÚNIOR")</f>
        <v>JUVENIL</v>
      </c>
    </row>
    <row r="633" spans="1:10" ht="15" x14ac:dyDescent="0.4">
      <c r="A633" s="13" t="s">
        <v>215</v>
      </c>
      <c r="B633" s="2" t="s">
        <v>216</v>
      </c>
      <c r="C633" s="4" t="s">
        <v>8</v>
      </c>
      <c r="D633" s="11">
        <v>39999</v>
      </c>
      <c r="E633" s="7" t="s">
        <v>217</v>
      </c>
      <c r="F633" s="4" t="s">
        <v>4746</v>
      </c>
      <c r="G633" s="12" t="str">
        <f>IF(AND(Tabela1[[#This Row],[Data nascimento]]&gt;=$J$2,Tabela1[[#This Row],[Data nascimento]]&lt;=$I$2),"INFANTIL A",H633)</f>
        <v>JUVENIL</v>
      </c>
      <c r="H633" s="3" t="str">
        <f>IF(AND(Tabela1[[#This Row],[Data nascimento]]&gt;=$L$2,Tabela1[[#This Row],[Data nascimento]]&lt;=$K$2),"INFANTIL B",I633)</f>
        <v>JUVENIL</v>
      </c>
      <c r="I633" s="9" t="str">
        <f>IF(AND(Tabela1[[#This Row],[Data nascimento]]&gt;=$N$2,Tabela1[[#This Row],[Data nascimento]]&lt;=$M$2),"INICIADO",J633)</f>
        <v>JUVENIL</v>
      </c>
      <c r="J633" s="9" t="str">
        <f>IF(AND(Tabela1[[#This Row],[Data nascimento]]&gt;=$P$2,Tabela1[[#This Row],[Data nascimento]]&lt;=$O$2),"JUVENIL","JÚNIOR")</f>
        <v>JUVENIL</v>
      </c>
    </row>
    <row r="634" spans="1:10" ht="15" x14ac:dyDescent="0.4">
      <c r="A634" s="13" t="s">
        <v>218</v>
      </c>
      <c r="B634" s="2" t="s">
        <v>219</v>
      </c>
      <c r="C634" s="4" t="s">
        <v>8</v>
      </c>
      <c r="D634" s="11">
        <v>39628</v>
      </c>
      <c r="E634" s="7" t="s">
        <v>220</v>
      </c>
      <c r="F634" s="4" t="s">
        <v>4746</v>
      </c>
      <c r="G634" s="12" t="str">
        <f>IF(AND(Tabela1[[#This Row],[Data nascimento]]&gt;=$J$2,Tabela1[[#This Row],[Data nascimento]]&lt;=$I$2),"INFANTIL A",H634)</f>
        <v>JUVENIL</v>
      </c>
      <c r="H634" s="3" t="str">
        <f>IF(AND(Tabela1[[#This Row],[Data nascimento]]&gt;=$L$2,Tabela1[[#This Row],[Data nascimento]]&lt;=$K$2),"INFANTIL B",I634)</f>
        <v>JUVENIL</v>
      </c>
      <c r="I634" s="9" t="str">
        <f>IF(AND(Tabela1[[#This Row],[Data nascimento]]&gt;=$N$2,Tabela1[[#This Row],[Data nascimento]]&lt;=$M$2),"INICIADO",J634)</f>
        <v>JUVENIL</v>
      </c>
      <c r="J634" s="9" t="str">
        <f>IF(AND(Tabela1[[#This Row],[Data nascimento]]&gt;=$P$2,Tabela1[[#This Row],[Data nascimento]]&lt;=$O$2),"JUVENIL","JÚNIOR")</f>
        <v>JUVENIL</v>
      </c>
    </row>
    <row r="635" spans="1:10" ht="15" x14ac:dyDescent="0.4">
      <c r="A635" s="13" t="s">
        <v>221</v>
      </c>
      <c r="B635" s="2" t="s">
        <v>222</v>
      </c>
      <c r="C635" s="4" t="s">
        <v>8</v>
      </c>
      <c r="D635" s="11">
        <v>39479</v>
      </c>
      <c r="E635" s="7" t="s">
        <v>223</v>
      </c>
      <c r="F635" s="4" t="s">
        <v>4746</v>
      </c>
      <c r="G635" s="12" t="str">
        <f>IF(AND(Tabela1[[#This Row],[Data nascimento]]&gt;=$J$2,Tabela1[[#This Row],[Data nascimento]]&lt;=$I$2),"INFANTIL A",H635)</f>
        <v>JUVENIL</v>
      </c>
      <c r="H635" s="3" t="str">
        <f>IF(AND(Tabela1[[#This Row],[Data nascimento]]&gt;=$L$2,Tabela1[[#This Row],[Data nascimento]]&lt;=$K$2),"INFANTIL B",I635)</f>
        <v>JUVENIL</v>
      </c>
      <c r="I635" s="9" t="str">
        <f>IF(AND(Tabela1[[#This Row],[Data nascimento]]&gt;=$N$2,Tabela1[[#This Row],[Data nascimento]]&lt;=$M$2),"INICIADO",J635)</f>
        <v>JUVENIL</v>
      </c>
      <c r="J635" s="9" t="str">
        <f>IF(AND(Tabela1[[#This Row],[Data nascimento]]&gt;=$P$2,Tabela1[[#This Row],[Data nascimento]]&lt;=$O$2),"JUVENIL","JÚNIOR")</f>
        <v>JUVENIL</v>
      </c>
    </row>
    <row r="636" spans="1:10" ht="15" x14ac:dyDescent="0.4">
      <c r="A636" s="13" t="s">
        <v>224</v>
      </c>
      <c r="B636" s="2" t="s">
        <v>225</v>
      </c>
      <c r="C636" s="4" t="s">
        <v>8</v>
      </c>
      <c r="D636" s="11">
        <v>40177</v>
      </c>
      <c r="E636" s="7" t="s">
        <v>226</v>
      </c>
      <c r="F636" s="4" t="s">
        <v>4746</v>
      </c>
      <c r="G636" s="12" t="str">
        <f>IF(AND(Tabela1[[#This Row],[Data nascimento]]&gt;=$J$2,Tabela1[[#This Row],[Data nascimento]]&lt;=$I$2),"INFANTIL A",H636)</f>
        <v>JUVENIL</v>
      </c>
      <c r="H636" s="3" t="str">
        <f>IF(AND(Tabela1[[#This Row],[Data nascimento]]&gt;=$L$2,Tabela1[[#This Row],[Data nascimento]]&lt;=$K$2),"INFANTIL B",I636)</f>
        <v>JUVENIL</v>
      </c>
      <c r="I636" s="9" t="str">
        <f>IF(AND(Tabela1[[#This Row],[Data nascimento]]&gt;=$N$2,Tabela1[[#This Row],[Data nascimento]]&lt;=$M$2),"INICIADO",J636)</f>
        <v>JUVENIL</v>
      </c>
      <c r="J636" s="9" t="str">
        <f>IF(AND(Tabela1[[#This Row],[Data nascimento]]&gt;=$P$2,Tabela1[[#This Row],[Data nascimento]]&lt;=$O$2),"JUVENIL","JÚNIOR")</f>
        <v>JUVENIL</v>
      </c>
    </row>
    <row r="637" spans="1:10" ht="15" x14ac:dyDescent="0.4">
      <c r="A637" s="13" t="s">
        <v>227</v>
      </c>
      <c r="B637" s="2" t="s">
        <v>228</v>
      </c>
      <c r="C637" s="4" t="s">
        <v>21</v>
      </c>
      <c r="D637" s="11">
        <v>39751</v>
      </c>
      <c r="E637" s="7" t="s">
        <v>229</v>
      </c>
      <c r="F637" s="4" t="s">
        <v>4747</v>
      </c>
      <c r="G637" s="12" t="str">
        <f>IF(AND(Tabela1[[#This Row],[Data nascimento]]&gt;=$J$2,Tabela1[[#This Row],[Data nascimento]]&lt;=$I$2),"INFANTIL A",H637)</f>
        <v>JUVENIL</v>
      </c>
      <c r="H637" s="3" t="str">
        <f>IF(AND(Tabela1[[#This Row],[Data nascimento]]&gt;=$L$2,Tabela1[[#This Row],[Data nascimento]]&lt;=$K$2),"INFANTIL B",I637)</f>
        <v>JUVENIL</v>
      </c>
      <c r="I637" s="9" t="str">
        <f>IF(AND(Tabela1[[#This Row],[Data nascimento]]&gt;=$N$2,Tabela1[[#This Row],[Data nascimento]]&lt;=$M$2),"INICIADO",J637)</f>
        <v>JUVENIL</v>
      </c>
      <c r="J637" s="9" t="str">
        <f>IF(AND(Tabela1[[#This Row],[Data nascimento]]&gt;=$P$2,Tabela1[[#This Row],[Data nascimento]]&lt;=$O$2),"JUVENIL","JÚNIOR")</f>
        <v>JUVENIL</v>
      </c>
    </row>
    <row r="638" spans="1:10" ht="15" x14ac:dyDescent="0.4">
      <c r="A638" s="13" t="s">
        <v>230</v>
      </c>
      <c r="B638" s="2" t="s">
        <v>231</v>
      </c>
      <c r="C638" s="4" t="s">
        <v>8</v>
      </c>
      <c r="D638" s="11">
        <v>39711</v>
      </c>
      <c r="E638" s="7" t="s">
        <v>232</v>
      </c>
      <c r="F638" s="4" t="s">
        <v>4747</v>
      </c>
      <c r="G638" s="12" t="str">
        <f>IF(AND(Tabela1[[#This Row],[Data nascimento]]&gt;=$J$2,Tabela1[[#This Row],[Data nascimento]]&lt;=$I$2),"INFANTIL A",H638)</f>
        <v>JUVENIL</v>
      </c>
      <c r="H638" s="3" t="str">
        <f>IF(AND(Tabela1[[#This Row],[Data nascimento]]&gt;=$L$2,Tabela1[[#This Row],[Data nascimento]]&lt;=$K$2),"INFANTIL B",I638)</f>
        <v>JUVENIL</v>
      </c>
      <c r="I638" s="9" t="str">
        <f>IF(AND(Tabela1[[#This Row],[Data nascimento]]&gt;=$N$2,Tabela1[[#This Row],[Data nascimento]]&lt;=$M$2),"INICIADO",J638)</f>
        <v>JUVENIL</v>
      </c>
      <c r="J638" s="9" t="str">
        <f>IF(AND(Tabela1[[#This Row],[Data nascimento]]&gt;=$P$2,Tabela1[[#This Row],[Data nascimento]]&lt;=$O$2),"JUVENIL","JÚNIOR")</f>
        <v>JUVENIL</v>
      </c>
    </row>
    <row r="639" spans="1:10" ht="15" x14ac:dyDescent="0.4">
      <c r="A639" s="13" t="s">
        <v>233</v>
      </c>
      <c r="B639" s="2" t="s">
        <v>234</v>
      </c>
      <c r="C639" s="4" t="s">
        <v>21</v>
      </c>
      <c r="D639" s="11">
        <v>39505</v>
      </c>
      <c r="E639" s="7" t="s">
        <v>235</v>
      </c>
      <c r="F639" s="4" t="s">
        <v>4747</v>
      </c>
      <c r="G639" s="12" t="str">
        <f>IF(AND(Tabela1[[#This Row],[Data nascimento]]&gt;=$J$2,Tabela1[[#This Row],[Data nascimento]]&lt;=$I$2),"INFANTIL A",H639)</f>
        <v>JUVENIL</v>
      </c>
      <c r="H639" s="3" t="str">
        <f>IF(AND(Tabela1[[#This Row],[Data nascimento]]&gt;=$L$2,Tabela1[[#This Row],[Data nascimento]]&lt;=$K$2),"INFANTIL B",I639)</f>
        <v>JUVENIL</v>
      </c>
      <c r="I639" s="9" t="str">
        <f>IF(AND(Tabela1[[#This Row],[Data nascimento]]&gt;=$N$2,Tabela1[[#This Row],[Data nascimento]]&lt;=$M$2),"INICIADO",J639)</f>
        <v>JUVENIL</v>
      </c>
      <c r="J639" s="9" t="str">
        <f>IF(AND(Tabela1[[#This Row],[Data nascimento]]&gt;=$P$2,Tabela1[[#This Row],[Data nascimento]]&lt;=$O$2),"JUVENIL","JÚNIOR")</f>
        <v>JUVENIL</v>
      </c>
    </row>
    <row r="640" spans="1:10" ht="15" x14ac:dyDescent="0.4">
      <c r="A640" s="13" t="s">
        <v>236</v>
      </c>
      <c r="B640" s="2" t="s">
        <v>237</v>
      </c>
      <c r="C640" s="4" t="s">
        <v>21</v>
      </c>
      <c r="D640" s="11">
        <v>39219</v>
      </c>
      <c r="E640" s="7" t="s">
        <v>238</v>
      </c>
      <c r="F640" s="4" t="s">
        <v>4747</v>
      </c>
      <c r="G640" s="12" t="str">
        <f>IF(AND(Tabela1[[#This Row],[Data nascimento]]&gt;=$J$2,Tabela1[[#This Row],[Data nascimento]]&lt;=$I$2),"INFANTIL A",H640)</f>
        <v>JÚNIOR</v>
      </c>
      <c r="H640" s="3" t="str">
        <f>IF(AND(Tabela1[[#This Row],[Data nascimento]]&gt;=$L$2,Tabela1[[#This Row],[Data nascimento]]&lt;=$K$2),"INFANTIL B",I640)</f>
        <v>JÚNIOR</v>
      </c>
      <c r="I640" s="9" t="str">
        <f>IF(AND(Tabela1[[#This Row],[Data nascimento]]&gt;=$N$2,Tabela1[[#This Row],[Data nascimento]]&lt;=$M$2),"INICIADO",J640)</f>
        <v>JÚNIOR</v>
      </c>
      <c r="J640" s="9" t="str">
        <f>IF(AND(Tabela1[[#This Row],[Data nascimento]]&gt;=$P$2,Tabela1[[#This Row],[Data nascimento]]&lt;=$O$2),"JUVENIL","JÚNIOR")</f>
        <v>JÚNIOR</v>
      </c>
    </row>
    <row r="641" spans="1:10" ht="15" x14ac:dyDescent="0.4">
      <c r="A641" s="13" t="s">
        <v>239</v>
      </c>
      <c r="B641" s="2" t="s">
        <v>240</v>
      </c>
      <c r="C641" s="4" t="s">
        <v>21</v>
      </c>
      <c r="D641" s="11">
        <v>40056</v>
      </c>
      <c r="E641" s="7" t="s">
        <v>241</v>
      </c>
      <c r="F641" s="4" t="s">
        <v>4747</v>
      </c>
      <c r="G641" s="12" t="str">
        <f>IF(AND(Tabela1[[#This Row],[Data nascimento]]&gt;=$J$2,Tabela1[[#This Row],[Data nascimento]]&lt;=$I$2),"INFANTIL A",H641)</f>
        <v>JUVENIL</v>
      </c>
      <c r="H641" s="3" t="str">
        <f>IF(AND(Tabela1[[#This Row],[Data nascimento]]&gt;=$L$2,Tabela1[[#This Row],[Data nascimento]]&lt;=$K$2),"INFANTIL B",I641)</f>
        <v>JUVENIL</v>
      </c>
      <c r="I641" s="9" t="str">
        <f>IF(AND(Tabela1[[#This Row],[Data nascimento]]&gt;=$N$2,Tabela1[[#This Row],[Data nascimento]]&lt;=$M$2),"INICIADO",J641)</f>
        <v>JUVENIL</v>
      </c>
      <c r="J641" s="9" t="str">
        <f>IF(AND(Tabela1[[#This Row],[Data nascimento]]&gt;=$P$2,Tabela1[[#This Row],[Data nascimento]]&lt;=$O$2),"JUVENIL","JÚNIOR")</f>
        <v>JUVENIL</v>
      </c>
    </row>
    <row r="642" spans="1:10" ht="15" x14ac:dyDescent="0.4">
      <c r="A642" s="13" t="s">
        <v>242</v>
      </c>
      <c r="B642" s="2" t="s">
        <v>243</v>
      </c>
      <c r="C642" s="4" t="s">
        <v>21</v>
      </c>
      <c r="D642" s="11">
        <v>39923</v>
      </c>
      <c r="E642" s="7" t="s">
        <v>244</v>
      </c>
      <c r="F642" s="4" t="s">
        <v>4747</v>
      </c>
      <c r="G642" s="12" t="str">
        <f>IF(AND(Tabela1[[#This Row],[Data nascimento]]&gt;=$J$2,Tabela1[[#This Row],[Data nascimento]]&lt;=$I$2),"INFANTIL A",H642)</f>
        <v>JUVENIL</v>
      </c>
      <c r="H642" s="3" t="str">
        <f>IF(AND(Tabela1[[#This Row],[Data nascimento]]&gt;=$L$2,Tabela1[[#This Row],[Data nascimento]]&lt;=$K$2),"INFANTIL B",I642)</f>
        <v>JUVENIL</v>
      </c>
      <c r="I642" s="9" t="str">
        <f>IF(AND(Tabela1[[#This Row],[Data nascimento]]&gt;=$N$2,Tabela1[[#This Row],[Data nascimento]]&lt;=$M$2),"INICIADO",J642)</f>
        <v>JUVENIL</v>
      </c>
      <c r="J642" s="9" t="str">
        <f>IF(AND(Tabela1[[#This Row],[Data nascimento]]&gt;=$P$2,Tabela1[[#This Row],[Data nascimento]]&lt;=$O$2),"JUVENIL","JÚNIOR")</f>
        <v>JUVENIL</v>
      </c>
    </row>
    <row r="643" spans="1:10" ht="15" x14ac:dyDescent="0.4">
      <c r="A643" s="13" t="s">
        <v>245</v>
      </c>
      <c r="B643" s="2" t="s">
        <v>246</v>
      </c>
      <c r="C643" s="4" t="s">
        <v>8</v>
      </c>
      <c r="D643" s="11">
        <v>39955</v>
      </c>
      <c r="E643" s="7" t="s">
        <v>247</v>
      </c>
      <c r="F643" s="4" t="s">
        <v>4747</v>
      </c>
      <c r="G643" s="12" t="str">
        <f>IF(AND(Tabela1[[#This Row],[Data nascimento]]&gt;=$J$2,Tabela1[[#This Row],[Data nascimento]]&lt;=$I$2),"INFANTIL A",H643)</f>
        <v>JUVENIL</v>
      </c>
      <c r="H643" s="3" t="str">
        <f>IF(AND(Tabela1[[#This Row],[Data nascimento]]&gt;=$L$2,Tabela1[[#This Row],[Data nascimento]]&lt;=$K$2),"INFANTIL B",I643)</f>
        <v>JUVENIL</v>
      </c>
      <c r="I643" s="9" t="str">
        <f>IF(AND(Tabela1[[#This Row],[Data nascimento]]&gt;=$N$2,Tabela1[[#This Row],[Data nascimento]]&lt;=$M$2),"INICIADO",J643)</f>
        <v>JUVENIL</v>
      </c>
      <c r="J643" s="9" t="str">
        <f>IF(AND(Tabela1[[#This Row],[Data nascimento]]&gt;=$P$2,Tabela1[[#This Row],[Data nascimento]]&lt;=$O$2),"JUVENIL","JÚNIOR")</f>
        <v>JUVENIL</v>
      </c>
    </row>
    <row r="644" spans="1:10" ht="15" x14ac:dyDescent="0.4">
      <c r="A644" s="13" t="s">
        <v>248</v>
      </c>
      <c r="B644" s="2" t="s">
        <v>249</v>
      </c>
      <c r="C644" s="4" t="s">
        <v>21</v>
      </c>
      <c r="D644" s="11">
        <v>39608</v>
      </c>
      <c r="E644" s="7" t="s">
        <v>250</v>
      </c>
      <c r="F644" s="4" t="s">
        <v>4747</v>
      </c>
      <c r="G644" s="12" t="str">
        <f>IF(AND(Tabela1[[#This Row],[Data nascimento]]&gt;=$J$2,Tabela1[[#This Row],[Data nascimento]]&lt;=$I$2),"INFANTIL A",H644)</f>
        <v>JUVENIL</v>
      </c>
      <c r="H644" s="3" t="str">
        <f>IF(AND(Tabela1[[#This Row],[Data nascimento]]&gt;=$L$2,Tabela1[[#This Row],[Data nascimento]]&lt;=$K$2),"INFANTIL B",I644)</f>
        <v>JUVENIL</v>
      </c>
      <c r="I644" s="9" t="str">
        <f>IF(AND(Tabela1[[#This Row],[Data nascimento]]&gt;=$N$2,Tabela1[[#This Row],[Data nascimento]]&lt;=$M$2),"INICIADO",J644)</f>
        <v>JUVENIL</v>
      </c>
      <c r="J644" s="9" t="str">
        <f>IF(AND(Tabela1[[#This Row],[Data nascimento]]&gt;=$P$2,Tabela1[[#This Row],[Data nascimento]]&lt;=$O$2),"JUVENIL","JÚNIOR")</f>
        <v>JUVENIL</v>
      </c>
    </row>
    <row r="645" spans="1:10" ht="15" x14ac:dyDescent="0.4">
      <c r="A645" s="13" t="s">
        <v>251</v>
      </c>
      <c r="B645" s="2" t="s">
        <v>252</v>
      </c>
      <c r="C645" s="4" t="s">
        <v>21</v>
      </c>
      <c r="D645" s="11">
        <v>39161</v>
      </c>
      <c r="E645" s="7" t="s">
        <v>253</v>
      </c>
      <c r="F645" s="4" t="s">
        <v>4747</v>
      </c>
      <c r="G645" s="12" t="str">
        <f>IF(AND(Tabela1[[#This Row],[Data nascimento]]&gt;=$J$2,Tabela1[[#This Row],[Data nascimento]]&lt;=$I$2),"INFANTIL A",H645)</f>
        <v>JÚNIOR</v>
      </c>
      <c r="H645" s="3" t="str">
        <f>IF(AND(Tabela1[[#This Row],[Data nascimento]]&gt;=$L$2,Tabela1[[#This Row],[Data nascimento]]&lt;=$K$2),"INFANTIL B",I645)</f>
        <v>JÚNIOR</v>
      </c>
      <c r="I645" s="9" t="str">
        <f>IF(AND(Tabela1[[#This Row],[Data nascimento]]&gt;=$N$2,Tabela1[[#This Row],[Data nascimento]]&lt;=$M$2),"INICIADO",J645)</f>
        <v>JÚNIOR</v>
      </c>
      <c r="J645" s="9" t="str">
        <f>IF(AND(Tabela1[[#This Row],[Data nascimento]]&gt;=$P$2,Tabela1[[#This Row],[Data nascimento]]&lt;=$O$2),"JUVENIL","JÚNIOR")</f>
        <v>JÚNIOR</v>
      </c>
    </row>
    <row r="646" spans="1:10" ht="15" x14ac:dyDescent="0.4">
      <c r="A646" s="13" t="s">
        <v>254</v>
      </c>
      <c r="B646" s="2" t="s">
        <v>255</v>
      </c>
      <c r="C646" s="4" t="s">
        <v>21</v>
      </c>
      <c r="D646" s="11">
        <v>39878</v>
      </c>
      <c r="E646" s="7" t="s">
        <v>256</v>
      </c>
      <c r="F646" s="4" t="s">
        <v>4747</v>
      </c>
      <c r="G646" s="12" t="str">
        <f>IF(AND(Tabela1[[#This Row],[Data nascimento]]&gt;=$J$2,Tabela1[[#This Row],[Data nascimento]]&lt;=$I$2),"INFANTIL A",H646)</f>
        <v>JUVENIL</v>
      </c>
      <c r="H646" s="3" t="str">
        <f>IF(AND(Tabela1[[#This Row],[Data nascimento]]&gt;=$L$2,Tabela1[[#This Row],[Data nascimento]]&lt;=$K$2),"INFANTIL B",I646)</f>
        <v>JUVENIL</v>
      </c>
      <c r="I646" s="9" t="str">
        <f>IF(AND(Tabela1[[#This Row],[Data nascimento]]&gt;=$N$2,Tabela1[[#This Row],[Data nascimento]]&lt;=$M$2),"INICIADO",J646)</f>
        <v>JUVENIL</v>
      </c>
      <c r="J646" s="9" t="str">
        <f>IF(AND(Tabela1[[#This Row],[Data nascimento]]&gt;=$P$2,Tabela1[[#This Row],[Data nascimento]]&lt;=$O$2),"JUVENIL","JÚNIOR")</f>
        <v>JUVENIL</v>
      </c>
    </row>
    <row r="647" spans="1:10" ht="15" x14ac:dyDescent="0.4">
      <c r="A647" s="13" t="s">
        <v>257</v>
      </c>
      <c r="B647" s="2" t="s">
        <v>258</v>
      </c>
      <c r="C647" s="4" t="s">
        <v>21</v>
      </c>
      <c r="D647" s="11">
        <v>39649</v>
      </c>
      <c r="E647" s="7" t="s">
        <v>259</v>
      </c>
      <c r="F647" s="4" t="s">
        <v>4747</v>
      </c>
      <c r="G647" s="12" t="str">
        <f>IF(AND(Tabela1[[#This Row],[Data nascimento]]&gt;=$J$2,Tabela1[[#This Row],[Data nascimento]]&lt;=$I$2),"INFANTIL A",H647)</f>
        <v>JUVENIL</v>
      </c>
      <c r="H647" s="3" t="str">
        <f>IF(AND(Tabela1[[#This Row],[Data nascimento]]&gt;=$L$2,Tabela1[[#This Row],[Data nascimento]]&lt;=$K$2),"INFANTIL B",I647)</f>
        <v>JUVENIL</v>
      </c>
      <c r="I647" s="9" t="str">
        <f>IF(AND(Tabela1[[#This Row],[Data nascimento]]&gt;=$N$2,Tabela1[[#This Row],[Data nascimento]]&lt;=$M$2),"INICIADO",J647)</f>
        <v>JUVENIL</v>
      </c>
      <c r="J647" s="9" t="str">
        <f>IF(AND(Tabela1[[#This Row],[Data nascimento]]&gt;=$P$2,Tabela1[[#This Row],[Data nascimento]]&lt;=$O$2),"JUVENIL","JÚNIOR")</f>
        <v>JUVENIL</v>
      </c>
    </row>
    <row r="648" spans="1:10" ht="15" x14ac:dyDescent="0.4">
      <c r="A648" s="13" t="s">
        <v>260</v>
      </c>
      <c r="B648" s="2" t="s">
        <v>261</v>
      </c>
      <c r="C648" s="4" t="s">
        <v>8</v>
      </c>
      <c r="D648" s="11">
        <v>39904</v>
      </c>
      <c r="E648" s="7" t="s">
        <v>262</v>
      </c>
      <c r="F648" s="4" t="s">
        <v>4747</v>
      </c>
      <c r="G648" s="12" t="str">
        <f>IF(AND(Tabela1[[#This Row],[Data nascimento]]&gt;=$J$2,Tabela1[[#This Row],[Data nascimento]]&lt;=$I$2),"INFANTIL A",H648)</f>
        <v>JUVENIL</v>
      </c>
      <c r="H648" s="3" t="str">
        <f>IF(AND(Tabela1[[#This Row],[Data nascimento]]&gt;=$L$2,Tabela1[[#This Row],[Data nascimento]]&lt;=$K$2),"INFANTIL B",I648)</f>
        <v>JUVENIL</v>
      </c>
      <c r="I648" s="9" t="str">
        <f>IF(AND(Tabela1[[#This Row],[Data nascimento]]&gt;=$N$2,Tabela1[[#This Row],[Data nascimento]]&lt;=$M$2),"INICIADO",J648)</f>
        <v>JUVENIL</v>
      </c>
      <c r="J648" s="9" t="str">
        <f>IF(AND(Tabela1[[#This Row],[Data nascimento]]&gt;=$P$2,Tabela1[[#This Row],[Data nascimento]]&lt;=$O$2),"JUVENIL","JÚNIOR")</f>
        <v>JUVENIL</v>
      </c>
    </row>
    <row r="649" spans="1:10" ht="15" x14ac:dyDescent="0.4">
      <c r="A649" s="13" t="s">
        <v>263</v>
      </c>
      <c r="B649" s="2" t="s">
        <v>264</v>
      </c>
      <c r="C649" s="4" t="s">
        <v>8</v>
      </c>
      <c r="D649" s="11">
        <v>38658</v>
      </c>
      <c r="E649" s="7" t="s">
        <v>265</v>
      </c>
      <c r="F649" s="4" t="s">
        <v>4747</v>
      </c>
      <c r="G649" s="12" t="str">
        <f>IF(AND(Tabela1[[#This Row],[Data nascimento]]&gt;=$J$2,Tabela1[[#This Row],[Data nascimento]]&lt;=$I$2),"INFANTIL A",H649)</f>
        <v>JÚNIOR</v>
      </c>
      <c r="H649" s="3" t="str">
        <f>IF(AND(Tabela1[[#This Row],[Data nascimento]]&gt;=$L$2,Tabela1[[#This Row],[Data nascimento]]&lt;=$K$2),"INFANTIL B",I649)</f>
        <v>JÚNIOR</v>
      </c>
      <c r="I649" s="9" t="str">
        <f>IF(AND(Tabela1[[#This Row],[Data nascimento]]&gt;=$N$2,Tabela1[[#This Row],[Data nascimento]]&lt;=$M$2),"INICIADO",J649)</f>
        <v>JÚNIOR</v>
      </c>
      <c r="J649" s="9" t="str">
        <f>IF(AND(Tabela1[[#This Row],[Data nascimento]]&gt;=$P$2,Tabela1[[#This Row],[Data nascimento]]&lt;=$O$2),"JUVENIL","JÚNIOR")</f>
        <v>JÚNIOR</v>
      </c>
    </row>
    <row r="650" spans="1:10" ht="15" x14ac:dyDescent="0.4">
      <c r="A650" s="13" t="s">
        <v>266</v>
      </c>
      <c r="B650" s="2" t="s">
        <v>267</v>
      </c>
      <c r="C650" s="4" t="s">
        <v>21</v>
      </c>
      <c r="D650" s="11">
        <v>39589</v>
      </c>
      <c r="E650" s="7" t="s">
        <v>268</v>
      </c>
      <c r="F650" s="4" t="s">
        <v>4747</v>
      </c>
      <c r="G650" s="12" t="str">
        <f>IF(AND(Tabela1[[#This Row],[Data nascimento]]&gt;=$J$2,Tabela1[[#This Row],[Data nascimento]]&lt;=$I$2),"INFANTIL A",H650)</f>
        <v>JUVENIL</v>
      </c>
      <c r="H650" s="3" t="str">
        <f>IF(AND(Tabela1[[#This Row],[Data nascimento]]&gt;=$L$2,Tabela1[[#This Row],[Data nascimento]]&lt;=$K$2),"INFANTIL B",I650)</f>
        <v>JUVENIL</v>
      </c>
      <c r="I650" s="9" t="str">
        <f>IF(AND(Tabela1[[#This Row],[Data nascimento]]&gt;=$N$2,Tabela1[[#This Row],[Data nascimento]]&lt;=$M$2),"INICIADO",J650)</f>
        <v>JUVENIL</v>
      </c>
      <c r="J650" s="9" t="str">
        <f>IF(AND(Tabela1[[#This Row],[Data nascimento]]&gt;=$P$2,Tabela1[[#This Row],[Data nascimento]]&lt;=$O$2),"JUVENIL","JÚNIOR")</f>
        <v>JUVENIL</v>
      </c>
    </row>
    <row r="651" spans="1:10" ht="15" x14ac:dyDescent="0.4">
      <c r="A651" s="13" t="s">
        <v>269</v>
      </c>
      <c r="B651" s="2" t="s">
        <v>270</v>
      </c>
      <c r="C651" s="4" t="s">
        <v>8</v>
      </c>
      <c r="D651" s="11">
        <v>39862</v>
      </c>
      <c r="E651" s="7" t="s">
        <v>271</v>
      </c>
      <c r="F651" s="4" t="s">
        <v>4747</v>
      </c>
      <c r="G651" s="12" t="str">
        <f>IF(AND(Tabela1[[#This Row],[Data nascimento]]&gt;=$J$2,Tabela1[[#This Row],[Data nascimento]]&lt;=$I$2),"INFANTIL A",H651)</f>
        <v>JUVENIL</v>
      </c>
      <c r="H651" s="3" t="str">
        <f>IF(AND(Tabela1[[#This Row],[Data nascimento]]&gt;=$L$2,Tabela1[[#This Row],[Data nascimento]]&lt;=$K$2),"INFANTIL B",I651)</f>
        <v>JUVENIL</v>
      </c>
      <c r="I651" s="9" t="str">
        <f>IF(AND(Tabela1[[#This Row],[Data nascimento]]&gt;=$N$2,Tabela1[[#This Row],[Data nascimento]]&lt;=$M$2),"INICIADO",J651)</f>
        <v>JUVENIL</v>
      </c>
      <c r="J651" s="9" t="str">
        <f>IF(AND(Tabela1[[#This Row],[Data nascimento]]&gt;=$P$2,Tabela1[[#This Row],[Data nascimento]]&lt;=$O$2),"JUVENIL","JÚNIOR")</f>
        <v>JUVENIL</v>
      </c>
    </row>
    <row r="652" spans="1:10" ht="15" x14ac:dyDescent="0.4">
      <c r="A652" s="13" t="s">
        <v>272</v>
      </c>
      <c r="B652" s="2" t="s">
        <v>273</v>
      </c>
      <c r="C652" s="4" t="s">
        <v>8</v>
      </c>
      <c r="D652" s="11">
        <v>40080</v>
      </c>
      <c r="E652" s="7" t="s">
        <v>274</v>
      </c>
      <c r="F652" s="4" t="s">
        <v>4747</v>
      </c>
      <c r="G652" s="12" t="str">
        <f>IF(AND(Tabela1[[#This Row],[Data nascimento]]&gt;=$J$2,Tabela1[[#This Row],[Data nascimento]]&lt;=$I$2),"INFANTIL A",H652)</f>
        <v>JUVENIL</v>
      </c>
      <c r="H652" s="3" t="str">
        <f>IF(AND(Tabela1[[#This Row],[Data nascimento]]&gt;=$L$2,Tabela1[[#This Row],[Data nascimento]]&lt;=$K$2),"INFANTIL B",I652)</f>
        <v>JUVENIL</v>
      </c>
      <c r="I652" s="9" t="str">
        <f>IF(AND(Tabela1[[#This Row],[Data nascimento]]&gt;=$N$2,Tabela1[[#This Row],[Data nascimento]]&lt;=$M$2),"INICIADO",J652)</f>
        <v>JUVENIL</v>
      </c>
      <c r="J652" s="9" t="str">
        <f>IF(AND(Tabela1[[#This Row],[Data nascimento]]&gt;=$P$2,Tabela1[[#This Row],[Data nascimento]]&lt;=$O$2),"JUVENIL","JÚNIOR")</f>
        <v>JUVENIL</v>
      </c>
    </row>
    <row r="653" spans="1:10" ht="15" x14ac:dyDescent="0.4">
      <c r="A653" s="13" t="s">
        <v>275</v>
      </c>
      <c r="B653" s="2" t="s">
        <v>276</v>
      </c>
      <c r="C653" s="4" t="s">
        <v>8</v>
      </c>
      <c r="D653" s="11">
        <v>39780</v>
      </c>
      <c r="E653" s="7" t="s">
        <v>277</v>
      </c>
      <c r="F653" s="4" t="s">
        <v>4747</v>
      </c>
      <c r="G653" s="12" t="str">
        <f>IF(AND(Tabela1[[#This Row],[Data nascimento]]&gt;=$J$2,Tabela1[[#This Row],[Data nascimento]]&lt;=$I$2),"INFANTIL A",H653)</f>
        <v>JUVENIL</v>
      </c>
      <c r="H653" s="3" t="str">
        <f>IF(AND(Tabela1[[#This Row],[Data nascimento]]&gt;=$L$2,Tabela1[[#This Row],[Data nascimento]]&lt;=$K$2),"INFANTIL B",I653)</f>
        <v>JUVENIL</v>
      </c>
      <c r="I653" s="9" t="str">
        <f>IF(AND(Tabela1[[#This Row],[Data nascimento]]&gt;=$N$2,Tabela1[[#This Row],[Data nascimento]]&lt;=$M$2),"INICIADO",J653)</f>
        <v>JUVENIL</v>
      </c>
      <c r="J653" s="9" t="str">
        <f>IF(AND(Tabela1[[#This Row],[Data nascimento]]&gt;=$P$2,Tabela1[[#This Row],[Data nascimento]]&lt;=$O$2),"JUVENIL","JÚNIOR")</f>
        <v>JUVENIL</v>
      </c>
    </row>
    <row r="654" spans="1:10" ht="15" x14ac:dyDescent="0.4">
      <c r="A654" s="13" t="s">
        <v>278</v>
      </c>
      <c r="B654" s="2" t="s">
        <v>279</v>
      </c>
      <c r="C654" s="4" t="s">
        <v>8</v>
      </c>
      <c r="D654" s="11">
        <v>39817</v>
      </c>
      <c r="E654" s="7" t="s">
        <v>280</v>
      </c>
      <c r="F654" s="4" t="s">
        <v>4748</v>
      </c>
      <c r="G654" s="12" t="str">
        <f>IF(AND(Tabela1[[#This Row],[Data nascimento]]&gt;=$J$2,Tabela1[[#This Row],[Data nascimento]]&lt;=$I$2),"INFANTIL A",H654)</f>
        <v>JUVENIL</v>
      </c>
      <c r="H654" s="3" t="str">
        <f>IF(AND(Tabela1[[#This Row],[Data nascimento]]&gt;=$L$2,Tabela1[[#This Row],[Data nascimento]]&lt;=$K$2),"INFANTIL B",I654)</f>
        <v>JUVENIL</v>
      </c>
      <c r="I654" s="9" t="str">
        <f>IF(AND(Tabela1[[#This Row],[Data nascimento]]&gt;=$N$2,Tabela1[[#This Row],[Data nascimento]]&lt;=$M$2),"INICIADO",J654)</f>
        <v>JUVENIL</v>
      </c>
      <c r="J654" s="9" t="str">
        <f>IF(AND(Tabela1[[#This Row],[Data nascimento]]&gt;=$P$2,Tabela1[[#This Row],[Data nascimento]]&lt;=$O$2),"JUVENIL","JÚNIOR")</f>
        <v>JUVENIL</v>
      </c>
    </row>
    <row r="655" spans="1:10" ht="15" x14ac:dyDescent="0.4">
      <c r="A655" s="13" t="s">
        <v>281</v>
      </c>
      <c r="B655" s="2" t="s">
        <v>282</v>
      </c>
      <c r="C655" s="4" t="s">
        <v>8</v>
      </c>
      <c r="D655" s="11">
        <v>40162</v>
      </c>
      <c r="E655" s="7" t="s">
        <v>283</v>
      </c>
      <c r="F655" s="4" t="s">
        <v>4748</v>
      </c>
      <c r="G655" s="12" t="str">
        <f>IF(AND(Tabela1[[#This Row],[Data nascimento]]&gt;=$J$2,Tabela1[[#This Row],[Data nascimento]]&lt;=$I$2),"INFANTIL A",H655)</f>
        <v>JUVENIL</v>
      </c>
      <c r="H655" s="3" t="str">
        <f>IF(AND(Tabela1[[#This Row],[Data nascimento]]&gt;=$L$2,Tabela1[[#This Row],[Data nascimento]]&lt;=$K$2),"INFANTIL B",I655)</f>
        <v>JUVENIL</v>
      </c>
      <c r="I655" s="9" t="str">
        <f>IF(AND(Tabela1[[#This Row],[Data nascimento]]&gt;=$N$2,Tabela1[[#This Row],[Data nascimento]]&lt;=$M$2),"INICIADO",J655)</f>
        <v>JUVENIL</v>
      </c>
      <c r="J655" s="9" t="str">
        <f>IF(AND(Tabela1[[#This Row],[Data nascimento]]&gt;=$P$2,Tabela1[[#This Row],[Data nascimento]]&lt;=$O$2),"JUVENIL","JÚNIOR")</f>
        <v>JUVENIL</v>
      </c>
    </row>
    <row r="656" spans="1:10" ht="15" x14ac:dyDescent="0.4">
      <c r="A656" s="13" t="s">
        <v>284</v>
      </c>
      <c r="B656" s="2" t="s">
        <v>285</v>
      </c>
      <c r="C656" s="4" t="s">
        <v>8</v>
      </c>
      <c r="D656" s="11">
        <v>40145</v>
      </c>
      <c r="E656" s="7" t="s">
        <v>286</v>
      </c>
      <c r="F656" s="4" t="s">
        <v>4748</v>
      </c>
      <c r="G656" s="12" t="str">
        <f>IF(AND(Tabela1[[#This Row],[Data nascimento]]&gt;=$J$2,Tabela1[[#This Row],[Data nascimento]]&lt;=$I$2),"INFANTIL A",H656)</f>
        <v>JUVENIL</v>
      </c>
      <c r="H656" s="3" t="str">
        <f>IF(AND(Tabela1[[#This Row],[Data nascimento]]&gt;=$L$2,Tabela1[[#This Row],[Data nascimento]]&lt;=$K$2),"INFANTIL B",I656)</f>
        <v>JUVENIL</v>
      </c>
      <c r="I656" s="9" t="str">
        <f>IF(AND(Tabela1[[#This Row],[Data nascimento]]&gt;=$N$2,Tabela1[[#This Row],[Data nascimento]]&lt;=$M$2),"INICIADO",J656)</f>
        <v>JUVENIL</v>
      </c>
      <c r="J656" s="9" t="str">
        <f>IF(AND(Tabela1[[#This Row],[Data nascimento]]&gt;=$P$2,Tabela1[[#This Row],[Data nascimento]]&lt;=$O$2),"JUVENIL","JÚNIOR")</f>
        <v>JUVENIL</v>
      </c>
    </row>
    <row r="657" spans="1:10" ht="15" x14ac:dyDescent="0.4">
      <c r="A657" s="13" t="s">
        <v>287</v>
      </c>
      <c r="B657" s="2" t="s">
        <v>288</v>
      </c>
      <c r="C657" s="4" t="s">
        <v>21</v>
      </c>
      <c r="D657" s="11">
        <v>40022</v>
      </c>
      <c r="E657" s="7" t="s">
        <v>289</v>
      </c>
      <c r="F657" s="4" t="s">
        <v>4748</v>
      </c>
      <c r="G657" s="12" t="str">
        <f>IF(AND(Tabela1[[#This Row],[Data nascimento]]&gt;=$J$2,Tabela1[[#This Row],[Data nascimento]]&lt;=$I$2),"INFANTIL A",H657)</f>
        <v>JUVENIL</v>
      </c>
      <c r="H657" s="3" t="str">
        <f>IF(AND(Tabela1[[#This Row],[Data nascimento]]&gt;=$L$2,Tabela1[[#This Row],[Data nascimento]]&lt;=$K$2),"INFANTIL B",I657)</f>
        <v>JUVENIL</v>
      </c>
      <c r="I657" s="9" t="str">
        <f>IF(AND(Tabela1[[#This Row],[Data nascimento]]&gt;=$N$2,Tabela1[[#This Row],[Data nascimento]]&lt;=$M$2),"INICIADO",J657)</f>
        <v>JUVENIL</v>
      </c>
      <c r="J657" s="9" t="str">
        <f>IF(AND(Tabela1[[#This Row],[Data nascimento]]&gt;=$P$2,Tabela1[[#This Row],[Data nascimento]]&lt;=$O$2),"JUVENIL","JÚNIOR")</f>
        <v>JUVENIL</v>
      </c>
    </row>
    <row r="658" spans="1:10" ht="15" x14ac:dyDescent="0.4">
      <c r="A658" s="13" t="s">
        <v>290</v>
      </c>
      <c r="B658" s="2" t="s">
        <v>291</v>
      </c>
      <c r="C658" s="4" t="s">
        <v>8</v>
      </c>
      <c r="D658" s="11">
        <v>40032</v>
      </c>
      <c r="E658" s="7" t="s">
        <v>292</v>
      </c>
      <c r="F658" s="4" t="s">
        <v>4748</v>
      </c>
      <c r="G658" s="12" t="str">
        <f>IF(AND(Tabela1[[#This Row],[Data nascimento]]&gt;=$J$2,Tabela1[[#This Row],[Data nascimento]]&lt;=$I$2),"INFANTIL A",H658)</f>
        <v>JUVENIL</v>
      </c>
      <c r="H658" s="3" t="str">
        <f>IF(AND(Tabela1[[#This Row],[Data nascimento]]&gt;=$L$2,Tabela1[[#This Row],[Data nascimento]]&lt;=$K$2),"INFANTIL B",I658)</f>
        <v>JUVENIL</v>
      </c>
      <c r="I658" s="9" t="str">
        <f>IF(AND(Tabela1[[#This Row],[Data nascimento]]&gt;=$N$2,Tabela1[[#This Row],[Data nascimento]]&lt;=$M$2),"INICIADO",J658)</f>
        <v>JUVENIL</v>
      </c>
      <c r="J658" s="9" t="str">
        <f>IF(AND(Tabela1[[#This Row],[Data nascimento]]&gt;=$P$2,Tabela1[[#This Row],[Data nascimento]]&lt;=$O$2),"JUVENIL","JÚNIOR")</f>
        <v>JUVENIL</v>
      </c>
    </row>
    <row r="659" spans="1:10" ht="15" x14ac:dyDescent="0.4">
      <c r="A659" s="13" t="s">
        <v>293</v>
      </c>
      <c r="B659" s="2" t="s">
        <v>294</v>
      </c>
      <c r="C659" s="4" t="s">
        <v>21</v>
      </c>
      <c r="D659" s="11">
        <v>39827</v>
      </c>
      <c r="E659" s="7" t="s">
        <v>295</v>
      </c>
      <c r="F659" s="4" t="s">
        <v>4748</v>
      </c>
      <c r="G659" s="12" t="str">
        <f>IF(AND(Tabela1[[#This Row],[Data nascimento]]&gt;=$J$2,Tabela1[[#This Row],[Data nascimento]]&lt;=$I$2),"INFANTIL A",H659)</f>
        <v>JUVENIL</v>
      </c>
      <c r="H659" s="3" t="str">
        <f>IF(AND(Tabela1[[#This Row],[Data nascimento]]&gt;=$L$2,Tabela1[[#This Row],[Data nascimento]]&lt;=$K$2),"INFANTIL B",I659)</f>
        <v>JUVENIL</v>
      </c>
      <c r="I659" s="9" t="str">
        <f>IF(AND(Tabela1[[#This Row],[Data nascimento]]&gt;=$N$2,Tabela1[[#This Row],[Data nascimento]]&lt;=$M$2),"INICIADO",J659)</f>
        <v>JUVENIL</v>
      </c>
      <c r="J659" s="9" t="str">
        <f>IF(AND(Tabela1[[#This Row],[Data nascimento]]&gt;=$P$2,Tabela1[[#This Row],[Data nascimento]]&lt;=$O$2),"JUVENIL","JÚNIOR")</f>
        <v>JUVENIL</v>
      </c>
    </row>
    <row r="660" spans="1:10" ht="15" x14ac:dyDescent="0.4">
      <c r="A660" s="13" t="s">
        <v>296</v>
      </c>
      <c r="B660" s="2" t="s">
        <v>297</v>
      </c>
      <c r="C660" s="4" t="s">
        <v>21</v>
      </c>
      <c r="D660" s="11">
        <v>39855</v>
      </c>
      <c r="E660" s="7" t="s">
        <v>298</v>
      </c>
      <c r="F660" s="4" t="s">
        <v>4748</v>
      </c>
      <c r="G660" s="12" t="str">
        <f>IF(AND(Tabela1[[#This Row],[Data nascimento]]&gt;=$J$2,Tabela1[[#This Row],[Data nascimento]]&lt;=$I$2),"INFANTIL A",H660)</f>
        <v>JUVENIL</v>
      </c>
      <c r="H660" s="3" t="str">
        <f>IF(AND(Tabela1[[#This Row],[Data nascimento]]&gt;=$L$2,Tabela1[[#This Row],[Data nascimento]]&lt;=$K$2),"INFANTIL B",I660)</f>
        <v>JUVENIL</v>
      </c>
      <c r="I660" s="9" t="str">
        <f>IF(AND(Tabela1[[#This Row],[Data nascimento]]&gt;=$N$2,Tabela1[[#This Row],[Data nascimento]]&lt;=$M$2),"INICIADO",J660)</f>
        <v>JUVENIL</v>
      </c>
      <c r="J660" s="9" t="str">
        <f>IF(AND(Tabela1[[#This Row],[Data nascimento]]&gt;=$P$2,Tabela1[[#This Row],[Data nascimento]]&lt;=$O$2),"JUVENIL","JÚNIOR")</f>
        <v>JUVENIL</v>
      </c>
    </row>
    <row r="661" spans="1:10" ht="15" x14ac:dyDescent="0.4">
      <c r="A661" s="13" t="s">
        <v>299</v>
      </c>
      <c r="B661" s="2" t="s">
        <v>300</v>
      </c>
      <c r="C661" s="4" t="s">
        <v>21</v>
      </c>
      <c r="D661" s="11">
        <v>39874</v>
      </c>
      <c r="E661" s="7" t="s">
        <v>301</v>
      </c>
      <c r="F661" s="4" t="s">
        <v>4748</v>
      </c>
      <c r="G661" s="12" t="str">
        <f>IF(AND(Tabela1[[#This Row],[Data nascimento]]&gt;=$J$2,Tabela1[[#This Row],[Data nascimento]]&lt;=$I$2),"INFANTIL A",H661)</f>
        <v>JUVENIL</v>
      </c>
      <c r="H661" s="3" t="str">
        <f>IF(AND(Tabela1[[#This Row],[Data nascimento]]&gt;=$L$2,Tabela1[[#This Row],[Data nascimento]]&lt;=$K$2),"INFANTIL B",I661)</f>
        <v>JUVENIL</v>
      </c>
      <c r="I661" s="9" t="str">
        <f>IF(AND(Tabela1[[#This Row],[Data nascimento]]&gt;=$N$2,Tabela1[[#This Row],[Data nascimento]]&lt;=$M$2),"INICIADO",J661)</f>
        <v>JUVENIL</v>
      </c>
      <c r="J661" s="9" t="str">
        <f>IF(AND(Tabela1[[#This Row],[Data nascimento]]&gt;=$P$2,Tabela1[[#This Row],[Data nascimento]]&lt;=$O$2),"JUVENIL","JÚNIOR")</f>
        <v>JUVENIL</v>
      </c>
    </row>
    <row r="662" spans="1:10" ht="15" x14ac:dyDescent="0.4">
      <c r="A662" s="13" t="s">
        <v>302</v>
      </c>
      <c r="B662" s="2" t="s">
        <v>303</v>
      </c>
      <c r="C662" s="4" t="s">
        <v>8</v>
      </c>
      <c r="D662" s="11">
        <v>39799</v>
      </c>
      <c r="E662" s="7" t="s">
        <v>304</v>
      </c>
      <c r="F662" s="4" t="s">
        <v>4748</v>
      </c>
      <c r="G662" s="12" t="str">
        <f>IF(AND(Tabela1[[#This Row],[Data nascimento]]&gt;=$J$2,Tabela1[[#This Row],[Data nascimento]]&lt;=$I$2),"INFANTIL A",H662)</f>
        <v>JUVENIL</v>
      </c>
      <c r="H662" s="3" t="str">
        <f>IF(AND(Tabela1[[#This Row],[Data nascimento]]&gt;=$L$2,Tabela1[[#This Row],[Data nascimento]]&lt;=$K$2),"INFANTIL B",I662)</f>
        <v>JUVENIL</v>
      </c>
      <c r="I662" s="9" t="str">
        <f>IF(AND(Tabela1[[#This Row],[Data nascimento]]&gt;=$N$2,Tabela1[[#This Row],[Data nascimento]]&lt;=$M$2),"INICIADO",J662)</f>
        <v>JUVENIL</v>
      </c>
      <c r="J662" s="9" t="str">
        <f>IF(AND(Tabela1[[#This Row],[Data nascimento]]&gt;=$P$2,Tabela1[[#This Row],[Data nascimento]]&lt;=$O$2),"JUVENIL","JÚNIOR")</f>
        <v>JUVENIL</v>
      </c>
    </row>
    <row r="663" spans="1:10" ht="15" x14ac:dyDescent="0.4">
      <c r="A663" s="13" t="s">
        <v>305</v>
      </c>
      <c r="B663" s="2" t="s">
        <v>306</v>
      </c>
      <c r="C663" s="4" t="s">
        <v>21</v>
      </c>
      <c r="D663" s="11">
        <v>39337</v>
      </c>
      <c r="E663" s="7" t="s">
        <v>307</v>
      </c>
      <c r="F663" s="4" t="s">
        <v>4748</v>
      </c>
      <c r="G663" s="12" t="str">
        <f>IF(AND(Tabela1[[#This Row],[Data nascimento]]&gt;=$J$2,Tabela1[[#This Row],[Data nascimento]]&lt;=$I$2),"INFANTIL A",H663)</f>
        <v>JÚNIOR</v>
      </c>
      <c r="H663" s="3" t="str">
        <f>IF(AND(Tabela1[[#This Row],[Data nascimento]]&gt;=$L$2,Tabela1[[#This Row],[Data nascimento]]&lt;=$K$2),"INFANTIL B",I663)</f>
        <v>JÚNIOR</v>
      </c>
      <c r="I663" s="9" t="str">
        <f>IF(AND(Tabela1[[#This Row],[Data nascimento]]&gt;=$N$2,Tabela1[[#This Row],[Data nascimento]]&lt;=$M$2),"INICIADO",J663)</f>
        <v>JÚNIOR</v>
      </c>
      <c r="J663" s="9" t="str">
        <f>IF(AND(Tabela1[[#This Row],[Data nascimento]]&gt;=$P$2,Tabela1[[#This Row],[Data nascimento]]&lt;=$O$2),"JUVENIL","JÚNIOR")</f>
        <v>JÚNIOR</v>
      </c>
    </row>
    <row r="664" spans="1:10" ht="15" x14ac:dyDescent="0.4">
      <c r="A664" s="13" t="s">
        <v>308</v>
      </c>
      <c r="B664" s="2" t="s">
        <v>309</v>
      </c>
      <c r="C664" s="4" t="s">
        <v>21</v>
      </c>
      <c r="D664" s="11">
        <v>40076</v>
      </c>
      <c r="E664" s="7" t="s">
        <v>310</v>
      </c>
      <c r="F664" s="4" t="s">
        <v>4748</v>
      </c>
      <c r="G664" s="12" t="str">
        <f>IF(AND(Tabela1[[#This Row],[Data nascimento]]&gt;=$J$2,Tabela1[[#This Row],[Data nascimento]]&lt;=$I$2),"INFANTIL A",H664)</f>
        <v>JUVENIL</v>
      </c>
      <c r="H664" s="3" t="str">
        <f>IF(AND(Tabela1[[#This Row],[Data nascimento]]&gt;=$L$2,Tabela1[[#This Row],[Data nascimento]]&lt;=$K$2),"INFANTIL B",I664)</f>
        <v>JUVENIL</v>
      </c>
      <c r="I664" s="9" t="str">
        <f>IF(AND(Tabela1[[#This Row],[Data nascimento]]&gt;=$N$2,Tabela1[[#This Row],[Data nascimento]]&lt;=$M$2),"INICIADO",J664)</f>
        <v>JUVENIL</v>
      </c>
      <c r="J664" s="9" t="str">
        <f>IF(AND(Tabela1[[#This Row],[Data nascimento]]&gt;=$P$2,Tabela1[[#This Row],[Data nascimento]]&lt;=$O$2),"JUVENIL","JÚNIOR")</f>
        <v>JUVENIL</v>
      </c>
    </row>
    <row r="665" spans="1:10" ht="15" x14ac:dyDescent="0.4">
      <c r="A665" s="13" t="s">
        <v>311</v>
      </c>
      <c r="B665" s="2" t="s">
        <v>312</v>
      </c>
      <c r="C665" s="4" t="s">
        <v>21</v>
      </c>
      <c r="D665" s="11">
        <v>39617</v>
      </c>
      <c r="E665" s="7" t="s">
        <v>313</v>
      </c>
      <c r="F665" s="4" t="s">
        <v>4748</v>
      </c>
      <c r="G665" s="12" t="str">
        <f>IF(AND(Tabela1[[#This Row],[Data nascimento]]&gt;=$J$2,Tabela1[[#This Row],[Data nascimento]]&lt;=$I$2),"INFANTIL A",H665)</f>
        <v>JUVENIL</v>
      </c>
      <c r="H665" s="3" t="str">
        <f>IF(AND(Tabela1[[#This Row],[Data nascimento]]&gt;=$L$2,Tabela1[[#This Row],[Data nascimento]]&lt;=$K$2),"INFANTIL B",I665)</f>
        <v>JUVENIL</v>
      </c>
      <c r="I665" s="9" t="str">
        <f>IF(AND(Tabela1[[#This Row],[Data nascimento]]&gt;=$N$2,Tabela1[[#This Row],[Data nascimento]]&lt;=$M$2),"INICIADO",J665)</f>
        <v>JUVENIL</v>
      </c>
      <c r="J665" s="9" t="str">
        <f>IF(AND(Tabela1[[#This Row],[Data nascimento]]&gt;=$P$2,Tabela1[[#This Row],[Data nascimento]]&lt;=$O$2),"JUVENIL","JÚNIOR")</f>
        <v>JUVENIL</v>
      </c>
    </row>
    <row r="666" spans="1:10" ht="15" x14ac:dyDescent="0.4">
      <c r="A666" s="13" t="s">
        <v>314</v>
      </c>
      <c r="B666" s="2" t="s">
        <v>315</v>
      </c>
      <c r="C666" s="4" t="s">
        <v>21</v>
      </c>
      <c r="D666" s="11">
        <v>39922</v>
      </c>
      <c r="E666" s="7" t="s">
        <v>316</v>
      </c>
      <c r="F666" s="4" t="s">
        <v>4748</v>
      </c>
      <c r="G666" s="12" t="str">
        <f>IF(AND(Tabela1[[#This Row],[Data nascimento]]&gt;=$J$2,Tabela1[[#This Row],[Data nascimento]]&lt;=$I$2),"INFANTIL A",H666)</f>
        <v>JUVENIL</v>
      </c>
      <c r="H666" s="3" t="str">
        <f>IF(AND(Tabela1[[#This Row],[Data nascimento]]&gt;=$L$2,Tabela1[[#This Row],[Data nascimento]]&lt;=$K$2),"INFANTIL B",I666)</f>
        <v>JUVENIL</v>
      </c>
      <c r="I666" s="9" t="str">
        <f>IF(AND(Tabela1[[#This Row],[Data nascimento]]&gt;=$N$2,Tabela1[[#This Row],[Data nascimento]]&lt;=$M$2),"INICIADO",J666)</f>
        <v>JUVENIL</v>
      </c>
      <c r="J666" s="9" t="str">
        <f>IF(AND(Tabela1[[#This Row],[Data nascimento]]&gt;=$P$2,Tabela1[[#This Row],[Data nascimento]]&lt;=$O$2),"JUVENIL","JÚNIOR")</f>
        <v>JUVENIL</v>
      </c>
    </row>
    <row r="667" spans="1:10" ht="15" x14ac:dyDescent="0.4">
      <c r="A667" s="13" t="s">
        <v>317</v>
      </c>
      <c r="B667" s="2" t="s">
        <v>318</v>
      </c>
      <c r="C667" s="4" t="s">
        <v>21</v>
      </c>
      <c r="D667" s="11">
        <v>39955</v>
      </c>
      <c r="E667" s="7" t="s">
        <v>319</v>
      </c>
      <c r="F667" s="4" t="s">
        <v>4748</v>
      </c>
      <c r="G667" s="12" t="str">
        <f>IF(AND(Tabela1[[#This Row],[Data nascimento]]&gt;=$J$2,Tabela1[[#This Row],[Data nascimento]]&lt;=$I$2),"INFANTIL A",H667)</f>
        <v>JUVENIL</v>
      </c>
      <c r="H667" s="3" t="str">
        <f>IF(AND(Tabela1[[#This Row],[Data nascimento]]&gt;=$L$2,Tabela1[[#This Row],[Data nascimento]]&lt;=$K$2),"INFANTIL B",I667)</f>
        <v>JUVENIL</v>
      </c>
      <c r="I667" s="9" t="str">
        <f>IF(AND(Tabela1[[#This Row],[Data nascimento]]&gt;=$N$2,Tabela1[[#This Row],[Data nascimento]]&lt;=$M$2),"INICIADO",J667)</f>
        <v>JUVENIL</v>
      </c>
      <c r="J667" s="9" t="str">
        <f>IF(AND(Tabela1[[#This Row],[Data nascimento]]&gt;=$P$2,Tabela1[[#This Row],[Data nascimento]]&lt;=$O$2),"JUVENIL","JÚNIOR")</f>
        <v>JUVENIL</v>
      </c>
    </row>
    <row r="668" spans="1:10" ht="15" x14ac:dyDescent="0.4">
      <c r="A668" s="13" t="s">
        <v>320</v>
      </c>
      <c r="B668" s="2" t="s">
        <v>321</v>
      </c>
      <c r="C668" s="4" t="s">
        <v>21</v>
      </c>
      <c r="D668" s="11">
        <v>39829</v>
      </c>
      <c r="E668" s="7" t="s">
        <v>322</v>
      </c>
      <c r="F668" s="4" t="s">
        <v>4749</v>
      </c>
      <c r="G668" s="12" t="str">
        <f>IF(AND(Tabela1[[#This Row],[Data nascimento]]&gt;=$J$2,Tabela1[[#This Row],[Data nascimento]]&lt;=$I$2),"INFANTIL A",H668)</f>
        <v>JUVENIL</v>
      </c>
      <c r="H668" s="3" t="str">
        <f>IF(AND(Tabela1[[#This Row],[Data nascimento]]&gt;=$L$2,Tabela1[[#This Row],[Data nascimento]]&lt;=$K$2),"INFANTIL B",I668)</f>
        <v>JUVENIL</v>
      </c>
      <c r="I668" s="9" t="str">
        <f>IF(AND(Tabela1[[#This Row],[Data nascimento]]&gt;=$N$2,Tabela1[[#This Row],[Data nascimento]]&lt;=$M$2),"INICIADO",J668)</f>
        <v>JUVENIL</v>
      </c>
      <c r="J668" s="9" t="str">
        <f>IF(AND(Tabela1[[#This Row],[Data nascimento]]&gt;=$P$2,Tabela1[[#This Row],[Data nascimento]]&lt;=$O$2),"JUVENIL","JÚNIOR")</f>
        <v>JUVENIL</v>
      </c>
    </row>
    <row r="669" spans="1:10" ht="15" x14ac:dyDescent="0.4">
      <c r="A669" s="13" t="s">
        <v>323</v>
      </c>
      <c r="B669" s="2" t="s">
        <v>324</v>
      </c>
      <c r="C669" s="4" t="s">
        <v>21</v>
      </c>
      <c r="D669" s="11">
        <v>40054</v>
      </c>
      <c r="E669" s="7" t="s">
        <v>325</v>
      </c>
      <c r="F669" s="4" t="s">
        <v>4748</v>
      </c>
      <c r="G669" s="12" t="str">
        <f>IF(AND(Tabela1[[#This Row],[Data nascimento]]&gt;=$J$2,Tabela1[[#This Row],[Data nascimento]]&lt;=$I$2),"INFANTIL A",H669)</f>
        <v>JUVENIL</v>
      </c>
      <c r="H669" s="3" t="str">
        <f>IF(AND(Tabela1[[#This Row],[Data nascimento]]&gt;=$L$2,Tabela1[[#This Row],[Data nascimento]]&lt;=$K$2),"INFANTIL B",I669)</f>
        <v>JUVENIL</v>
      </c>
      <c r="I669" s="9" t="str">
        <f>IF(AND(Tabela1[[#This Row],[Data nascimento]]&gt;=$N$2,Tabela1[[#This Row],[Data nascimento]]&lt;=$M$2),"INICIADO",J669)</f>
        <v>JUVENIL</v>
      </c>
      <c r="J669" s="9" t="str">
        <f>IF(AND(Tabela1[[#This Row],[Data nascimento]]&gt;=$P$2,Tabela1[[#This Row],[Data nascimento]]&lt;=$O$2),"JUVENIL","JÚNIOR")</f>
        <v>JUVENIL</v>
      </c>
    </row>
    <row r="670" spans="1:10" ht="15" x14ac:dyDescent="0.4">
      <c r="A670" s="13" t="s">
        <v>326</v>
      </c>
      <c r="B670" s="2" t="s">
        <v>327</v>
      </c>
      <c r="C670" s="4" t="s">
        <v>8</v>
      </c>
      <c r="D670" s="11">
        <v>39907</v>
      </c>
      <c r="E670" s="7" t="s">
        <v>328</v>
      </c>
      <c r="F670" s="4" t="s">
        <v>4748</v>
      </c>
      <c r="G670" s="12" t="str">
        <f>IF(AND(Tabela1[[#This Row],[Data nascimento]]&gt;=$J$2,Tabela1[[#This Row],[Data nascimento]]&lt;=$I$2),"INFANTIL A",H670)</f>
        <v>JUVENIL</v>
      </c>
      <c r="H670" s="3" t="str">
        <f>IF(AND(Tabela1[[#This Row],[Data nascimento]]&gt;=$L$2,Tabela1[[#This Row],[Data nascimento]]&lt;=$K$2),"INFANTIL B",I670)</f>
        <v>JUVENIL</v>
      </c>
      <c r="I670" s="9" t="str">
        <f>IF(AND(Tabela1[[#This Row],[Data nascimento]]&gt;=$N$2,Tabela1[[#This Row],[Data nascimento]]&lt;=$M$2),"INICIADO",J670)</f>
        <v>JUVENIL</v>
      </c>
      <c r="J670" s="9" t="str">
        <f>IF(AND(Tabela1[[#This Row],[Data nascimento]]&gt;=$P$2,Tabela1[[#This Row],[Data nascimento]]&lt;=$O$2),"JUVENIL","JÚNIOR")</f>
        <v>JUVENIL</v>
      </c>
    </row>
    <row r="671" spans="1:10" ht="15" x14ac:dyDescent="0.4">
      <c r="A671" s="13" t="s">
        <v>329</v>
      </c>
      <c r="B671" s="2" t="s">
        <v>330</v>
      </c>
      <c r="C671" s="4" t="s">
        <v>21</v>
      </c>
      <c r="D671" s="11">
        <v>39665</v>
      </c>
      <c r="E671" s="7" t="s">
        <v>331</v>
      </c>
      <c r="F671" s="4" t="s">
        <v>4748</v>
      </c>
      <c r="G671" s="12" t="str">
        <f>IF(AND(Tabela1[[#This Row],[Data nascimento]]&gt;=$J$2,Tabela1[[#This Row],[Data nascimento]]&lt;=$I$2),"INFANTIL A",H671)</f>
        <v>JUVENIL</v>
      </c>
      <c r="H671" s="3" t="str">
        <f>IF(AND(Tabela1[[#This Row],[Data nascimento]]&gt;=$L$2,Tabela1[[#This Row],[Data nascimento]]&lt;=$K$2),"INFANTIL B",I671)</f>
        <v>JUVENIL</v>
      </c>
      <c r="I671" s="9" t="str">
        <f>IF(AND(Tabela1[[#This Row],[Data nascimento]]&gt;=$N$2,Tabela1[[#This Row],[Data nascimento]]&lt;=$M$2),"INICIADO",J671)</f>
        <v>JUVENIL</v>
      </c>
      <c r="J671" s="9" t="str">
        <f>IF(AND(Tabela1[[#This Row],[Data nascimento]]&gt;=$P$2,Tabela1[[#This Row],[Data nascimento]]&lt;=$O$2),"JUVENIL","JÚNIOR")</f>
        <v>JUVENIL</v>
      </c>
    </row>
    <row r="672" spans="1:10" ht="15" x14ac:dyDescent="0.4">
      <c r="A672" s="13" t="s">
        <v>332</v>
      </c>
      <c r="B672" s="2" t="s">
        <v>333</v>
      </c>
      <c r="C672" s="4" t="s">
        <v>21</v>
      </c>
      <c r="D672" s="11">
        <v>39734</v>
      </c>
      <c r="E672" s="7" t="s">
        <v>334</v>
      </c>
      <c r="F672" s="4" t="s">
        <v>4748</v>
      </c>
      <c r="G672" s="12" t="str">
        <f>IF(AND(Tabela1[[#This Row],[Data nascimento]]&gt;=$J$2,Tabela1[[#This Row],[Data nascimento]]&lt;=$I$2),"INFANTIL A",H672)</f>
        <v>JUVENIL</v>
      </c>
      <c r="H672" s="3" t="str">
        <f>IF(AND(Tabela1[[#This Row],[Data nascimento]]&gt;=$L$2,Tabela1[[#This Row],[Data nascimento]]&lt;=$K$2),"INFANTIL B",I672)</f>
        <v>JUVENIL</v>
      </c>
      <c r="I672" s="9" t="str">
        <f>IF(AND(Tabela1[[#This Row],[Data nascimento]]&gt;=$N$2,Tabela1[[#This Row],[Data nascimento]]&lt;=$M$2),"INICIADO",J672)</f>
        <v>JUVENIL</v>
      </c>
      <c r="J672" s="9" t="str">
        <f>IF(AND(Tabela1[[#This Row],[Data nascimento]]&gt;=$P$2,Tabela1[[#This Row],[Data nascimento]]&lt;=$O$2),"JUVENIL","JÚNIOR")</f>
        <v>JUVENIL</v>
      </c>
    </row>
    <row r="673" spans="1:10" ht="15" x14ac:dyDescent="0.4">
      <c r="A673" s="13" t="s">
        <v>335</v>
      </c>
      <c r="B673" s="2" t="s">
        <v>336</v>
      </c>
      <c r="C673" s="4" t="s">
        <v>21</v>
      </c>
      <c r="D673" s="11">
        <v>39917</v>
      </c>
      <c r="E673" s="7" t="s">
        <v>337</v>
      </c>
      <c r="F673" s="4" t="s">
        <v>4748</v>
      </c>
      <c r="G673" s="12" t="str">
        <f>IF(AND(Tabela1[[#This Row],[Data nascimento]]&gt;=$J$2,Tabela1[[#This Row],[Data nascimento]]&lt;=$I$2),"INFANTIL A",H673)</f>
        <v>JUVENIL</v>
      </c>
      <c r="H673" s="3" t="str">
        <f>IF(AND(Tabela1[[#This Row],[Data nascimento]]&gt;=$L$2,Tabela1[[#This Row],[Data nascimento]]&lt;=$K$2),"INFANTIL B",I673)</f>
        <v>JUVENIL</v>
      </c>
      <c r="I673" s="9" t="str">
        <f>IF(AND(Tabela1[[#This Row],[Data nascimento]]&gt;=$N$2,Tabela1[[#This Row],[Data nascimento]]&lt;=$M$2),"INICIADO",J673)</f>
        <v>JUVENIL</v>
      </c>
      <c r="J673" s="9" t="str">
        <f>IF(AND(Tabela1[[#This Row],[Data nascimento]]&gt;=$P$2,Tabela1[[#This Row],[Data nascimento]]&lt;=$O$2),"JUVENIL","JÚNIOR")</f>
        <v>JUVENIL</v>
      </c>
    </row>
    <row r="674" spans="1:10" ht="15" x14ac:dyDescent="0.4">
      <c r="A674" s="13" t="s">
        <v>338</v>
      </c>
      <c r="B674" s="2" t="s">
        <v>339</v>
      </c>
      <c r="C674" s="4" t="s">
        <v>21</v>
      </c>
      <c r="D674" s="11">
        <v>39869</v>
      </c>
      <c r="E674" s="7" t="s">
        <v>340</v>
      </c>
      <c r="F674" s="4" t="s">
        <v>4748</v>
      </c>
      <c r="G674" s="12" t="str">
        <f>IF(AND(Tabela1[[#This Row],[Data nascimento]]&gt;=$J$2,Tabela1[[#This Row],[Data nascimento]]&lt;=$I$2),"INFANTIL A",H674)</f>
        <v>JUVENIL</v>
      </c>
      <c r="H674" s="3" t="str">
        <f>IF(AND(Tabela1[[#This Row],[Data nascimento]]&gt;=$L$2,Tabela1[[#This Row],[Data nascimento]]&lt;=$K$2),"INFANTIL B",I674)</f>
        <v>JUVENIL</v>
      </c>
      <c r="I674" s="9" t="str">
        <f>IF(AND(Tabela1[[#This Row],[Data nascimento]]&gt;=$N$2,Tabela1[[#This Row],[Data nascimento]]&lt;=$M$2),"INICIADO",J674)</f>
        <v>JUVENIL</v>
      </c>
      <c r="J674" s="9" t="str">
        <f>IF(AND(Tabela1[[#This Row],[Data nascimento]]&gt;=$P$2,Tabela1[[#This Row],[Data nascimento]]&lt;=$O$2),"JUVENIL","JÚNIOR")</f>
        <v>JUVENIL</v>
      </c>
    </row>
    <row r="675" spans="1:10" ht="15" x14ac:dyDescent="0.4">
      <c r="A675" s="13" t="s">
        <v>341</v>
      </c>
      <c r="B675" s="2" t="s">
        <v>342</v>
      </c>
      <c r="C675" s="4" t="s">
        <v>21</v>
      </c>
      <c r="D675" s="11">
        <v>40015</v>
      </c>
      <c r="E675" s="7" t="s">
        <v>343</v>
      </c>
      <c r="F675" s="4" t="s">
        <v>4748</v>
      </c>
      <c r="G675" s="12" t="str">
        <f>IF(AND(Tabela1[[#This Row],[Data nascimento]]&gt;=$J$2,Tabela1[[#This Row],[Data nascimento]]&lt;=$I$2),"INFANTIL A",H675)</f>
        <v>JUVENIL</v>
      </c>
      <c r="H675" s="3" t="str">
        <f>IF(AND(Tabela1[[#This Row],[Data nascimento]]&gt;=$L$2,Tabela1[[#This Row],[Data nascimento]]&lt;=$K$2),"INFANTIL B",I675)</f>
        <v>JUVENIL</v>
      </c>
      <c r="I675" s="9" t="str">
        <f>IF(AND(Tabela1[[#This Row],[Data nascimento]]&gt;=$N$2,Tabela1[[#This Row],[Data nascimento]]&lt;=$M$2),"INICIADO",J675)</f>
        <v>JUVENIL</v>
      </c>
      <c r="J675" s="9" t="str">
        <f>IF(AND(Tabela1[[#This Row],[Data nascimento]]&gt;=$P$2,Tabela1[[#This Row],[Data nascimento]]&lt;=$O$2),"JUVENIL","JÚNIOR")</f>
        <v>JUVENIL</v>
      </c>
    </row>
    <row r="676" spans="1:10" ht="15" x14ac:dyDescent="0.4">
      <c r="A676" s="13" t="s">
        <v>344</v>
      </c>
      <c r="B676" s="2" t="s">
        <v>345</v>
      </c>
      <c r="C676" s="4" t="s">
        <v>21</v>
      </c>
      <c r="D676" s="11">
        <v>40053</v>
      </c>
      <c r="E676" s="7" t="s">
        <v>346</v>
      </c>
      <c r="F676" s="4" t="s">
        <v>4748</v>
      </c>
      <c r="G676" s="12" t="str">
        <f>IF(AND(Tabela1[[#This Row],[Data nascimento]]&gt;=$J$2,Tabela1[[#This Row],[Data nascimento]]&lt;=$I$2),"INFANTIL A",H676)</f>
        <v>JUVENIL</v>
      </c>
      <c r="H676" s="3" t="str">
        <f>IF(AND(Tabela1[[#This Row],[Data nascimento]]&gt;=$L$2,Tabela1[[#This Row],[Data nascimento]]&lt;=$K$2),"INFANTIL B",I676)</f>
        <v>JUVENIL</v>
      </c>
      <c r="I676" s="9" t="str">
        <f>IF(AND(Tabela1[[#This Row],[Data nascimento]]&gt;=$N$2,Tabela1[[#This Row],[Data nascimento]]&lt;=$M$2),"INICIADO",J676)</f>
        <v>JUVENIL</v>
      </c>
      <c r="J676" s="9" t="str">
        <f>IF(AND(Tabela1[[#This Row],[Data nascimento]]&gt;=$P$2,Tabela1[[#This Row],[Data nascimento]]&lt;=$O$2),"JUVENIL","JÚNIOR")</f>
        <v>JUVENIL</v>
      </c>
    </row>
    <row r="677" spans="1:10" ht="15" x14ac:dyDescent="0.4">
      <c r="A677" s="13" t="s">
        <v>347</v>
      </c>
      <c r="B677" s="2" t="s">
        <v>348</v>
      </c>
      <c r="C677" s="4" t="s">
        <v>8</v>
      </c>
      <c r="D677" s="11">
        <v>39573</v>
      </c>
      <c r="E677" s="7" t="s">
        <v>349</v>
      </c>
      <c r="F677" s="4" t="s">
        <v>4750</v>
      </c>
      <c r="G677" s="12" t="str">
        <f>IF(AND(Tabela1[[#This Row],[Data nascimento]]&gt;=$J$2,Tabela1[[#This Row],[Data nascimento]]&lt;=$I$2),"INFANTIL A",H677)</f>
        <v>JUVENIL</v>
      </c>
      <c r="H677" s="3" t="str">
        <f>IF(AND(Tabela1[[#This Row],[Data nascimento]]&gt;=$L$2,Tabela1[[#This Row],[Data nascimento]]&lt;=$K$2),"INFANTIL B",I677)</f>
        <v>JUVENIL</v>
      </c>
      <c r="I677" s="9" t="str">
        <f>IF(AND(Tabela1[[#This Row],[Data nascimento]]&gt;=$N$2,Tabela1[[#This Row],[Data nascimento]]&lt;=$M$2),"INICIADO",J677)</f>
        <v>JUVENIL</v>
      </c>
      <c r="J677" s="9" t="str">
        <f>IF(AND(Tabela1[[#This Row],[Data nascimento]]&gt;=$P$2,Tabela1[[#This Row],[Data nascimento]]&lt;=$O$2),"JUVENIL","JÚNIOR")</f>
        <v>JUVENIL</v>
      </c>
    </row>
    <row r="678" spans="1:10" ht="15" x14ac:dyDescent="0.4">
      <c r="A678" s="13" t="s">
        <v>350</v>
      </c>
      <c r="B678" s="2" t="s">
        <v>351</v>
      </c>
      <c r="C678" s="4" t="s">
        <v>8</v>
      </c>
      <c r="D678" s="11">
        <v>39800</v>
      </c>
      <c r="E678" s="7" t="s">
        <v>352</v>
      </c>
      <c r="F678" s="4" t="s">
        <v>4750</v>
      </c>
      <c r="G678" s="12" t="str">
        <f>IF(AND(Tabela1[[#This Row],[Data nascimento]]&gt;=$J$2,Tabela1[[#This Row],[Data nascimento]]&lt;=$I$2),"INFANTIL A",H678)</f>
        <v>JUVENIL</v>
      </c>
      <c r="H678" s="3" t="str">
        <f>IF(AND(Tabela1[[#This Row],[Data nascimento]]&gt;=$L$2,Tabela1[[#This Row],[Data nascimento]]&lt;=$K$2),"INFANTIL B",I678)</f>
        <v>JUVENIL</v>
      </c>
      <c r="I678" s="9" t="str">
        <f>IF(AND(Tabela1[[#This Row],[Data nascimento]]&gt;=$N$2,Tabela1[[#This Row],[Data nascimento]]&lt;=$M$2),"INICIADO",J678)</f>
        <v>JUVENIL</v>
      </c>
      <c r="J678" s="9" t="str">
        <f>IF(AND(Tabela1[[#This Row],[Data nascimento]]&gt;=$P$2,Tabela1[[#This Row],[Data nascimento]]&lt;=$O$2),"JUVENIL","JÚNIOR")</f>
        <v>JUVENIL</v>
      </c>
    </row>
    <row r="679" spans="1:10" ht="15" x14ac:dyDescent="0.4">
      <c r="A679" s="13" t="s">
        <v>353</v>
      </c>
      <c r="B679" s="2" t="s">
        <v>354</v>
      </c>
      <c r="C679" s="4" t="s">
        <v>8</v>
      </c>
      <c r="D679" s="11">
        <v>39640</v>
      </c>
      <c r="E679" s="7" t="s">
        <v>355</v>
      </c>
      <c r="F679" s="4" t="s">
        <v>4750</v>
      </c>
      <c r="G679" s="12" t="str">
        <f>IF(AND(Tabela1[[#This Row],[Data nascimento]]&gt;=$J$2,Tabela1[[#This Row],[Data nascimento]]&lt;=$I$2),"INFANTIL A",H679)</f>
        <v>JUVENIL</v>
      </c>
      <c r="H679" s="3" t="str">
        <f>IF(AND(Tabela1[[#This Row],[Data nascimento]]&gt;=$L$2,Tabela1[[#This Row],[Data nascimento]]&lt;=$K$2),"INFANTIL B",I679)</f>
        <v>JUVENIL</v>
      </c>
      <c r="I679" s="9" t="str">
        <f>IF(AND(Tabela1[[#This Row],[Data nascimento]]&gt;=$N$2,Tabela1[[#This Row],[Data nascimento]]&lt;=$M$2),"INICIADO",J679)</f>
        <v>JUVENIL</v>
      </c>
      <c r="J679" s="9" t="str">
        <f>IF(AND(Tabela1[[#This Row],[Data nascimento]]&gt;=$P$2,Tabela1[[#This Row],[Data nascimento]]&lt;=$O$2),"JUVENIL","JÚNIOR")</f>
        <v>JUVENIL</v>
      </c>
    </row>
    <row r="680" spans="1:10" ht="15" x14ac:dyDescent="0.4">
      <c r="A680" s="13" t="s">
        <v>356</v>
      </c>
      <c r="B680" s="2" t="s">
        <v>357</v>
      </c>
      <c r="C680" s="4" t="s">
        <v>8</v>
      </c>
      <c r="D680" s="11">
        <v>39720</v>
      </c>
      <c r="E680" s="7" t="s">
        <v>358</v>
      </c>
      <c r="F680" s="4" t="s">
        <v>4750</v>
      </c>
      <c r="G680" s="12" t="str">
        <f>IF(AND(Tabela1[[#This Row],[Data nascimento]]&gt;=$J$2,Tabela1[[#This Row],[Data nascimento]]&lt;=$I$2),"INFANTIL A",H680)</f>
        <v>JUVENIL</v>
      </c>
      <c r="H680" s="3" t="str">
        <f>IF(AND(Tabela1[[#This Row],[Data nascimento]]&gt;=$L$2,Tabela1[[#This Row],[Data nascimento]]&lt;=$K$2),"INFANTIL B",I680)</f>
        <v>JUVENIL</v>
      </c>
      <c r="I680" s="9" t="str">
        <f>IF(AND(Tabela1[[#This Row],[Data nascimento]]&gt;=$N$2,Tabela1[[#This Row],[Data nascimento]]&lt;=$M$2),"INICIADO",J680)</f>
        <v>JUVENIL</v>
      </c>
      <c r="J680" s="9" t="str">
        <f>IF(AND(Tabela1[[#This Row],[Data nascimento]]&gt;=$P$2,Tabela1[[#This Row],[Data nascimento]]&lt;=$O$2),"JUVENIL","JÚNIOR")</f>
        <v>JUVENIL</v>
      </c>
    </row>
    <row r="681" spans="1:10" ht="15" x14ac:dyDescent="0.4">
      <c r="A681" s="13" t="s">
        <v>359</v>
      </c>
      <c r="B681" s="2" t="s">
        <v>360</v>
      </c>
      <c r="C681" s="4" t="s">
        <v>21</v>
      </c>
      <c r="D681" s="11">
        <v>39512</v>
      </c>
      <c r="E681" s="7" t="s">
        <v>361</v>
      </c>
      <c r="F681" s="4" t="s">
        <v>4750</v>
      </c>
      <c r="G681" s="12" t="str">
        <f>IF(AND(Tabela1[[#This Row],[Data nascimento]]&gt;=$J$2,Tabela1[[#This Row],[Data nascimento]]&lt;=$I$2),"INFANTIL A",H681)</f>
        <v>JUVENIL</v>
      </c>
      <c r="H681" s="3" t="str">
        <f>IF(AND(Tabela1[[#This Row],[Data nascimento]]&gt;=$L$2,Tabela1[[#This Row],[Data nascimento]]&lt;=$K$2),"INFANTIL B",I681)</f>
        <v>JUVENIL</v>
      </c>
      <c r="I681" s="9" t="str">
        <f>IF(AND(Tabela1[[#This Row],[Data nascimento]]&gt;=$N$2,Tabela1[[#This Row],[Data nascimento]]&lt;=$M$2),"INICIADO",J681)</f>
        <v>JUVENIL</v>
      </c>
      <c r="J681" s="9" t="str">
        <f>IF(AND(Tabela1[[#This Row],[Data nascimento]]&gt;=$P$2,Tabela1[[#This Row],[Data nascimento]]&lt;=$O$2),"JUVENIL","JÚNIOR")</f>
        <v>JUVENIL</v>
      </c>
    </row>
    <row r="682" spans="1:10" ht="15" x14ac:dyDescent="0.4">
      <c r="A682" s="13" t="s">
        <v>362</v>
      </c>
      <c r="B682" s="2" t="s">
        <v>363</v>
      </c>
      <c r="C682" s="4" t="s">
        <v>8</v>
      </c>
      <c r="D682" s="11">
        <v>39713</v>
      </c>
      <c r="E682" s="7" t="s">
        <v>364</v>
      </c>
      <c r="F682" s="4" t="s">
        <v>4750</v>
      </c>
      <c r="G682" s="12" t="str">
        <f>IF(AND(Tabela1[[#This Row],[Data nascimento]]&gt;=$J$2,Tabela1[[#This Row],[Data nascimento]]&lt;=$I$2),"INFANTIL A",H682)</f>
        <v>JUVENIL</v>
      </c>
      <c r="H682" s="3" t="str">
        <f>IF(AND(Tabela1[[#This Row],[Data nascimento]]&gt;=$L$2,Tabela1[[#This Row],[Data nascimento]]&lt;=$K$2),"INFANTIL B",I682)</f>
        <v>JUVENIL</v>
      </c>
      <c r="I682" s="9" t="str">
        <f>IF(AND(Tabela1[[#This Row],[Data nascimento]]&gt;=$N$2,Tabela1[[#This Row],[Data nascimento]]&lt;=$M$2),"INICIADO",J682)</f>
        <v>JUVENIL</v>
      </c>
      <c r="J682" s="9" t="str">
        <f>IF(AND(Tabela1[[#This Row],[Data nascimento]]&gt;=$P$2,Tabela1[[#This Row],[Data nascimento]]&lt;=$O$2),"JUVENIL","JÚNIOR")</f>
        <v>JUVENIL</v>
      </c>
    </row>
    <row r="683" spans="1:10" ht="15" x14ac:dyDescent="0.4">
      <c r="A683" s="13" t="s">
        <v>365</v>
      </c>
      <c r="B683" s="2" t="s">
        <v>366</v>
      </c>
      <c r="C683" s="4" t="s">
        <v>8</v>
      </c>
      <c r="D683" s="11">
        <v>39530</v>
      </c>
      <c r="E683" s="7" t="s">
        <v>367</v>
      </c>
      <c r="F683" s="4" t="s">
        <v>4750</v>
      </c>
      <c r="G683" s="12" t="str">
        <f>IF(AND(Tabela1[[#This Row],[Data nascimento]]&gt;=$J$2,Tabela1[[#This Row],[Data nascimento]]&lt;=$I$2),"INFANTIL A",H683)</f>
        <v>JUVENIL</v>
      </c>
      <c r="H683" s="3" t="str">
        <f>IF(AND(Tabela1[[#This Row],[Data nascimento]]&gt;=$L$2,Tabela1[[#This Row],[Data nascimento]]&lt;=$K$2),"INFANTIL B",I683)</f>
        <v>JUVENIL</v>
      </c>
      <c r="I683" s="9" t="str">
        <f>IF(AND(Tabela1[[#This Row],[Data nascimento]]&gt;=$N$2,Tabela1[[#This Row],[Data nascimento]]&lt;=$M$2),"INICIADO",J683)</f>
        <v>JUVENIL</v>
      </c>
      <c r="J683" s="9" t="str">
        <f>IF(AND(Tabela1[[#This Row],[Data nascimento]]&gt;=$P$2,Tabela1[[#This Row],[Data nascimento]]&lt;=$O$2),"JUVENIL","JÚNIOR")</f>
        <v>JUVENIL</v>
      </c>
    </row>
    <row r="684" spans="1:10" ht="15" x14ac:dyDescent="0.4">
      <c r="A684" s="13" t="s">
        <v>368</v>
      </c>
      <c r="B684" s="2" t="s">
        <v>369</v>
      </c>
      <c r="C684" s="4" t="s">
        <v>8</v>
      </c>
      <c r="D684" s="11">
        <v>39154</v>
      </c>
      <c r="E684" s="7" t="s">
        <v>370</v>
      </c>
      <c r="F684" s="4" t="s">
        <v>4750</v>
      </c>
      <c r="G684" s="12" t="str">
        <f>IF(AND(Tabela1[[#This Row],[Data nascimento]]&gt;=$J$2,Tabela1[[#This Row],[Data nascimento]]&lt;=$I$2),"INFANTIL A",H684)</f>
        <v>JÚNIOR</v>
      </c>
      <c r="H684" s="3" t="str">
        <f>IF(AND(Tabela1[[#This Row],[Data nascimento]]&gt;=$L$2,Tabela1[[#This Row],[Data nascimento]]&lt;=$K$2),"INFANTIL B",I684)</f>
        <v>JÚNIOR</v>
      </c>
      <c r="I684" s="9" t="str">
        <f>IF(AND(Tabela1[[#This Row],[Data nascimento]]&gt;=$N$2,Tabela1[[#This Row],[Data nascimento]]&lt;=$M$2),"INICIADO",J684)</f>
        <v>JÚNIOR</v>
      </c>
      <c r="J684" s="9" t="str">
        <f>IF(AND(Tabela1[[#This Row],[Data nascimento]]&gt;=$P$2,Tabela1[[#This Row],[Data nascimento]]&lt;=$O$2),"JUVENIL","JÚNIOR")</f>
        <v>JÚNIOR</v>
      </c>
    </row>
    <row r="685" spans="1:10" ht="15" x14ac:dyDescent="0.4">
      <c r="A685" s="13" t="s">
        <v>371</v>
      </c>
      <c r="B685" s="2" t="s">
        <v>372</v>
      </c>
      <c r="C685" s="4" t="s">
        <v>8</v>
      </c>
      <c r="D685" s="11">
        <v>40023</v>
      </c>
      <c r="E685" s="7" t="s">
        <v>373</v>
      </c>
      <c r="F685" s="4" t="s">
        <v>4750</v>
      </c>
      <c r="G685" s="12" t="str">
        <f>IF(AND(Tabela1[[#This Row],[Data nascimento]]&gt;=$J$2,Tabela1[[#This Row],[Data nascimento]]&lt;=$I$2),"INFANTIL A",H685)</f>
        <v>JUVENIL</v>
      </c>
      <c r="H685" s="3" t="str">
        <f>IF(AND(Tabela1[[#This Row],[Data nascimento]]&gt;=$L$2,Tabela1[[#This Row],[Data nascimento]]&lt;=$K$2),"INFANTIL B",I685)</f>
        <v>JUVENIL</v>
      </c>
      <c r="I685" s="9" t="str">
        <f>IF(AND(Tabela1[[#This Row],[Data nascimento]]&gt;=$N$2,Tabela1[[#This Row],[Data nascimento]]&lt;=$M$2),"INICIADO",J685)</f>
        <v>JUVENIL</v>
      </c>
      <c r="J685" s="9" t="str">
        <f>IF(AND(Tabela1[[#This Row],[Data nascimento]]&gt;=$P$2,Tabela1[[#This Row],[Data nascimento]]&lt;=$O$2),"JUVENIL","JÚNIOR")</f>
        <v>JUVENIL</v>
      </c>
    </row>
    <row r="686" spans="1:10" ht="15" x14ac:dyDescent="0.4">
      <c r="A686" s="13" t="s">
        <v>374</v>
      </c>
      <c r="B686" s="2" t="s">
        <v>375</v>
      </c>
      <c r="C686" s="4" t="s">
        <v>8</v>
      </c>
      <c r="D686" s="11">
        <v>39969</v>
      </c>
      <c r="E686" s="7" t="s">
        <v>376</v>
      </c>
      <c r="F686" s="4" t="s">
        <v>4750</v>
      </c>
      <c r="G686" s="12" t="str">
        <f>IF(AND(Tabela1[[#This Row],[Data nascimento]]&gt;=$J$2,Tabela1[[#This Row],[Data nascimento]]&lt;=$I$2),"INFANTIL A",H686)</f>
        <v>JUVENIL</v>
      </c>
      <c r="H686" s="3" t="str">
        <f>IF(AND(Tabela1[[#This Row],[Data nascimento]]&gt;=$L$2,Tabela1[[#This Row],[Data nascimento]]&lt;=$K$2),"INFANTIL B",I686)</f>
        <v>JUVENIL</v>
      </c>
      <c r="I686" s="9" t="str">
        <f>IF(AND(Tabela1[[#This Row],[Data nascimento]]&gt;=$N$2,Tabela1[[#This Row],[Data nascimento]]&lt;=$M$2),"INICIADO",J686)</f>
        <v>JUVENIL</v>
      </c>
      <c r="J686" s="9" t="str">
        <f>IF(AND(Tabela1[[#This Row],[Data nascimento]]&gt;=$P$2,Tabela1[[#This Row],[Data nascimento]]&lt;=$O$2),"JUVENIL","JÚNIOR")</f>
        <v>JUVENIL</v>
      </c>
    </row>
    <row r="687" spans="1:10" ht="15" x14ac:dyDescent="0.4">
      <c r="A687" s="13" t="s">
        <v>377</v>
      </c>
      <c r="B687" s="2" t="s">
        <v>378</v>
      </c>
      <c r="C687" s="4" t="s">
        <v>8</v>
      </c>
      <c r="D687" s="11">
        <v>39861</v>
      </c>
      <c r="E687" s="7" t="s">
        <v>379</v>
      </c>
      <c r="F687" s="4" t="s">
        <v>4750</v>
      </c>
      <c r="G687" s="12" t="str">
        <f>IF(AND(Tabela1[[#This Row],[Data nascimento]]&gt;=$J$2,Tabela1[[#This Row],[Data nascimento]]&lt;=$I$2),"INFANTIL A",H687)</f>
        <v>JUVENIL</v>
      </c>
      <c r="H687" s="3" t="str">
        <f>IF(AND(Tabela1[[#This Row],[Data nascimento]]&gt;=$L$2,Tabela1[[#This Row],[Data nascimento]]&lt;=$K$2),"INFANTIL B",I687)</f>
        <v>JUVENIL</v>
      </c>
      <c r="I687" s="9" t="str">
        <f>IF(AND(Tabela1[[#This Row],[Data nascimento]]&gt;=$N$2,Tabela1[[#This Row],[Data nascimento]]&lt;=$M$2),"INICIADO",J687)</f>
        <v>JUVENIL</v>
      </c>
      <c r="J687" s="9" t="str">
        <f>IF(AND(Tabela1[[#This Row],[Data nascimento]]&gt;=$P$2,Tabela1[[#This Row],[Data nascimento]]&lt;=$O$2),"JUVENIL","JÚNIOR")</f>
        <v>JUVENIL</v>
      </c>
    </row>
    <row r="688" spans="1:10" ht="15" x14ac:dyDescent="0.4">
      <c r="A688" s="13" t="s">
        <v>380</v>
      </c>
      <c r="B688" s="2" t="s">
        <v>381</v>
      </c>
      <c r="C688" s="4" t="s">
        <v>8</v>
      </c>
      <c r="D688" s="11">
        <v>39839</v>
      </c>
      <c r="E688" s="7" t="s">
        <v>382</v>
      </c>
      <c r="F688" s="4" t="s">
        <v>4750</v>
      </c>
      <c r="G688" s="12" t="str">
        <f>IF(AND(Tabela1[[#This Row],[Data nascimento]]&gt;=$J$2,Tabela1[[#This Row],[Data nascimento]]&lt;=$I$2),"INFANTIL A",H688)</f>
        <v>JUVENIL</v>
      </c>
      <c r="H688" s="3" t="str">
        <f>IF(AND(Tabela1[[#This Row],[Data nascimento]]&gt;=$L$2,Tabela1[[#This Row],[Data nascimento]]&lt;=$K$2),"INFANTIL B",I688)</f>
        <v>JUVENIL</v>
      </c>
      <c r="I688" s="9" t="str">
        <f>IF(AND(Tabela1[[#This Row],[Data nascimento]]&gt;=$N$2,Tabela1[[#This Row],[Data nascimento]]&lt;=$M$2),"INICIADO",J688)</f>
        <v>JUVENIL</v>
      </c>
      <c r="J688" s="9" t="str">
        <f>IF(AND(Tabela1[[#This Row],[Data nascimento]]&gt;=$P$2,Tabela1[[#This Row],[Data nascimento]]&lt;=$O$2),"JUVENIL","JÚNIOR")</f>
        <v>JUVENIL</v>
      </c>
    </row>
    <row r="689" spans="1:10" ht="15" x14ac:dyDescent="0.4">
      <c r="A689" s="13" t="s">
        <v>383</v>
      </c>
      <c r="B689" s="2" t="s">
        <v>384</v>
      </c>
      <c r="C689" s="4" t="s">
        <v>8</v>
      </c>
      <c r="D689" s="11">
        <v>40010</v>
      </c>
      <c r="E689" s="7" t="s">
        <v>385</v>
      </c>
      <c r="F689" s="4" t="s">
        <v>4750</v>
      </c>
      <c r="G689" s="12" t="str">
        <f>IF(AND(Tabela1[[#This Row],[Data nascimento]]&gt;=$J$2,Tabela1[[#This Row],[Data nascimento]]&lt;=$I$2),"INFANTIL A",H689)</f>
        <v>JUVENIL</v>
      </c>
      <c r="H689" s="3" t="str">
        <f>IF(AND(Tabela1[[#This Row],[Data nascimento]]&gt;=$L$2,Tabela1[[#This Row],[Data nascimento]]&lt;=$K$2),"INFANTIL B",I689)</f>
        <v>JUVENIL</v>
      </c>
      <c r="I689" s="9" t="str">
        <f>IF(AND(Tabela1[[#This Row],[Data nascimento]]&gt;=$N$2,Tabela1[[#This Row],[Data nascimento]]&lt;=$M$2),"INICIADO",J689)</f>
        <v>JUVENIL</v>
      </c>
      <c r="J689" s="9" t="str">
        <f>IF(AND(Tabela1[[#This Row],[Data nascimento]]&gt;=$P$2,Tabela1[[#This Row],[Data nascimento]]&lt;=$O$2),"JUVENIL","JÚNIOR")</f>
        <v>JUVENIL</v>
      </c>
    </row>
    <row r="690" spans="1:10" ht="15" x14ac:dyDescent="0.4">
      <c r="A690" s="13" t="s">
        <v>386</v>
      </c>
      <c r="B690" s="2" t="s">
        <v>387</v>
      </c>
      <c r="C690" s="4" t="s">
        <v>8</v>
      </c>
      <c r="D690" s="11">
        <v>39587</v>
      </c>
      <c r="E690" s="7" t="s">
        <v>388</v>
      </c>
      <c r="F690" s="4" t="s">
        <v>4750</v>
      </c>
      <c r="G690" s="12" t="str">
        <f>IF(AND(Tabela1[[#This Row],[Data nascimento]]&gt;=$J$2,Tabela1[[#This Row],[Data nascimento]]&lt;=$I$2),"INFANTIL A",H690)</f>
        <v>JUVENIL</v>
      </c>
      <c r="H690" s="3" t="str">
        <f>IF(AND(Tabela1[[#This Row],[Data nascimento]]&gt;=$L$2,Tabela1[[#This Row],[Data nascimento]]&lt;=$K$2),"INFANTIL B",I690)</f>
        <v>JUVENIL</v>
      </c>
      <c r="I690" s="9" t="str">
        <f>IF(AND(Tabela1[[#This Row],[Data nascimento]]&gt;=$N$2,Tabela1[[#This Row],[Data nascimento]]&lt;=$M$2),"INICIADO",J690)</f>
        <v>JUVENIL</v>
      </c>
      <c r="J690" s="9" t="str">
        <f>IF(AND(Tabela1[[#This Row],[Data nascimento]]&gt;=$P$2,Tabela1[[#This Row],[Data nascimento]]&lt;=$O$2),"JUVENIL","JÚNIOR")</f>
        <v>JUVENIL</v>
      </c>
    </row>
    <row r="691" spans="1:10" ht="15" x14ac:dyDescent="0.4">
      <c r="A691" s="13" t="s">
        <v>389</v>
      </c>
      <c r="B691" s="2" t="s">
        <v>390</v>
      </c>
      <c r="C691" s="4" t="s">
        <v>8</v>
      </c>
      <c r="D691" s="11">
        <v>39878</v>
      </c>
      <c r="E691" s="7" t="s">
        <v>391</v>
      </c>
      <c r="F691" s="4" t="s">
        <v>4750</v>
      </c>
      <c r="G691" s="12" t="str">
        <f>IF(AND(Tabela1[[#This Row],[Data nascimento]]&gt;=$J$2,Tabela1[[#This Row],[Data nascimento]]&lt;=$I$2),"INFANTIL A",H691)</f>
        <v>JUVENIL</v>
      </c>
      <c r="H691" s="3" t="str">
        <f>IF(AND(Tabela1[[#This Row],[Data nascimento]]&gt;=$L$2,Tabela1[[#This Row],[Data nascimento]]&lt;=$K$2),"INFANTIL B",I691)</f>
        <v>JUVENIL</v>
      </c>
      <c r="I691" s="9" t="str">
        <f>IF(AND(Tabela1[[#This Row],[Data nascimento]]&gt;=$N$2,Tabela1[[#This Row],[Data nascimento]]&lt;=$M$2),"INICIADO",J691)</f>
        <v>JUVENIL</v>
      </c>
      <c r="J691" s="9" t="str">
        <f>IF(AND(Tabela1[[#This Row],[Data nascimento]]&gt;=$P$2,Tabela1[[#This Row],[Data nascimento]]&lt;=$O$2),"JUVENIL","JÚNIOR")</f>
        <v>JUVENIL</v>
      </c>
    </row>
    <row r="692" spans="1:10" ht="15" x14ac:dyDescent="0.4">
      <c r="A692" s="13" t="s">
        <v>392</v>
      </c>
      <c r="B692" s="2" t="s">
        <v>393</v>
      </c>
      <c r="C692" s="4" t="s">
        <v>8</v>
      </c>
      <c r="D692" s="11">
        <v>39688</v>
      </c>
      <c r="E692" s="7" t="s">
        <v>394</v>
      </c>
      <c r="F692" s="4" t="s">
        <v>4750</v>
      </c>
      <c r="G692" s="12" t="str">
        <f>IF(AND(Tabela1[[#This Row],[Data nascimento]]&gt;=$J$2,Tabela1[[#This Row],[Data nascimento]]&lt;=$I$2),"INFANTIL A",H692)</f>
        <v>JUVENIL</v>
      </c>
      <c r="H692" s="3" t="str">
        <f>IF(AND(Tabela1[[#This Row],[Data nascimento]]&gt;=$L$2,Tabela1[[#This Row],[Data nascimento]]&lt;=$K$2),"INFANTIL B",I692)</f>
        <v>JUVENIL</v>
      </c>
      <c r="I692" s="9" t="str">
        <f>IF(AND(Tabela1[[#This Row],[Data nascimento]]&gt;=$N$2,Tabela1[[#This Row],[Data nascimento]]&lt;=$M$2),"INICIADO",J692)</f>
        <v>JUVENIL</v>
      </c>
      <c r="J692" s="9" t="str">
        <f>IF(AND(Tabela1[[#This Row],[Data nascimento]]&gt;=$P$2,Tabela1[[#This Row],[Data nascimento]]&lt;=$O$2),"JUVENIL","JÚNIOR")</f>
        <v>JUVENIL</v>
      </c>
    </row>
    <row r="693" spans="1:10" ht="15" x14ac:dyDescent="0.4">
      <c r="A693" s="13" t="s">
        <v>395</v>
      </c>
      <c r="B693" s="2" t="s">
        <v>396</v>
      </c>
      <c r="C693" s="4" t="s">
        <v>8</v>
      </c>
      <c r="D693" s="11">
        <v>39931</v>
      </c>
      <c r="E693" s="7" t="s">
        <v>397</v>
      </c>
      <c r="F693" s="4" t="s">
        <v>4750</v>
      </c>
      <c r="G693" s="12" t="str">
        <f>IF(AND(Tabela1[[#This Row],[Data nascimento]]&gt;=$J$2,Tabela1[[#This Row],[Data nascimento]]&lt;=$I$2),"INFANTIL A",H693)</f>
        <v>JUVENIL</v>
      </c>
      <c r="H693" s="3" t="str">
        <f>IF(AND(Tabela1[[#This Row],[Data nascimento]]&gt;=$L$2,Tabela1[[#This Row],[Data nascimento]]&lt;=$K$2),"INFANTIL B",I693)</f>
        <v>JUVENIL</v>
      </c>
      <c r="I693" s="9" t="str">
        <f>IF(AND(Tabela1[[#This Row],[Data nascimento]]&gt;=$N$2,Tabela1[[#This Row],[Data nascimento]]&lt;=$M$2),"INICIADO",J693)</f>
        <v>JUVENIL</v>
      </c>
      <c r="J693" s="9" t="str">
        <f>IF(AND(Tabela1[[#This Row],[Data nascimento]]&gt;=$P$2,Tabela1[[#This Row],[Data nascimento]]&lt;=$O$2),"JUVENIL","JÚNIOR")</f>
        <v>JUVENIL</v>
      </c>
    </row>
    <row r="694" spans="1:10" ht="15" x14ac:dyDescent="0.4">
      <c r="A694" s="13" t="s">
        <v>398</v>
      </c>
      <c r="B694" s="2" t="s">
        <v>399</v>
      </c>
      <c r="C694" s="4" t="s">
        <v>8</v>
      </c>
      <c r="D694" s="11">
        <v>40041</v>
      </c>
      <c r="E694" s="7" t="s">
        <v>400</v>
      </c>
      <c r="F694" s="4" t="s">
        <v>4750</v>
      </c>
      <c r="G694" s="12" t="str">
        <f>IF(AND(Tabela1[[#This Row],[Data nascimento]]&gt;=$J$2,Tabela1[[#This Row],[Data nascimento]]&lt;=$I$2),"INFANTIL A",H694)</f>
        <v>JUVENIL</v>
      </c>
      <c r="H694" s="3" t="str">
        <f>IF(AND(Tabela1[[#This Row],[Data nascimento]]&gt;=$L$2,Tabela1[[#This Row],[Data nascimento]]&lt;=$K$2),"INFANTIL B",I694)</f>
        <v>JUVENIL</v>
      </c>
      <c r="I694" s="9" t="str">
        <f>IF(AND(Tabela1[[#This Row],[Data nascimento]]&gt;=$N$2,Tabela1[[#This Row],[Data nascimento]]&lt;=$M$2),"INICIADO",J694)</f>
        <v>JUVENIL</v>
      </c>
      <c r="J694" s="9" t="str">
        <f>IF(AND(Tabela1[[#This Row],[Data nascimento]]&gt;=$P$2,Tabela1[[#This Row],[Data nascimento]]&lt;=$O$2),"JUVENIL","JÚNIOR")</f>
        <v>JUVENIL</v>
      </c>
    </row>
    <row r="695" spans="1:10" ht="15" x14ac:dyDescent="0.4">
      <c r="A695" s="13" t="s">
        <v>401</v>
      </c>
      <c r="B695" s="2" t="s">
        <v>402</v>
      </c>
      <c r="C695" s="4" t="s">
        <v>8</v>
      </c>
      <c r="D695" s="11">
        <v>38996</v>
      </c>
      <c r="E695" s="7" t="s">
        <v>403</v>
      </c>
      <c r="F695" s="4" t="s">
        <v>4750</v>
      </c>
      <c r="G695" s="12" t="str">
        <f>IF(AND(Tabela1[[#This Row],[Data nascimento]]&gt;=$J$2,Tabela1[[#This Row],[Data nascimento]]&lt;=$I$2),"INFANTIL A",H695)</f>
        <v>JÚNIOR</v>
      </c>
      <c r="H695" s="3" t="str">
        <f>IF(AND(Tabela1[[#This Row],[Data nascimento]]&gt;=$L$2,Tabela1[[#This Row],[Data nascimento]]&lt;=$K$2),"INFANTIL B",I695)</f>
        <v>JÚNIOR</v>
      </c>
      <c r="I695" s="9" t="str">
        <f>IF(AND(Tabela1[[#This Row],[Data nascimento]]&gt;=$N$2,Tabela1[[#This Row],[Data nascimento]]&lt;=$M$2),"INICIADO",J695)</f>
        <v>JÚNIOR</v>
      </c>
      <c r="J695" s="9" t="str">
        <f>IF(AND(Tabela1[[#This Row],[Data nascimento]]&gt;=$P$2,Tabela1[[#This Row],[Data nascimento]]&lt;=$O$2),"JUVENIL","JÚNIOR")</f>
        <v>JÚNIOR</v>
      </c>
    </row>
    <row r="696" spans="1:10" ht="15" x14ac:dyDescent="0.4">
      <c r="A696" s="13" t="s">
        <v>404</v>
      </c>
      <c r="B696" s="2" t="s">
        <v>405</v>
      </c>
      <c r="C696" s="4" t="s">
        <v>8</v>
      </c>
      <c r="D696" s="11">
        <v>40008</v>
      </c>
      <c r="E696" s="7" t="s">
        <v>406</v>
      </c>
      <c r="F696" s="4" t="s">
        <v>4751</v>
      </c>
      <c r="G696" s="12" t="str">
        <f>IF(AND(Tabela1[[#This Row],[Data nascimento]]&gt;=$J$2,Tabela1[[#This Row],[Data nascimento]]&lt;=$I$2),"INFANTIL A",H696)</f>
        <v>JUVENIL</v>
      </c>
      <c r="H696" s="3" t="str">
        <f>IF(AND(Tabela1[[#This Row],[Data nascimento]]&gt;=$L$2,Tabela1[[#This Row],[Data nascimento]]&lt;=$K$2),"INFANTIL B",I696)</f>
        <v>JUVENIL</v>
      </c>
      <c r="I696" s="9" t="str">
        <f>IF(AND(Tabela1[[#This Row],[Data nascimento]]&gt;=$N$2,Tabela1[[#This Row],[Data nascimento]]&lt;=$M$2),"INICIADO",J696)</f>
        <v>JUVENIL</v>
      </c>
      <c r="J696" s="9" t="str">
        <f>IF(AND(Tabela1[[#This Row],[Data nascimento]]&gt;=$P$2,Tabela1[[#This Row],[Data nascimento]]&lt;=$O$2),"JUVENIL","JÚNIOR")</f>
        <v>JUVENIL</v>
      </c>
    </row>
    <row r="697" spans="1:10" ht="15" x14ac:dyDescent="0.4">
      <c r="A697" s="13" t="s">
        <v>407</v>
      </c>
      <c r="B697" s="2" t="s">
        <v>408</v>
      </c>
      <c r="C697" s="4" t="s">
        <v>8</v>
      </c>
      <c r="D697" s="11">
        <v>39860</v>
      </c>
      <c r="E697" s="7" t="s">
        <v>409</v>
      </c>
      <c r="F697" s="4" t="s">
        <v>4751</v>
      </c>
      <c r="G697" s="12" t="str">
        <f>IF(AND(Tabela1[[#This Row],[Data nascimento]]&gt;=$J$2,Tabela1[[#This Row],[Data nascimento]]&lt;=$I$2),"INFANTIL A",H697)</f>
        <v>JUVENIL</v>
      </c>
      <c r="H697" s="3" t="str">
        <f>IF(AND(Tabela1[[#This Row],[Data nascimento]]&gt;=$L$2,Tabela1[[#This Row],[Data nascimento]]&lt;=$K$2),"INFANTIL B",I697)</f>
        <v>JUVENIL</v>
      </c>
      <c r="I697" s="9" t="str">
        <f>IF(AND(Tabela1[[#This Row],[Data nascimento]]&gt;=$N$2,Tabela1[[#This Row],[Data nascimento]]&lt;=$M$2),"INICIADO",J697)</f>
        <v>JUVENIL</v>
      </c>
      <c r="J697" s="9" t="str">
        <f>IF(AND(Tabela1[[#This Row],[Data nascimento]]&gt;=$P$2,Tabela1[[#This Row],[Data nascimento]]&lt;=$O$2),"JUVENIL","JÚNIOR")</f>
        <v>JUVENIL</v>
      </c>
    </row>
    <row r="698" spans="1:10" ht="15" x14ac:dyDescent="0.4">
      <c r="A698" s="13" t="s">
        <v>410</v>
      </c>
      <c r="B698" s="2" t="s">
        <v>411</v>
      </c>
      <c r="C698" s="4" t="s">
        <v>8</v>
      </c>
      <c r="D698" s="11">
        <v>40068</v>
      </c>
      <c r="E698" s="7" t="s">
        <v>412</v>
      </c>
      <c r="F698" s="4" t="s">
        <v>4751</v>
      </c>
      <c r="G698" s="12" t="str">
        <f>IF(AND(Tabela1[[#This Row],[Data nascimento]]&gt;=$J$2,Tabela1[[#This Row],[Data nascimento]]&lt;=$I$2),"INFANTIL A",H698)</f>
        <v>JUVENIL</v>
      </c>
      <c r="H698" s="3" t="str">
        <f>IF(AND(Tabela1[[#This Row],[Data nascimento]]&gt;=$L$2,Tabela1[[#This Row],[Data nascimento]]&lt;=$K$2),"INFANTIL B",I698)</f>
        <v>JUVENIL</v>
      </c>
      <c r="I698" s="9" t="str">
        <f>IF(AND(Tabela1[[#This Row],[Data nascimento]]&gt;=$N$2,Tabela1[[#This Row],[Data nascimento]]&lt;=$M$2),"INICIADO",J698)</f>
        <v>JUVENIL</v>
      </c>
      <c r="J698" s="9" t="str">
        <f>IF(AND(Tabela1[[#This Row],[Data nascimento]]&gt;=$P$2,Tabela1[[#This Row],[Data nascimento]]&lt;=$O$2),"JUVENIL","JÚNIOR")</f>
        <v>JUVENIL</v>
      </c>
    </row>
    <row r="699" spans="1:10" ht="15" x14ac:dyDescent="0.4">
      <c r="A699" s="13" t="s">
        <v>413</v>
      </c>
      <c r="B699" s="2" t="s">
        <v>414</v>
      </c>
      <c r="C699" s="4" t="s">
        <v>8</v>
      </c>
      <c r="D699" s="11">
        <v>39979</v>
      </c>
      <c r="E699" s="7" t="s">
        <v>415</v>
      </c>
      <c r="F699" s="4" t="s">
        <v>4751</v>
      </c>
      <c r="G699" s="12" t="str">
        <f>IF(AND(Tabela1[[#This Row],[Data nascimento]]&gt;=$J$2,Tabela1[[#This Row],[Data nascimento]]&lt;=$I$2),"INFANTIL A",H699)</f>
        <v>JUVENIL</v>
      </c>
      <c r="H699" s="3" t="str">
        <f>IF(AND(Tabela1[[#This Row],[Data nascimento]]&gt;=$L$2,Tabela1[[#This Row],[Data nascimento]]&lt;=$K$2),"INFANTIL B",I699)</f>
        <v>JUVENIL</v>
      </c>
      <c r="I699" s="9" t="str">
        <f>IF(AND(Tabela1[[#This Row],[Data nascimento]]&gt;=$N$2,Tabela1[[#This Row],[Data nascimento]]&lt;=$M$2),"INICIADO",J699)</f>
        <v>JUVENIL</v>
      </c>
      <c r="J699" s="9" t="str">
        <f>IF(AND(Tabela1[[#This Row],[Data nascimento]]&gt;=$P$2,Tabela1[[#This Row],[Data nascimento]]&lt;=$O$2),"JUVENIL","JÚNIOR")</f>
        <v>JUVENIL</v>
      </c>
    </row>
    <row r="700" spans="1:10" ht="15" x14ac:dyDescent="0.4">
      <c r="A700" s="13" t="s">
        <v>416</v>
      </c>
      <c r="B700" s="2" t="s">
        <v>417</v>
      </c>
      <c r="C700" s="4" t="s">
        <v>8</v>
      </c>
      <c r="D700" s="11">
        <v>40013</v>
      </c>
      <c r="E700" s="7" t="s">
        <v>418</v>
      </c>
      <c r="F700" s="4" t="s">
        <v>4751</v>
      </c>
      <c r="G700" s="12" t="str">
        <f>IF(AND(Tabela1[[#This Row],[Data nascimento]]&gt;=$J$2,Tabela1[[#This Row],[Data nascimento]]&lt;=$I$2),"INFANTIL A",H700)</f>
        <v>JUVENIL</v>
      </c>
      <c r="H700" s="3" t="str">
        <f>IF(AND(Tabela1[[#This Row],[Data nascimento]]&gt;=$L$2,Tabela1[[#This Row],[Data nascimento]]&lt;=$K$2),"INFANTIL B",I700)</f>
        <v>JUVENIL</v>
      </c>
      <c r="I700" s="9" t="str">
        <f>IF(AND(Tabela1[[#This Row],[Data nascimento]]&gt;=$N$2,Tabela1[[#This Row],[Data nascimento]]&lt;=$M$2),"INICIADO",J700)</f>
        <v>JUVENIL</v>
      </c>
      <c r="J700" s="9" t="str">
        <f>IF(AND(Tabela1[[#This Row],[Data nascimento]]&gt;=$P$2,Tabela1[[#This Row],[Data nascimento]]&lt;=$O$2),"JUVENIL","JÚNIOR")</f>
        <v>JUVENIL</v>
      </c>
    </row>
    <row r="701" spans="1:10" ht="15" x14ac:dyDescent="0.4">
      <c r="A701" s="13" t="s">
        <v>419</v>
      </c>
      <c r="B701" s="2" t="s">
        <v>420</v>
      </c>
      <c r="C701" s="4" t="s">
        <v>8</v>
      </c>
      <c r="D701" s="11">
        <v>39459</v>
      </c>
      <c r="E701" s="7" t="s">
        <v>421</v>
      </c>
      <c r="F701" s="4" t="s">
        <v>4751</v>
      </c>
      <c r="G701" s="12" t="str">
        <f>IF(AND(Tabela1[[#This Row],[Data nascimento]]&gt;=$J$2,Tabela1[[#This Row],[Data nascimento]]&lt;=$I$2),"INFANTIL A",H701)</f>
        <v>JUVENIL</v>
      </c>
      <c r="H701" s="3" t="str">
        <f>IF(AND(Tabela1[[#This Row],[Data nascimento]]&gt;=$L$2,Tabela1[[#This Row],[Data nascimento]]&lt;=$K$2),"INFANTIL B",I701)</f>
        <v>JUVENIL</v>
      </c>
      <c r="I701" s="9" t="str">
        <f>IF(AND(Tabela1[[#This Row],[Data nascimento]]&gt;=$N$2,Tabela1[[#This Row],[Data nascimento]]&lt;=$M$2),"INICIADO",J701)</f>
        <v>JUVENIL</v>
      </c>
      <c r="J701" s="9" t="str">
        <f>IF(AND(Tabela1[[#This Row],[Data nascimento]]&gt;=$P$2,Tabela1[[#This Row],[Data nascimento]]&lt;=$O$2),"JUVENIL","JÚNIOR")</f>
        <v>JUVENIL</v>
      </c>
    </row>
    <row r="702" spans="1:10" ht="15" x14ac:dyDescent="0.4">
      <c r="A702" s="13" t="s">
        <v>422</v>
      </c>
      <c r="B702" s="2" t="s">
        <v>423</v>
      </c>
      <c r="C702" s="4" t="s">
        <v>8</v>
      </c>
      <c r="D702" s="11">
        <v>39928</v>
      </c>
      <c r="E702" s="7" t="s">
        <v>424</v>
      </c>
      <c r="F702" s="4" t="s">
        <v>4751</v>
      </c>
      <c r="G702" s="12" t="str">
        <f>IF(AND(Tabela1[[#This Row],[Data nascimento]]&gt;=$J$2,Tabela1[[#This Row],[Data nascimento]]&lt;=$I$2),"INFANTIL A",H702)</f>
        <v>JUVENIL</v>
      </c>
      <c r="H702" s="3" t="str">
        <f>IF(AND(Tabela1[[#This Row],[Data nascimento]]&gt;=$L$2,Tabela1[[#This Row],[Data nascimento]]&lt;=$K$2),"INFANTIL B",I702)</f>
        <v>JUVENIL</v>
      </c>
      <c r="I702" s="9" t="str">
        <f>IF(AND(Tabela1[[#This Row],[Data nascimento]]&gt;=$N$2,Tabela1[[#This Row],[Data nascimento]]&lt;=$M$2),"INICIADO",J702)</f>
        <v>JUVENIL</v>
      </c>
      <c r="J702" s="9" t="str">
        <f>IF(AND(Tabela1[[#This Row],[Data nascimento]]&gt;=$P$2,Tabela1[[#This Row],[Data nascimento]]&lt;=$O$2),"JUVENIL","JÚNIOR")</f>
        <v>JUVENIL</v>
      </c>
    </row>
    <row r="703" spans="1:10" ht="15" x14ac:dyDescent="0.4">
      <c r="A703" s="13" t="s">
        <v>425</v>
      </c>
      <c r="B703" s="2" t="s">
        <v>426</v>
      </c>
      <c r="C703" s="4" t="s">
        <v>8</v>
      </c>
      <c r="D703" s="11">
        <v>39985</v>
      </c>
      <c r="E703" s="7" t="s">
        <v>427</v>
      </c>
      <c r="F703" s="4" t="s">
        <v>4751</v>
      </c>
      <c r="G703" s="12" t="str">
        <f>IF(AND(Tabela1[[#This Row],[Data nascimento]]&gt;=$J$2,Tabela1[[#This Row],[Data nascimento]]&lt;=$I$2),"INFANTIL A",H703)</f>
        <v>JUVENIL</v>
      </c>
      <c r="H703" s="3" t="str">
        <f>IF(AND(Tabela1[[#This Row],[Data nascimento]]&gt;=$L$2,Tabela1[[#This Row],[Data nascimento]]&lt;=$K$2),"INFANTIL B",I703)</f>
        <v>JUVENIL</v>
      </c>
      <c r="I703" s="9" t="str">
        <f>IF(AND(Tabela1[[#This Row],[Data nascimento]]&gt;=$N$2,Tabela1[[#This Row],[Data nascimento]]&lt;=$M$2),"INICIADO",J703)</f>
        <v>JUVENIL</v>
      </c>
      <c r="J703" s="9" t="str">
        <f>IF(AND(Tabela1[[#This Row],[Data nascimento]]&gt;=$P$2,Tabela1[[#This Row],[Data nascimento]]&lt;=$O$2),"JUVENIL","JÚNIOR")</f>
        <v>JUVENIL</v>
      </c>
    </row>
    <row r="704" spans="1:10" ht="15" x14ac:dyDescent="0.4">
      <c r="A704" s="13" t="s">
        <v>428</v>
      </c>
      <c r="B704" s="2" t="s">
        <v>429</v>
      </c>
      <c r="C704" s="4" t="s">
        <v>8</v>
      </c>
      <c r="D704" s="11">
        <v>40158</v>
      </c>
      <c r="E704" s="7" t="s">
        <v>430</v>
      </c>
      <c r="F704" s="4" t="s">
        <v>4751</v>
      </c>
      <c r="G704" s="12" t="str">
        <f>IF(AND(Tabela1[[#This Row],[Data nascimento]]&gt;=$J$2,Tabela1[[#This Row],[Data nascimento]]&lt;=$I$2),"INFANTIL A",H704)</f>
        <v>JUVENIL</v>
      </c>
      <c r="H704" s="3" t="str">
        <f>IF(AND(Tabela1[[#This Row],[Data nascimento]]&gt;=$L$2,Tabela1[[#This Row],[Data nascimento]]&lt;=$K$2),"INFANTIL B",I704)</f>
        <v>JUVENIL</v>
      </c>
      <c r="I704" s="9" t="str">
        <f>IF(AND(Tabela1[[#This Row],[Data nascimento]]&gt;=$N$2,Tabela1[[#This Row],[Data nascimento]]&lt;=$M$2),"INICIADO",J704)</f>
        <v>JUVENIL</v>
      </c>
      <c r="J704" s="9" t="str">
        <f>IF(AND(Tabela1[[#This Row],[Data nascimento]]&gt;=$P$2,Tabela1[[#This Row],[Data nascimento]]&lt;=$O$2),"JUVENIL","JÚNIOR")</f>
        <v>JUVENIL</v>
      </c>
    </row>
    <row r="705" spans="1:10" ht="15" x14ac:dyDescent="0.4">
      <c r="A705" s="13" t="s">
        <v>431</v>
      </c>
      <c r="B705" s="2" t="s">
        <v>432</v>
      </c>
      <c r="C705" s="4" t="s">
        <v>8</v>
      </c>
      <c r="D705" s="11">
        <v>39936</v>
      </c>
      <c r="E705" s="7" t="s">
        <v>433</v>
      </c>
      <c r="F705" s="4" t="s">
        <v>4751</v>
      </c>
      <c r="G705" s="12" t="str">
        <f>IF(AND(Tabela1[[#This Row],[Data nascimento]]&gt;=$J$2,Tabela1[[#This Row],[Data nascimento]]&lt;=$I$2),"INFANTIL A",H705)</f>
        <v>JUVENIL</v>
      </c>
      <c r="H705" s="3" t="str">
        <f>IF(AND(Tabela1[[#This Row],[Data nascimento]]&gt;=$L$2,Tabela1[[#This Row],[Data nascimento]]&lt;=$K$2),"INFANTIL B",I705)</f>
        <v>JUVENIL</v>
      </c>
      <c r="I705" s="9" t="str">
        <f>IF(AND(Tabela1[[#This Row],[Data nascimento]]&gt;=$N$2,Tabela1[[#This Row],[Data nascimento]]&lt;=$M$2),"INICIADO",J705)</f>
        <v>JUVENIL</v>
      </c>
      <c r="J705" s="9" t="str">
        <f>IF(AND(Tabela1[[#This Row],[Data nascimento]]&gt;=$P$2,Tabela1[[#This Row],[Data nascimento]]&lt;=$O$2),"JUVENIL","JÚNIOR")</f>
        <v>JUVENIL</v>
      </c>
    </row>
    <row r="706" spans="1:10" ht="15" x14ac:dyDescent="0.4">
      <c r="A706" s="13" t="s">
        <v>434</v>
      </c>
      <c r="B706" s="2" t="s">
        <v>435</v>
      </c>
      <c r="C706" s="4" t="s">
        <v>8</v>
      </c>
      <c r="D706" s="11">
        <v>39891</v>
      </c>
      <c r="E706" s="7" t="s">
        <v>436</v>
      </c>
      <c r="F706" s="4" t="s">
        <v>4751</v>
      </c>
      <c r="G706" s="12" t="str">
        <f>IF(AND(Tabela1[[#This Row],[Data nascimento]]&gt;=$J$2,Tabela1[[#This Row],[Data nascimento]]&lt;=$I$2),"INFANTIL A",H706)</f>
        <v>JUVENIL</v>
      </c>
      <c r="H706" s="3" t="str">
        <f>IF(AND(Tabela1[[#This Row],[Data nascimento]]&gt;=$L$2,Tabela1[[#This Row],[Data nascimento]]&lt;=$K$2),"INFANTIL B",I706)</f>
        <v>JUVENIL</v>
      </c>
      <c r="I706" s="9" t="str">
        <f>IF(AND(Tabela1[[#This Row],[Data nascimento]]&gt;=$N$2,Tabela1[[#This Row],[Data nascimento]]&lt;=$M$2),"INICIADO",J706)</f>
        <v>JUVENIL</v>
      </c>
      <c r="J706" s="9" t="str">
        <f>IF(AND(Tabela1[[#This Row],[Data nascimento]]&gt;=$P$2,Tabela1[[#This Row],[Data nascimento]]&lt;=$O$2),"JUVENIL","JÚNIOR")</f>
        <v>JUVENIL</v>
      </c>
    </row>
    <row r="707" spans="1:10" ht="15" x14ac:dyDescent="0.4">
      <c r="A707" s="13" t="s">
        <v>437</v>
      </c>
      <c r="B707" s="2" t="s">
        <v>438</v>
      </c>
      <c r="C707" s="4" t="s">
        <v>8</v>
      </c>
      <c r="D707" s="11">
        <v>40055</v>
      </c>
      <c r="E707" s="7" t="s">
        <v>439</v>
      </c>
      <c r="F707" s="4" t="s">
        <v>4751</v>
      </c>
      <c r="G707" s="12" t="str">
        <f>IF(AND(Tabela1[[#This Row],[Data nascimento]]&gt;=$J$2,Tabela1[[#This Row],[Data nascimento]]&lt;=$I$2),"INFANTIL A",H707)</f>
        <v>JUVENIL</v>
      </c>
      <c r="H707" s="3" t="str">
        <f>IF(AND(Tabela1[[#This Row],[Data nascimento]]&gt;=$L$2,Tabela1[[#This Row],[Data nascimento]]&lt;=$K$2),"INFANTIL B",I707)</f>
        <v>JUVENIL</v>
      </c>
      <c r="I707" s="9" t="str">
        <f>IF(AND(Tabela1[[#This Row],[Data nascimento]]&gt;=$N$2,Tabela1[[#This Row],[Data nascimento]]&lt;=$M$2),"INICIADO",J707)</f>
        <v>JUVENIL</v>
      </c>
      <c r="J707" s="9" t="str">
        <f>IF(AND(Tabela1[[#This Row],[Data nascimento]]&gt;=$P$2,Tabela1[[#This Row],[Data nascimento]]&lt;=$O$2),"JUVENIL","JÚNIOR")</f>
        <v>JUVENIL</v>
      </c>
    </row>
    <row r="708" spans="1:10" ht="15" x14ac:dyDescent="0.4">
      <c r="A708" s="13" t="s">
        <v>440</v>
      </c>
      <c r="B708" s="2" t="s">
        <v>441</v>
      </c>
      <c r="C708" s="4" t="s">
        <v>8</v>
      </c>
      <c r="D708" s="11">
        <v>40031</v>
      </c>
      <c r="E708" s="7" t="s">
        <v>442</v>
      </c>
      <c r="F708" s="4" t="s">
        <v>4751</v>
      </c>
      <c r="G708" s="12" t="str">
        <f>IF(AND(Tabela1[[#This Row],[Data nascimento]]&gt;=$J$2,Tabela1[[#This Row],[Data nascimento]]&lt;=$I$2),"INFANTIL A",H708)</f>
        <v>JUVENIL</v>
      </c>
      <c r="H708" s="3" t="str">
        <f>IF(AND(Tabela1[[#This Row],[Data nascimento]]&gt;=$L$2,Tabela1[[#This Row],[Data nascimento]]&lt;=$K$2),"INFANTIL B",I708)</f>
        <v>JUVENIL</v>
      </c>
      <c r="I708" s="9" t="str">
        <f>IF(AND(Tabela1[[#This Row],[Data nascimento]]&gt;=$N$2,Tabela1[[#This Row],[Data nascimento]]&lt;=$M$2),"INICIADO",J708)</f>
        <v>JUVENIL</v>
      </c>
      <c r="J708" s="9" t="str">
        <f>IF(AND(Tabela1[[#This Row],[Data nascimento]]&gt;=$P$2,Tabela1[[#This Row],[Data nascimento]]&lt;=$O$2),"JUVENIL","JÚNIOR")</f>
        <v>JUVENIL</v>
      </c>
    </row>
    <row r="709" spans="1:10" ht="15" x14ac:dyDescent="0.4">
      <c r="A709" s="13" t="s">
        <v>443</v>
      </c>
      <c r="B709" s="2" t="s">
        <v>444</v>
      </c>
      <c r="C709" s="4" t="s">
        <v>8</v>
      </c>
      <c r="D709" s="11">
        <v>39707</v>
      </c>
      <c r="E709" s="7" t="s">
        <v>445</v>
      </c>
      <c r="F709" s="4" t="s">
        <v>4751</v>
      </c>
      <c r="G709" s="12" t="str">
        <f>IF(AND(Tabela1[[#This Row],[Data nascimento]]&gt;=$J$2,Tabela1[[#This Row],[Data nascimento]]&lt;=$I$2),"INFANTIL A",H709)</f>
        <v>JUVENIL</v>
      </c>
      <c r="H709" s="3" t="str">
        <f>IF(AND(Tabela1[[#This Row],[Data nascimento]]&gt;=$L$2,Tabela1[[#This Row],[Data nascimento]]&lt;=$K$2),"INFANTIL B",I709)</f>
        <v>JUVENIL</v>
      </c>
      <c r="I709" s="9" t="str">
        <f>IF(AND(Tabela1[[#This Row],[Data nascimento]]&gt;=$N$2,Tabela1[[#This Row],[Data nascimento]]&lt;=$M$2),"INICIADO",J709)</f>
        <v>JUVENIL</v>
      </c>
      <c r="J709" s="9" t="str">
        <f>IF(AND(Tabela1[[#This Row],[Data nascimento]]&gt;=$P$2,Tabela1[[#This Row],[Data nascimento]]&lt;=$O$2),"JUVENIL","JÚNIOR")</f>
        <v>JUVENIL</v>
      </c>
    </row>
    <row r="710" spans="1:10" ht="15" x14ac:dyDescent="0.4">
      <c r="A710" s="13" t="s">
        <v>446</v>
      </c>
      <c r="B710" s="2" t="s">
        <v>447</v>
      </c>
      <c r="C710" s="4" t="s">
        <v>8</v>
      </c>
      <c r="D710" s="11">
        <v>40040</v>
      </c>
      <c r="E710" s="7" t="s">
        <v>448</v>
      </c>
      <c r="F710" s="4" t="s">
        <v>4751</v>
      </c>
      <c r="G710" s="12" t="str">
        <f>IF(AND(Tabela1[[#This Row],[Data nascimento]]&gt;=$J$2,Tabela1[[#This Row],[Data nascimento]]&lt;=$I$2),"INFANTIL A",H710)</f>
        <v>JUVENIL</v>
      </c>
      <c r="H710" s="3" t="str">
        <f>IF(AND(Tabela1[[#This Row],[Data nascimento]]&gt;=$L$2,Tabela1[[#This Row],[Data nascimento]]&lt;=$K$2),"INFANTIL B",I710)</f>
        <v>JUVENIL</v>
      </c>
      <c r="I710" s="9" t="str">
        <f>IF(AND(Tabela1[[#This Row],[Data nascimento]]&gt;=$N$2,Tabela1[[#This Row],[Data nascimento]]&lt;=$M$2),"INICIADO",J710)</f>
        <v>JUVENIL</v>
      </c>
      <c r="J710" s="9" t="str">
        <f>IF(AND(Tabela1[[#This Row],[Data nascimento]]&gt;=$P$2,Tabela1[[#This Row],[Data nascimento]]&lt;=$O$2),"JUVENIL","JÚNIOR")</f>
        <v>JUVENIL</v>
      </c>
    </row>
    <row r="711" spans="1:10" ht="15" x14ac:dyDescent="0.4">
      <c r="A711" s="13" t="s">
        <v>449</v>
      </c>
      <c r="B711" s="2" t="s">
        <v>450</v>
      </c>
      <c r="C711" s="4" t="s">
        <v>8</v>
      </c>
      <c r="D711" s="11">
        <v>39471</v>
      </c>
      <c r="E711" s="7" t="s">
        <v>451</v>
      </c>
      <c r="F711" s="4" t="s">
        <v>4751</v>
      </c>
      <c r="G711" s="12" t="str">
        <f>IF(AND(Tabela1[[#This Row],[Data nascimento]]&gt;=$J$2,Tabela1[[#This Row],[Data nascimento]]&lt;=$I$2),"INFANTIL A",H711)</f>
        <v>JUVENIL</v>
      </c>
      <c r="H711" s="3" t="str">
        <f>IF(AND(Tabela1[[#This Row],[Data nascimento]]&gt;=$L$2,Tabela1[[#This Row],[Data nascimento]]&lt;=$K$2),"INFANTIL B",I711)</f>
        <v>JUVENIL</v>
      </c>
      <c r="I711" s="9" t="str">
        <f>IF(AND(Tabela1[[#This Row],[Data nascimento]]&gt;=$N$2,Tabela1[[#This Row],[Data nascimento]]&lt;=$M$2),"INICIADO",J711)</f>
        <v>JUVENIL</v>
      </c>
      <c r="J711" s="9" t="str">
        <f>IF(AND(Tabela1[[#This Row],[Data nascimento]]&gt;=$P$2,Tabela1[[#This Row],[Data nascimento]]&lt;=$O$2),"JUVENIL","JÚNIOR")</f>
        <v>JUVENIL</v>
      </c>
    </row>
    <row r="712" spans="1:10" ht="15" x14ac:dyDescent="0.4">
      <c r="A712" s="13" t="s">
        <v>452</v>
      </c>
      <c r="B712" s="2" t="s">
        <v>453</v>
      </c>
      <c r="C712" s="4" t="s">
        <v>8</v>
      </c>
      <c r="D712" s="11">
        <v>39324</v>
      </c>
      <c r="E712" s="7" t="s">
        <v>454</v>
      </c>
      <c r="F712" s="4" t="s">
        <v>4751</v>
      </c>
      <c r="G712" s="12" t="str">
        <f>IF(AND(Tabela1[[#This Row],[Data nascimento]]&gt;=$J$2,Tabela1[[#This Row],[Data nascimento]]&lt;=$I$2),"INFANTIL A",H712)</f>
        <v>JÚNIOR</v>
      </c>
      <c r="H712" s="3" t="str">
        <f>IF(AND(Tabela1[[#This Row],[Data nascimento]]&gt;=$L$2,Tabela1[[#This Row],[Data nascimento]]&lt;=$K$2),"INFANTIL B",I712)</f>
        <v>JÚNIOR</v>
      </c>
      <c r="I712" s="9" t="str">
        <f>IF(AND(Tabela1[[#This Row],[Data nascimento]]&gt;=$N$2,Tabela1[[#This Row],[Data nascimento]]&lt;=$M$2),"INICIADO",J712)</f>
        <v>JÚNIOR</v>
      </c>
      <c r="J712" s="9" t="str">
        <f>IF(AND(Tabela1[[#This Row],[Data nascimento]]&gt;=$P$2,Tabela1[[#This Row],[Data nascimento]]&lt;=$O$2),"JUVENIL","JÚNIOR")</f>
        <v>JÚNIOR</v>
      </c>
    </row>
    <row r="713" spans="1:10" ht="15" x14ac:dyDescent="0.4">
      <c r="A713" s="13" t="s">
        <v>455</v>
      </c>
      <c r="B713" s="2" t="s">
        <v>456</v>
      </c>
      <c r="C713" s="4" t="s">
        <v>8</v>
      </c>
      <c r="D713" s="11">
        <v>39256</v>
      </c>
      <c r="E713" s="7" t="s">
        <v>457</v>
      </c>
      <c r="F713" s="4" t="s">
        <v>4751</v>
      </c>
      <c r="G713" s="12" t="str">
        <f>IF(AND(Tabela1[[#This Row],[Data nascimento]]&gt;=$J$2,Tabela1[[#This Row],[Data nascimento]]&lt;=$I$2),"INFANTIL A",H713)</f>
        <v>JÚNIOR</v>
      </c>
      <c r="H713" s="3" t="str">
        <f>IF(AND(Tabela1[[#This Row],[Data nascimento]]&gt;=$L$2,Tabela1[[#This Row],[Data nascimento]]&lt;=$K$2),"INFANTIL B",I713)</f>
        <v>JÚNIOR</v>
      </c>
      <c r="I713" s="9" t="str">
        <f>IF(AND(Tabela1[[#This Row],[Data nascimento]]&gt;=$N$2,Tabela1[[#This Row],[Data nascimento]]&lt;=$M$2),"INICIADO",J713)</f>
        <v>JÚNIOR</v>
      </c>
      <c r="J713" s="9" t="str">
        <f>IF(AND(Tabela1[[#This Row],[Data nascimento]]&gt;=$P$2,Tabela1[[#This Row],[Data nascimento]]&lt;=$O$2),"JUVENIL","JÚNIOR")</f>
        <v>JÚNIOR</v>
      </c>
    </row>
    <row r="714" spans="1:10" ht="15" x14ac:dyDescent="0.4">
      <c r="A714" s="13" t="s">
        <v>458</v>
      </c>
      <c r="B714" s="2" t="s">
        <v>459</v>
      </c>
      <c r="C714" s="4" t="s">
        <v>8</v>
      </c>
      <c r="D714" s="11">
        <v>39974</v>
      </c>
      <c r="E714" s="7" t="s">
        <v>460</v>
      </c>
      <c r="F714" s="4" t="s">
        <v>4751</v>
      </c>
      <c r="G714" s="12" t="str">
        <f>IF(AND(Tabela1[[#This Row],[Data nascimento]]&gt;=$J$2,Tabela1[[#This Row],[Data nascimento]]&lt;=$I$2),"INFANTIL A",H714)</f>
        <v>JUVENIL</v>
      </c>
      <c r="H714" s="3" t="str">
        <f>IF(AND(Tabela1[[#This Row],[Data nascimento]]&gt;=$L$2,Tabela1[[#This Row],[Data nascimento]]&lt;=$K$2),"INFANTIL B",I714)</f>
        <v>JUVENIL</v>
      </c>
      <c r="I714" s="9" t="str">
        <f>IF(AND(Tabela1[[#This Row],[Data nascimento]]&gt;=$N$2,Tabela1[[#This Row],[Data nascimento]]&lt;=$M$2),"INICIADO",J714)</f>
        <v>JUVENIL</v>
      </c>
      <c r="J714" s="9" t="str">
        <f>IF(AND(Tabela1[[#This Row],[Data nascimento]]&gt;=$P$2,Tabela1[[#This Row],[Data nascimento]]&lt;=$O$2),"JUVENIL","JÚNIOR")</f>
        <v>JUVENIL</v>
      </c>
    </row>
    <row r="715" spans="1:10" ht="15" x14ac:dyDescent="0.4">
      <c r="A715" s="13" t="s">
        <v>461</v>
      </c>
      <c r="B715" s="2" t="s">
        <v>462</v>
      </c>
      <c r="C715" s="4" t="s">
        <v>21</v>
      </c>
      <c r="D715" s="11">
        <v>39620</v>
      </c>
      <c r="E715" s="7" t="s">
        <v>463</v>
      </c>
      <c r="F715" s="4" t="s">
        <v>4749</v>
      </c>
      <c r="G715" s="12" t="str">
        <f>IF(AND(Tabela1[[#This Row],[Data nascimento]]&gt;=$J$2,Tabela1[[#This Row],[Data nascimento]]&lt;=$I$2),"INFANTIL A",H715)</f>
        <v>JUVENIL</v>
      </c>
      <c r="H715" s="3" t="str">
        <f>IF(AND(Tabela1[[#This Row],[Data nascimento]]&gt;=$L$2,Tabela1[[#This Row],[Data nascimento]]&lt;=$K$2),"INFANTIL B",I715)</f>
        <v>JUVENIL</v>
      </c>
      <c r="I715" s="9" t="str">
        <f>IF(AND(Tabela1[[#This Row],[Data nascimento]]&gt;=$N$2,Tabela1[[#This Row],[Data nascimento]]&lt;=$M$2),"INICIADO",J715)</f>
        <v>JUVENIL</v>
      </c>
      <c r="J715" s="9" t="str">
        <f>IF(AND(Tabela1[[#This Row],[Data nascimento]]&gt;=$P$2,Tabela1[[#This Row],[Data nascimento]]&lt;=$O$2),"JUVENIL","JÚNIOR")</f>
        <v>JUVENIL</v>
      </c>
    </row>
    <row r="716" spans="1:10" ht="15" x14ac:dyDescent="0.4">
      <c r="A716" s="13" t="s">
        <v>464</v>
      </c>
      <c r="B716" s="2" t="s">
        <v>465</v>
      </c>
      <c r="C716" s="4" t="s">
        <v>21</v>
      </c>
      <c r="D716" s="11">
        <v>39927</v>
      </c>
      <c r="E716" s="7" t="s">
        <v>466</v>
      </c>
      <c r="F716" s="4" t="s">
        <v>4749</v>
      </c>
      <c r="G716" s="12" t="str">
        <f>IF(AND(Tabela1[[#This Row],[Data nascimento]]&gt;=$J$2,Tabela1[[#This Row],[Data nascimento]]&lt;=$I$2),"INFANTIL A",H716)</f>
        <v>JUVENIL</v>
      </c>
      <c r="H716" s="3" t="str">
        <f>IF(AND(Tabela1[[#This Row],[Data nascimento]]&gt;=$L$2,Tabela1[[#This Row],[Data nascimento]]&lt;=$K$2),"INFANTIL B",I716)</f>
        <v>JUVENIL</v>
      </c>
      <c r="I716" s="9" t="str">
        <f>IF(AND(Tabela1[[#This Row],[Data nascimento]]&gt;=$N$2,Tabela1[[#This Row],[Data nascimento]]&lt;=$M$2),"INICIADO",J716)</f>
        <v>JUVENIL</v>
      </c>
      <c r="J716" s="9" t="str">
        <f>IF(AND(Tabela1[[#This Row],[Data nascimento]]&gt;=$P$2,Tabela1[[#This Row],[Data nascimento]]&lt;=$O$2),"JUVENIL","JÚNIOR")</f>
        <v>JUVENIL</v>
      </c>
    </row>
    <row r="717" spans="1:10" ht="15" x14ac:dyDescent="0.4">
      <c r="A717" s="13" t="s">
        <v>467</v>
      </c>
      <c r="B717" s="2" t="s">
        <v>468</v>
      </c>
      <c r="C717" s="4" t="s">
        <v>21</v>
      </c>
      <c r="D717" s="11">
        <v>39813</v>
      </c>
      <c r="E717" s="7" t="s">
        <v>469</v>
      </c>
      <c r="F717" s="4" t="s">
        <v>4749</v>
      </c>
      <c r="G717" s="12" t="str">
        <f>IF(AND(Tabela1[[#This Row],[Data nascimento]]&gt;=$J$2,Tabela1[[#This Row],[Data nascimento]]&lt;=$I$2),"INFANTIL A",H717)</f>
        <v>JUVENIL</v>
      </c>
      <c r="H717" s="3" t="str">
        <f>IF(AND(Tabela1[[#This Row],[Data nascimento]]&gt;=$L$2,Tabela1[[#This Row],[Data nascimento]]&lt;=$K$2),"INFANTIL B",I717)</f>
        <v>JUVENIL</v>
      </c>
      <c r="I717" s="9" t="str">
        <f>IF(AND(Tabela1[[#This Row],[Data nascimento]]&gt;=$N$2,Tabela1[[#This Row],[Data nascimento]]&lt;=$M$2),"INICIADO",J717)</f>
        <v>JUVENIL</v>
      </c>
      <c r="J717" s="9" t="str">
        <f>IF(AND(Tabela1[[#This Row],[Data nascimento]]&gt;=$P$2,Tabela1[[#This Row],[Data nascimento]]&lt;=$O$2),"JUVENIL","JÚNIOR")</f>
        <v>JUVENIL</v>
      </c>
    </row>
    <row r="718" spans="1:10" ht="15" x14ac:dyDescent="0.4">
      <c r="A718" s="13" t="s">
        <v>470</v>
      </c>
      <c r="B718" s="2" t="s">
        <v>471</v>
      </c>
      <c r="C718" s="4" t="s">
        <v>8</v>
      </c>
      <c r="D718" s="11">
        <v>39636</v>
      </c>
      <c r="E718" s="7" t="s">
        <v>472</v>
      </c>
      <c r="F718" s="4" t="s">
        <v>4749</v>
      </c>
      <c r="G718" s="12" t="str">
        <f>IF(AND(Tabela1[[#This Row],[Data nascimento]]&gt;=$J$2,Tabela1[[#This Row],[Data nascimento]]&lt;=$I$2),"INFANTIL A",H718)</f>
        <v>JUVENIL</v>
      </c>
      <c r="H718" s="3" t="str">
        <f>IF(AND(Tabela1[[#This Row],[Data nascimento]]&gt;=$L$2,Tabela1[[#This Row],[Data nascimento]]&lt;=$K$2),"INFANTIL B",I718)</f>
        <v>JUVENIL</v>
      </c>
      <c r="I718" s="9" t="str">
        <f>IF(AND(Tabela1[[#This Row],[Data nascimento]]&gt;=$N$2,Tabela1[[#This Row],[Data nascimento]]&lt;=$M$2),"INICIADO",J718)</f>
        <v>JUVENIL</v>
      </c>
      <c r="J718" s="9" t="str">
        <f>IF(AND(Tabela1[[#This Row],[Data nascimento]]&gt;=$P$2,Tabela1[[#This Row],[Data nascimento]]&lt;=$O$2),"JUVENIL","JÚNIOR")</f>
        <v>JUVENIL</v>
      </c>
    </row>
    <row r="719" spans="1:10" ht="15" x14ac:dyDescent="0.4">
      <c r="A719" s="13" t="s">
        <v>473</v>
      </c>
      <c r="B719" s="2" t="s">
        <v>474</v>
      </c>
      <c r="C719" s="4" t="s">
        <v>8</v>
      </c>
      <c r="D719" s="11">
        <v>39835</v>
      </c>
      <c r="E719" s="7" t="s">
        <v>475</v>
      </c>
      <c r="F719" s="4" t="s">
        <v>4749</v>
      </c>
      <c r="G719" s="12" t="str">
        <f>IF(AND(Tabela1[[#This Row],[Data nascimento]]&gt;=$J$2,Tabela1[[#This Row],[Data nascimento]]&lt;=$I$2),"INFANTIL A",H719)</f>
        <v>JUVENIL</v>
      </c>
      <c r="H719" s="3" t="str">
        <f>IF(AND(Tabela1[[#This Row],[Data nascimento]]&gt;=$L$2,Tabela1[[#This Row],[Data nascimento]]&lt;=$K$2),"INFANTIL B",I719)</f>
        <v>JUVENIL</v>
      </c>
      <c r="I719" s="9" t="str">
        <f>IF(AND(Tabela1[[#This Row],[Data nascimento]]&gt;=$N$2,Tabela1[[#This Row],[Data nascimento]]&lt;=$M$2),"INICIADO",J719)</f>
        <v>JUVENIL</v>
      </c>
      <c r="J719" s="9" t="str">
        <f>IF(AND(Tabela1[[#This Row],[Data nascimento]]&gt;=$P$2,Tabela1[[#This Row],[Data nascimento]]&lt;=$O$2),"JUVENIL","JÚNIOR")</f>
        <v>JUVENIL</v>
      </c>
    </row>
    <row r="720" spans="1:10" ht="15" x14ac:dyDescent="0.4">
      <c r="A720" s="13" t="s">
        <v>476</v>
      </c>
      <c r="B720" s="2" t="s">
        <v>477</v>
      </c>
      <c r="C720" s="4" t="s">
        <v>21</v>
      </c>
      <c r="D720" s="11">
        <v>39834</v>
      </c>
      <c r="E720" s="7" t="s">
        <v>478</v>
      </c>
      <c r="F720" s="4" t="s">
        <v>4749</v>
      </c>
      <c r="G720" s="12" t="str">
        <f>IF(AND(Tabela1[[#This Row],[Data nascimento]]&gt;=$J$2,Tabela1[[#This Row],[Data nascimento]]&lt;=$I$2),"INFANTIL A",H720)</f>
        <v>JUVENIL</v>
      </c>
      <c r="H720" s="3" t="str">
        <f>IF(AND(Tabela1[[#This Row],[Data nascimento]]&gt;=$L$2,Tabela1[[#This Row],[Data nascimento]]&lt;=$K$2),"INFANTIL B",I720)</f>
        <v>JUVENIL</v>
      </c>
      <c r="I720" s="9" t="str">
        <f>IF(AND(Tabela1[[#This Row],[Data nascimento]]&gt;=$N$2,Tabela1[[#This Row],[Data nascimento]]&lt;=$M$2),"INICIADO",J720)</f>
        <v>JUVENIL</v>
      </c>
      <c r="J720" s="9" t="str">
        <f>IF(AND(Tabela1[[#This Row],[Data nascimento]]&gt;=$P$2,Tabela1[[#This Row],[Data nascimento]]&lt;=$O$2),"JUVENIL","JÚNIOR")</f>
        <v>JUVENIL</v>
      </c>
    </row>
    <row r="721" spans="1:10" ht="15" x14ac:dyDescent="0.4">
      <c r="A721" s="13" t="s">
        <v>479</v>
      </c>
      <c r="B721" s="2" t="s">
        <v>480</v>
      </c>
      <c r="C721" s="4" t="s">
        <v>21</v>
      </c>
      <c r="D721" s="11">
        <v>39963</v>
      </c>
      <c r="E721" s="7" t="s">
        <v>481</v>
      </c>
      <c r="F721" s="4" t="s">
        <v>4752</v>
      </c>
      <c r="G721" s="12" t="str">
        <f>IF(AND(Tabela1[[#This Row],[Data nascimento]]&gt;=$J$2,Tabela1[[#This Row],[Data nascimento]]&lt;=$I$2),"INFANTIL A",H721)</f>
        <v>JUVENIL</v>
      </c>
      <c r="H721" s="3" t="str">
        <f>IF(AND(Tabela1[[#This Row],[Data nascimento]]&gt;=$L$2,Tabela1[[#This Row],[Data nascimento]]&lt;=$K$2),"INFANTIL B",I721)</f>
        <v>JUVENIL</v>
      </c>
      <c r="I721" s="9" t="str">
        <f>IF(AND(Tabela1[[#This Row],[Data nascimento]]&gt;=$N$2,Tabela1[[#This Row],[Data nascimento]]&lt;=$M$2),"INICIADO",J721)</f>
        <v>JUVENIL</v>
      </c>
      <c r="J721" s="9" t="str">
        <f>IF(AND(Tabela1[[#This Row],[Data nascimento]]&gt;=$P$2,Tabela1[[#This Row],[Data nascimento]]&lt;=$O$2),"JUVENIL","JÚNIOR")</f>
        <v>JUVENIL</v>
      </c>
    </row>
    <row r="722" spans="1:10" ht="15" x14ac:dyDescent="0.4">
      <c r="A722" s="13" t="s">
        <v>482</v>
      </c>
      <c r="B722" s="2" t="s">
        <v>483</v>
      </c>
      <c r="C722" s="4" t="s">
        <v>21</v>
      </c>
      <c r="D722" s="11">
        <v>40129</v>
      </c>
      <c r="E722" s="7" t="s">
        <v>484</v>
      </c>
      <c r="F722" s="4" t="s">
        <v>4752</v>
      </c>
      <c r="G722" s="12" t="str">
        <f>IF(AND(Tabela1[[#This Row],[Data nascimento]]&gt;=$J$2,Tabela1[[#This Row],[Data nascimento]]&lt;=$I$2),"INFANTIL A",H722)</f>
        <v>JUVENIL</v>
      </c>
      <c r="H722" s="3" t="str">
        <f>IF(AND(Tabela1[[#This Row],[Data nascimento]]&gt;=$L$2,Tabela1[[#This Row],[Data nascimento]]&lt;=$K$2),"INFANTIL B",I722)</f>
        <v>JUVENIL</v>
      </c>
      <c r="I722" s="9" t="str">
        <f>IF(AND(Tabela1[[#This Row],[Data nascimento]]&gt;=$N$2,Tabela1[[#This Row],[Data nascimento]]&lt;=$M$2),"INICIADO",J722)</f>
        <v>JUVENIL</v>
      </c>
      <c r="J722" s="9" t="str">
        <f>IF(AND(Tabela1[[#This Row],[Data nascimento]]&gt;=$P$2,Tabela1[[#This Row],[Data nascimento]]&lt;=$O$2),"JUVENIL","JÚNIOR")</f>
        <v>JUVENIL</v>
      </c>
    </row>
    <row r="723" spans="1:10" ht="15" x14ac:dyDescent="0.4">
      <c r="A723" s="13" t="s">
        <v>485</v>
      </c>
      <c r="B723" s="2" t="s">
        <v>486</v>
      </c>
      <c r="C723" s="4" t="s">
        <v>21</v>
      </c>
      <c r="D723" s="11">
        <v>39290</v>
      </c>
      <c r="E723" s="7" t="s">
        <v>487</v>
      </c>
      <c r="F723" s="4" t="s">
        <v>4752</v>
      </c>
      <c r="G723" s="12" t="str">
        <f>IF(AND(Tabela1[[#This Row],[Data nascimento]]&gt;=$J$2,Tabela1[[#This Row],[Data nascimento]]&lt;=$I$2),"INFANTIL A",H723)</f>
        <v>JÚNIOR</v>
      </c>
      <c r="H723" s="3" t="str">
        <f>IF(AND(Tabela1[[#This Row],[Data nascimento]]&gt;=$L$2,Tabela1[[#This Row],[Data nascimento]]&lt;=$K$2),"INFANTIL B",I723)</f>
        <v>JÚNIOR</v>
      </c>
      <c r="I723" s="9" t="str">
        <f>IF(AND(Tabela1[[#This Row],[Data nascimento]]&gt;=$N$2,Tabela1[[#This Row],[Data nascimento]]&lt;=$M$2),"INICIADO",J723)</f>
        <v>JÚNIOR</v>
      </c>
      <c r="J723" s="9" t="str">
        <f>IF(AND(Tabela1[[#This Row],[Data nascimento]]&gt;=$P$2,Tabela1[[#This Row],[Data nascimento]]&lt;=$O$2),"JUVENIL","JÚNIOR")</f>
        <v>JÚNIOR</v>
      </c>
    </row>
    <row r="724" spans="1:10" ht="15" x14ac:dyDescent="0.4">
      <c r="A724" s="13" t="s">
        <v>488</v>
      </c>
      <c r="B724" s="2" t="s">
        <v>489</v>
      </c>
      <c r="C724" s="4" t="s">
        <v>21</v>
      </c>
      <c r="D724" s="11">
        <v>40150</v>
      </c>
      <c r="E724" s="7" t="s">
        <v>490</v>
      </c>
      <c r="F724" s="4" t="s">
        <v>4752</v>
      </c>
      <c r="G724" s="12" t="str">
        <f>IF(AND(Tabela1[[#This Row],[Data nascimento]]&gt;=$J$2,Tabela1[[#This Row],[Data nascimento]]&lt;=$I$2),"INFANTIL A",H724)</f>
        <v>JUVENIL</v>
      </c>
      <c r="H724" s="3" t="str">
        <f>IF(AND(Tabela1[[#This Row],[Data nascimento]]&gt;=$L$2,Tabela1[[#This Row],[Data nascimento]]&lt;=$K$2),"INFANTIL B",I724)</f>
        <v>JUVENIL</v>
      </c>
      <c r="I724" s="9" t="str">
        <f>IF(AND(Tabela1[[#This Row],[Data nascimento]]&gt;=$N$2,Tabela1[[#This Row],[Data nascimento]]&lt;=$M$2),"INICIADO",J724)</f>
        <v>JUVENIL</v>
      </c>
      <c r="J724" s="9" t="str">
        <f>IF(AND(Tabela1[[#This Row],[Data nascimento]]&gt;=$P$2,Tabela1[[#This Row],[Data nascimento]]&lt;=$O$2),"JUVENIL","JÚNIOR")</f>
        <v>JUVENIL</v>
      </c>
    </row>
    <row r="725" spans="1:10" ht="15" x14ac:dyDescent="0.4">
      <c r="A725" s="13" t="s">
        <v>491</v>
      </c>
      <c r="B725" s="2" t="s">
        <v>492</v>
      </c>
      <c r="C725" s="4" t="s">
        <v>21</v>
      </c>
      <c r="D725" s="11">
        <v>40126</v>
      </c>
      <c r="E725" s="7" t="s">
        <v>493</v>
      </c>
      <c r="F725" s="4" t="s">
        <v>4752</v>
      </c>
      <c r="G725" s="12" t="str">
        <f>IF(AND(Tabela1[[#This Row],[Data nascimento]]&gt;=$J$2,Tabela1[[#This Row],[Data nascimento]]&lt;=$I$2),"INFANTIL A",H725)</f>
        <v>JUVENIL</v>
      </c>
      <c r="H725" s="3" t="str">
        <f>IF(AND(Tabela1[[#This Row],[Data nascimento]]&gt;=$L$2,Tabela1[[#This Row],[Data nascimento]]&lt;=$K$2),"INFANTIL B",I725)</f>
        <v>JUVENIL</v>
      </c>
      <c r="I725" s="9" t="str">
        <f>IF(AND(Tabela1[[#This Row],[Data nascimento]]&gt;=$N$2,Tabela1[[#This Row],[Data nascimento]]&lt;=$M$2),"INICIADO",J725)</f>
        <v>JUVENIL</v>
      </c>
      <c r="J725" s="9" t="str">
        <f>IF(AND(Tabela1[[#This Row],[Data nascimento]]&gt;=$P$2,Tabela1[[#This Row],[Data nascimento]]&lt;=$O$2),"JUVENIL","JÚNIOR")</f>
        <v>JUVENIL</v>
      </c>
    </row>
    <row r="726" spans="1:10" ht="15" x14ac:dyDescent="0.4">
      <c r="A726" s="13" t="s">
        <v>494</v>
      </c>
      <c r="B726" s="2" t="s">
        <v>495</v>
      </c>
      <c r="C726" s="4" t="s">
        <v>21</v>
      </c>
      <c r="D726" s="11">
        <v>39695</v>
      </c>
      <c r="E726" s="7" t="s">
        <v>496</v>
      </c>
      <c r="F726" s="4" t="s">
        <v>4752</v>
      </c>
      <c r="G726" s="12" t="str">
        <f>IF(AND(Tabela1[[#This Row],[Data nascimento]]&gt;=$J$2,Tabela1[[#This Row],[Data nascimento]]&lt;=$I$2),"INFANTIL A",H726)</f>
        <v>JUVENIL</v>
      </c>
      <c r="H726" s="3" t="str">
        <f>IF(AND(Tabela1[[#This Row],[Data nascimento]]&gt;=$L$2,Tabela1[[#This Row],[Data nascimento]]&lt;=$K$2),"INFANTIL B",I726)</f>
        <v>JUVENIL</v>
      </c>
      <c r="I726" s="9" t="str">
        <f>IF(AND(Tabela1[[#This Row],[Data nascimento]]&gt;=$N$2,Tabela1[[#This Row],[Data nascimento]]&lt;=$M$2),"INICIADO",J726)</f>
        <v>JUVENIL</v>
      </c>
      <c r="J726" s="9" t="str">
        <f>IF(AND(Tabela1[[#This Row],[Data nascimento]]&gt;=$P$2,Tabela1[[#This Row],[Data nascimento]]&lt;=$O$2),"JUVENIL","JÚNIOR")</f>
        <v>JUVENIL</v>
      </c>
    </row>
    <row r="727" spans="1:10" ht="15" x14ac:dyDescent="0.4">
      <c r="A727" s="13" t="s">
        <v>497</v>
      </c>
      <c r="B727" s="2" t="s">
        <v>498</v>
      </c>
      <c r="C727" s="4" t="s">
        <v>21</v>
      </c>
      <c r="D727" s="11">
        <v>39965</v>
      </c>
      <c r="E727" s="7" t="s">
        <v>499</v>
      </c>
      <c r="F727" s="4" t="s">
        <v>4752</v>
      </c>
      <c r="G727" s="12" t="str">
        <f>IF(AND(Tabela1[[#This Row],[Data nascimento]]&gt;=$J$2,Tabela1[[#This Row],[Data nascimento]]&lt;=$I$2),"INFANTIL A",H727)</f>
        <v>JUVENIL</v>
      </c>
      <c r="H727" s="3" t="str">
        <f>IF(AND(Tabela1[[#This Row],[Data nascimento]]&gt;=$L$2,Tabela1[[#This Row],[Data nascimento]]&lt;=$K$2),"INFANTIL B",I727)</f>
        <v>JUVENIL</v>
      </c>
      <c r="I727" s="9" t="str">
        <f>IF(AND(Tabela1[[#This Row],[Data nascimento]]&gt;=$N$2,Tabela1[[#This Row],[Data nascimento]]&lt;=$M$2),"INICIADO",J727)</f>
        <v>JUVENIL</v>
      </c>
      <c r="J727" s="9" t="str">
        <f>IF(AND(Tabela1[[#This Row],[Data nascimento]]&gt;=$P$2,Tabela1[[#This Row],[Data nascimento]]&lt;=$O$2),"JUVENIL","JÚNIOR")</f>
        <v>JUVENIL</v>
      </c>
    </row>
    <row r="728" spans="1:10" ht="15" x14ac:dyDescent="0.4">
      <c r="A728" s="13" t="s">
        <v>500</v>
      </c>
      <c r="B728" s="2" t="s">
        <v>501</v>
      </c>
      <c r="C728" s="4" t="s">
        <v>21</v>
      </c>
      <c r="D728" s="11">
        <v>40076</v>
      </c>
      <c r="E728" s="7" t="s">
        <v>502</v>
      </c>
      <c r="F728" s="4" t="s">
        <v>4752</v>
      </c>
      <c r="G728" s="12" t="str">
        <f>IF(AND(Tabela1[[#This Row],[Data nascimento]]&gt;=$J$2,Tabela1[[#This Row],[Data nascimento]]&lt;=$I$2),"INFANTIL A",H728)</f>
        <v>JUVENIL</v>
      </c>
      <c r="H728" s="3" t="str">
        <f>IF(AND(Tabela1[[#This Row],[Data nascimento]]&gt;=$L$2,Tabela1[[#This Row],[Data nascimento]]&lt;=$K$2),"INFANTIL B",I728)</f>
        <v>JUVENIL</v>
      </c>
      <c r="I728" s="9" t="str">
        <f>IF(AND(Tabela1[[#This Row],[Data nascimento]]&gt;=$N$2,Tabela1[[#This Row],[Data nascimento]]&lt;=$M$2),"INICIADO",J728)</f>
        <v>JUVENIL</v>
      </c>
      <c r="J728" s="9" t="str">
        <f>IF(AND(Tabela1[[#This Row],[Data nascimento]]&gt;=$P$2,Tabela1[[#This Row],[Data nascimento]]&lt;=$O$2),"JUVENIL","JÚNIOR")</f>
        <v>JUVENIL</v>
      </c>
    </row>
    <row r="729" spans="1:10" ht="15" x14ac:dyDescent="0.4">
      <c r="A729" s="13" t="s">
        <v>503</v>
      </c>
      <c r="B729" s="2" t="s">
        <v>504</v>
      </c>
      <c r="C729" s="4" t="s">
        <v>21</v>
      </c>
      <c r="D729" s="11">
        <v>39396</v>
      </c>
      <c r="E729" s="7" t="s">
        <v>505</v>
      </c>
      <c r="F729" s="4" t="s">
        <v>4752</v>
      </c>
      <c r="G729" s="12" t="str">
        <f>IF(AND(Tabela1[[#This Row],[Data nascimento]]&gt;=$J$2,Tabela1[[#This Row],[Data nascimento]]&lt;=$I$2),"INFANTIL A",H729)</f>
        <v>JÚNIOR</v>
      </c>
      <c r="H729" s="3" t="str">
        <f>IF(AND(Tabela1[[#This Row],[Data nascimento]]&gt;=$L$2,Tabela1[[#This Row],[Data nascimento]]&lt;=$K$2),"INFANTIL B",I729)</f>
        <v>JÚNIOR</v>
      </c>
      <c r="I729" s="9" t="str">
        <f>IF(AND(Tabela1[[#This Row],[Data nascimento]]&gt;=$N$2,Tabela1[[#This Row],[Data nascimento]]&lt;=$M$2),"INICIADO",J729)</f>
        <v>JÚNIOR</v>
      </c>
      <c r="J729" s="9" t="str">
        <f>IF(AND(Tabela1[[#This Row],[Data nascimento]]&gt;=$P$2,Tabela1[[#This Row],[Data nascimento]]&lt;=$O$2),"JUVENIL","JÚNIOR")</f>
        <v>JÚNIOR</v>
      </c>
    </row>
    <row r="730" spans="1:10" ht="15" x14ac:dyDescent="0.4">
      <c r="A730" s="13" t="s">
        <v>506</v>
      </c>
      <c r="B730" s="2" t="s">
        <v>507</v>
      </c>
      <c r="C730" s="4" t="s">
        <v>21</v>
      </c>
      <c r="D730" s="11">
        <v>39285</v>
      </c>
      <c r="E730" s="7" t="s">
        <v>508</v>
      </c>
      <c r="F730" s="4" t="s">
        <v>4752</v>
      </c>
      <c r="G730" s="12" t="str">
        <f>IF(AND(Tabela1[[#This Row],[Data nascimento]]&gt;=$J$2,Tabela1[[#This Row],[Data nascimento]]&lt;=$I$2),"INFANTIL A",H730)</f>
        <v>JÚNIOR</v>
      </c>
      <c r="H730" s="3" t="str">
        <f>IF(AND(Tabela1[[#This Row],[Data nascimento]]&gt;=$L$2,Tabela1[[#This Row],[Data nascimento]]&lt;=$K$2),"INFANTIL B",I730)</f>
        <v>JÚNIOR</v>
      </c>
      <c r="I730" s="9" t="str">
        <f>IF(AND(Tabela1[[#This Row],[Data nascimento]]&gt;=$N$2,Tabela1[[#This Row],[Data nascimento]]&lt;=$M$2),"INICIADO",J730)</f>
        <v>JÚNIOR</v>
      </c>
      <c r="J730" s="9" t="str">
        <f>IF(AND(Tabela1[[#This Row],[Data nascimento]]&gt;=$P$2,Tabela1[[#This Row],[Data nascimento]]&lt;=$O$2),"JUVENIL","JÚNIOR")</f>
        <v>JÚNIOR</v>
      </c>
    </row>
    <row r="731" spans="1:10" ht="15" x14ac:dyDescent="0.4">
      <c r="A731" s="13" t="s">
        <v>509</v>
      </c>
      <c r="B731" s="2" t="s">
        <v>510</v>
      </c>
      <c r="C731" s="4" t="s">
        <v>21</v>
      </c>
      <c r="D731" s="11">
        <v>40017</v>
      </c>
      <c r="E731" s="7" t="s">
        <v>511</v>
      </c>
      <c r="F731" s="4" t="s">
        <v>4752</v>
      </c>
      <c r="G731" s="12" t="str">
        <f>IF(AND(Tabela1[[#This Row],[Data nascimento]]&gt;=$J$2,Tabela1[[#This Row],[Data nascimento]]&lt;=$I$2),"INFANTIL A",H731)</f>
        <v>JUVENIL</v>
      </c>
      <c r="H731" s="3" t="str">
        <f>IF(AND(Tabela1[[#This Row],[Data nascimento]]&gt;=$L$2,Tabela1[[#This Row],[Data nascimento]]&lt;=$K$2),"INFANTIL B",I731)</f>
        <v>JUVENIL</v>
      </c>
      <c r="I731" s="9" t="str">
        <f>IF(AND(Tabela1[[#This Row],[Data nascimento]]&gt;=$N$2,Tabela1[[#This Row],[Data nascimento]]&lt;=$M$2),"INICIADO",J731)</f>
        <v>JUVENIL</v>
      </c>
      <c r="J731" s="9" t="str">
        <f>IF(AND(Tabela1[[#This Row],[Data nascimento]]&gt;=$P$2,Tabela1[[#This Row],[Data nascimento]]&lt;=$O$2),"JUVENIL","JÚNIOR")</f>
        <v>JUVENIL</v>
      </c>
    </row>
    <row r="732" spans="1:10" ht="15" x14ac:dyDescent="0.4">
      <c r="A732" s="13" t="s">
        <v>512</v>
      </c>
      <c r="B732" s="2" t="s">
        <v>513</v>
      </c>
      <c r="C732" s="4" t="s">
        <v>21</v>
      </c>
      <c r="D732" s="11">
        <v>39790</v>
      </c>
      <c r="E732" s="7" t="s">
        <v>514</v>
      </c>
      <c r="F732" s="4" t="s">
        <v>4752</v>
      </c>
      <c r="G732" s="12" t="str">
        <f>IF(AND(Tabela1[[#This Row],[Data nascimento]]&gt;=$J$2,Tabela1[[#This Row],[Data nascimento]]&lt;=$I$2),"INFANTIL A",H732)</f>
        <v>JUVENIL</v>
      </c>
      <c r="H732" s="3" t="str">
        <f>IF(AND(Tabela1[[#This Row],[Data nascimento]]&gt;=$L$2,Tabela1[[#This Row],[Data nascimento]]&lt;=$K$2),"INFANTIL B",I732)</f>
        <v>JUVENIL</v>
      </c>
      <c r="I732" s="9" t="str">
        <f>IF(AND(Tabela1[[#This Row],[Data nascimento]]&gt;=$N$2,Tabela1[[#This Row],[Data nascimento]]&lt;=$M$2),"INICIADO",J732)</f>
        <v>JUVENIL</v>
      </c>
      <c r="J732" s="9" t="str">
        <f>IF(AND(Tabela1[[#This Row],[Data nascimento]]&gt;=$P$2,Tabela1[[#This Row],[Data nascimento]]&lt;=$O$2),"JUVENIL","JÚNIOR")</f>
        <v>JUVENIL</v>
      </c>
    </row>
    <row r="733" spans="1:10" ht="15" x14ac:dyDescent="0.4">
      <c r="A733" s="13" t="s">
        <v>515</v>
      </c>
      <c r="B733" s="2" t="s">
        <v>516</v>
      </c>
      <c r="C733" s="4" t="s">
        <v>21</v>
      </c>
      <c r="D733" s="11">
        <v>39595</v>
      </c>
      <c r="E733" s="7" t="s">
        <v>517</v>
      </c>
      <c r="F733" s="4" t="s">
        <v>4752</v>
      </c>
      <c r="G733" s="12" t="str">
        <f>IF(AND(Tabela1[[#This Row],[Data nascimento]]&gt;=$J$2,Tabela1[[#This Row],[Data nascimento]]&lt;=$I$2),"INFANTIL A",H733)</f>
        <v>JUVENIL</v>
      </c>
      <c r="H733" s="3" t="str">
        <f>IF(AND(Tabela1[[#This Row],[Data nascimento]]&gt;=$L$2,Tabela1[[#This Row],[Data nascimento]]&lt;=$K$2),"INFANTIL B",I733)</f>
        <v>JUVENIL</v>
      </c>
      <c r="I733" s="9" t="str">
        <f>IF(AND(Tabela1[[#This Row],[Data nascimento]]&gt;=$N$2,Tabela1[[#This Row],[Data nascimento]]&lt;=$M$2),"INICIADO",J733)</f>
        <v>JUVENIL</v>
      </c>
      <c r="J733" s="9" t="str">
        <f>IF(AND(Tabela1[[#This Row],[Data nascimento]]&gt;=$P$2,Tabela1[[#This Row],[Data nascimento]]&lt;=$O$2),"JUVENIL","JÚNIOR")</f>
        <v>JUVENIL</v>
      </c>
    </row>
    <row r="734" spans="1:10" ht="15" x14ac:dyDescent="0.4">
      <c r="A734" s="13" t="s">
        <v>518</v>
      </c>
      <c r="B734" s="2" t="s">
        <v>519</v>
      </c>
      <c r="C734" s="4" t="s">
        <v>8</v>
      </c>
      <c r="D734" s="11">
        <v>40139</v>
      </c>
      <c r="E734" s="7" t="s">
        <v>520</v>
      </c>
      <c r="F734" s="4" t="s">
        <v>4753</v>
      </c>
      <c r="G734" s="12" t="str">
        <f>IF(AND(Tabela1[[#This Row],[Data nascimento]]&gt;=$J$2,Tabela1[[#This Row],[Data nascimento]]&lt;=$I$2),"INFANTIL A",H734)</f>
        <v>JUVENIL</v>
      </c>
      <c r="H734" s="3" t="str">
        <f>IF(AND(Tabela1[[#This Row],[Data nascimento]]&gt;=$L$2,Tabela1[[#This Row],[Data nascimento]]&lt;=$K$2),"INFANTIL B",I734)</f>
        <v>JUVENIL</v>
      </c>
      <c r="I734" s="9" t="str">
        <f>IF(AND(Tabela1[[#This Row],[Data nascimento]]&gt;=$N$2,Tabela1[[#This Row],[Data nascimento]]&lt;=$M$2),"INICIADO",J734)</f>
        <v>JUVENIL</v>
      </c>
      <c r="J734" s="9" t="str">
        <f>IF(AND(Tabela1[[#This Row],[Data nascimento]]&gt;=$P$2,Tabela1[[#This Row],[Data nascimento]]&lt;=$O$2),"JUVENIL","JÚNIOR")</f>
        <v>JUVENIL</v>
      </c>
    </row>
    <row r="735" spans="1:10" ht="15" x14ac:dyDescent="0.4">
      <c r="A735" s="13" t="s">
        <v>521</v>
      </c>
      <c r="B735" s="2" t="s">
        <v>522</v>
      </c>
      <c r="C735" s="4" t="s">
        <v>8</v>
      </c>
      <c r="D735" s="11">
        <v>39846</v>
      </c>
      <c r="E735" s="7" t="s">
        <v>523</v>
      </c>
      <c r="F735" s="4" t="s">
        <v>4753</v>
      </c>
      <c r="G735" s="12" t="str">
        <f>IF(AND(Tabela1[[#This Row],[Data nascimento]]&gt;=$J$2,Tabela1[[#This Row],[Data nascimento]]&lt;=$I$2),"INFANTIL A",H735)</f>
        <v>JUVENIL</v>
      </c>
      <c r="H735" s="3" t="str">
        <f>IF(AND(Tabela1[[#This Row],[Data nascimento]]&gt;=$L$2,Tabela1[[#This Row],[Data nascimento]]&lt;=$K$2),"INFANTIL B",I735)</f>
        <v>JUVENIL</v>
      </c>
      <c r="I735" s="9" t="str">
        <f>IF(AND(Tabela1[[#This Row],[Data nascimento]]&gt;=$N$2,Tabela1[[#This Row],[Data nascimento]]&lt;=$M$2),"INICIADO",J735)</f>
        <v>JUVENIL</v>
      </c>
      <c r="J735" s="9" t="str">
        <f>IF(AND(Tabela1[[#This Row],[Data nascimento]]&gt;=$P$2,Tabela1[[#This Row],[Data nascimento]]&lt;=$O$2),"JUVENIL","JÚNIOR")</f>
        <v>JUVENIL</v>
      </c>
    </row>
    <row r="736" spans="1:10" ht="15" x14ac:dyDescent="0.4">
      <c r="A736" s="13" t="s">
        <v>524</v>
      </c>
      <c r="B736" s="2" t="s">
        <v>525</v>
      </c>
      <c r="C736" s="4" t="s">
        <v>8</v>
      </c>
      <c r="D736" s="11">
        <v>40084</v>
      </c>
      <c r="E736" s="7" t="s">
        <v>526</v>
      </c>
      <c r="F736" s="4" t="s">
        <v>4753</v>
      </c>
      <c r="G736" s="12" t="str">
        <f>IF(AND(Tabela1[[#This Row],[Data nascimento]]&gt;=$J$2,Tabela1[[#This Row],[Data nascimento]]&lt;=$I$2),"INFANTIL A",H736)</f>
        <v>JUVENIL</v>
      </c>
      <c r="H736" s="3" t="str">
        <f>IF(AND(Tabela1[[#This Row],[Data nascimento]]&gt;=$L$2,Tabela1[[#This Row],[Data nascimento]]&lt;=$K$2),"INFANTIL B",I736)</f>
        <v>JUVENIL</v>
      </c>
      <c r="I736" s="9" t="str">
        <f>IF(AND(Tabela1[[#This Row],[Data nascimento]]&gt;=$N$2,Tabela1[[#This Row],[Data nascimento]]&lt;=$M$2),"INICIADO",J736)</f>
        <v>JUVENIL</v>
      </c>
      <c r="J736" s="9" t="str">
        <f>IF(AND(Tabela1[[#This Row],[Data nascimento]]&gt;=$P$2,Tabela1[[#This Row],[Data nascimento]]&lt;=$O$2),"JUVENIL","JÚNIOR")</f>
        <v>JUVENIL</v>
      </c>
    </row>
    <row r="737" spans="1:10" ht="15" x14ac:dyDescent="0.4">
      <c r="A737" s="13" t="s">
        <v>527</v>
      </c>
      <c r="B737" s="2" t="s">
        <v>528</v>
      </c>
      <c r="C737" s="4" t="s">
        <v>8</v>
      </c>
      <c r="D737" s="11">
        <v>39620</v>
      </c>
      <c r="E737" s="7" t="s">
        <v>529</v>
      </c>
      <c r="F737" s="4" t="s">
        <v>4753</v>
      </c>
      <c r="G737" s="12" t="str">
        <f>IF(AND(Tabela1[[#This Row],[Data nascimento]]&gt;=$J$2,Tabela1[[#This Row],[Data nascimento]]&lt;=$I$2),"INFANTIL A",H737)</f>
        <v>JUVENIL</v>
      </c>
      <c r="H737" s="3" t="str">
        <f>IF(AND(Tabela1[[#This Row],[Data nascimento]]&gt;=$L$2,Tabela1[[#This Row],[Data nascimento]]&lt;=$K$2),"INFANTIL B",I737)</f>
        <v>JUVENIL</v>
      </c>
      <c r="I737" s="9" t="str">
        <f>IF(AND(Tabela1[[#This Row],[Data nascimento]]&gt;=$N$2,Tabela1[[#This Row],[Data nascimento]]&lt;=$M$2),"INICIADO",J737)</f>
        <v>JUVENIL</v>
      </c>
      <c r="J737" s="9" t="str">
        <f>IF(AND(Tabela1[[#This Row],[Data nascimento]]&gt;=$P$2,Tabela1[[#This Row],[Data nascimento]]&lt;=$O$2),"JUVENIL","JÚNIOR")</f>
        <v>JUVENIL</v>
      </c>
    </row>
    <row r="738" spans="1:10" ht="15" x14ac:dyDescent="0.4">
      <c r="A738" s="13" t="s">
        <v>530</v>
      </c>
      <c r="B738" s="2" t="s">
        <v>531</v>
      </c>
      <c r="C738" s="4" t="s">
        <v>8</v>
      </c>
      <c r="D738" s="11">
        <v>39903</v>
      </c>
      <c r="E738" s="7" t="s">
        <v>532</v>
      </c>
      <c r="F738" s="4" t="s">
        <v>4753</v>
      </c>
      <c r="G738" s="12" t="str">
        <f>IF(AND(Tabela1[[#This Row],[Data nascimento]]&gt;=$J$2,Tabela1[[#This Row],[Data nascimento]]&lt;=$I$2),"INFANTIL A",H738)</f>
        <v>JUVENIL</v>
      </c>
      <c r="H738" s="3" t="str">
        <f>IF(AND(Tabela1[[#This Row],[Data nascimento]]&gt;=$L$2,Tabela1[[#This Row],[Data nascimento]]&lt;=$K$2),"INFANTIL B",I738)</f>
        <v>JUVENIL</v>
      </c>
      <c r="I738" s="9" t="str">
        <f>IF(AND(Tabela1[[#This Row],[Data nascimento]]&gt;=$N$2,Tabela1[[#This Row],[Data nascimento]]&lt;=$M$2),"INICIADO",J738)</f>
        <v>JUVENIL</v>
      </c>
      <c r="J738" s="9" t="str">
        <f>IF(AND(Tabela1[[#This Row],[Data nascimento]]&gt;=$P$2,Tabela1[[#This Row],[Data nascimento]]&lt;=$O$2),"JUVENIL","JÚNIOR")</f>
        <v>JUVENIL</v>
      </c>
    </row>
    <row r="739" spans="1:10" ht="15" x14ac:dyDescent="0.4">
      <c r="A739" s="13" t="s">
        <v>533</v>
      </c>
      <c r="B739" s="2" t="s">
        <v>534</v>
      </c>
      <c r="C739" s="4" t="s">
        <v>8</v>
      </c>
      <c r="D739" s="11">
        <v>39869</v>
      </c>
      <c r="E739" s="7" t="s">
        <v>535</v>
      </c>
      <c r="F739" s="4" t="s">
        <v>4753</v>
      </c>
      <c r="G739" s="12" t="str">
        <f>IF(AND(Tabela1[[#This Row],[Data nascimento]]&gt;=$J$2,Tabela1[[#This Row],[Data nascimento]]&lt;=$I$2),"INFANTIL A",H739)</f>
        <v>JUVENIL</v>
      </c>
      <c r="H739" s="3" t="str">
        <f>IF(AND(Tabela1[[#This Row],[Data nascimento]]&gt;=$L$2,Tabela1[[#This Row],[Data nascimento]]&lt;=$K$2),"INFANTIL B",I739)</f>
        <v>JUVENIL</v>
      </c>
      <c r="I739" s="9" t="str">
        <f>IF(AND(Tabela1[[#This Row],[Data nascimento]]&gt;=$N$2,Tabela1[[#This Row],[Data nascimento]]&lt;=$M$2),"INICIADO",J739)</f>
        <v>JUVENIL</v>
      </c>
      <c r="J739" s="9" t="str">
        <f>IF(AND(Tabela1[[#This Row],[Data nascimento]]&gt;=$P$2,Tabela1[[#This Row],[Data nascimento]]&lt;=$O$2),"JUVENIL","JÚNIOR")</f>
        <v>JUVENIL</v>
      </c>
    </row>
    <row r="740" spans="1:10" ht="15" x14ac:dyDescent="0.4">
      <c r="A740" s="13" t="s">
        <v>536</v>
      </c>
      <c r="B740" s="2" t="s">
        <v>537</v>
      </c>
      <c r="C740" s="4" t="s">
        <v>8</v>
      </c>
      <c r="D740" s="11">
        <v>39933</v>
      </c>
      <c r="E740" s="7" t="s">
        <v>538</v>
      </c>
      <c r="F740" s="4" t="s">
        <v>4753</v>
      </c>
      <c r="G740" s="12" t="str">
        <f>IF(AND(Tabela1[[#This Row],[Data nascimento]]&gt;=$J$2,Tabela1[[#This Row],[Data nascimento]]&lt;=$I$2),"INFANTIL A",H740)</f>
        <v>JUVENIL</v>
      </c>
      <c r="H740" s="3" t="str">
        <f>IF(AND(Tabela1[[#This Row],[Data nascimento]]&gt;=$L$2,Tabela1[[#This Row],[Data nascimento]]&lt;=$K$2),"INFANTIL B",I740)</f>
        <v>JUVENIL</v>
      </c>
      <c r="I740" s="9" t="str">
        <f>IF(AND(Tabela1[[#This Row],[Data nascimento]]&gt;=$N$2,Tabela1[[#This Row],[Data nascimento]]&lt;=$M$2),"INICIADO",J740)</f>
        <v>JUVENIL</v>
      </c>
      <c r="J740" s="9" t="str">
        <f>IF(AND(Tabela1[[#This Row],[Data nascimento]]&gt;=$P$2,Tabela1[[#This Row],[Data nascimento]]&lt;=$O$2),"JUVENIL","JÚNIOR")</f>
        <v>JUVENIL</v>
      </c>
    </row>
    <row r="741" spans="1:10" ht="15" x14ac:dyDescent="0.4">
      <c r="A741" s="13" t="s">
        <v>539</v>
      </c>
      <c r="B741" s="2" t="s">
        <v>540</v>
      </c>
      <c r="C741" s="4" t="s">
        <v>8</v>
      </c>
      <c r="D741" s="11">
        <v>39464</v>
      </c>
      <c r="E741" s="7" t="s">
        <v>541</v>
      </c>
      <c r="F741" s="4" t="s">
        <v>4753</v>
      </c>
      <c r="G741" s="12" t="str">
        <f>IF(AND(Tabela1[[#This Row],[Data nascimento]]&gt;=$J$2,Tabela1[[#This Row],[Data nascimento]]&lt;=$I$2),"INFANTIL A",H741)</f>
        <v>JUVENIL</v>
      </c>
      <c r="H741" s="3" t="str">
        <f>IF(AND(Tabela1[[#This Row],[Data nascimento]]&gt;=$L$2,Tabela1[[#This Row],[Data nascimento]]&lt;=$K$2),"INFANTIL B",I741)</f>
        <v>JUVENIL</v>
      </c>
      <c r="I741" s="9" t="str">
        <f>IF(AND(Tabela1[[#This Row],[Data nascimento]]&gt;=$N$2,Tabela1[[#This Row],[Data nascimento]]&lt;=$M$2),"INICIADO",J741)</f>
        <v>JUVENIL</v>
      </c>
      <c r="J741" s="9" t="str">
        <f>IF(AND(Tabela1[[#This Row],[Data nascimento]]&gt;=$P$2,Tabela1[[#This Row],[Data nascimento]]&lt;=$O$2),"JUVENIL","JÚNIOR")</f>
        <v>JUVENIL</v>
      </c>
    </row>
    <row r="742" spans="1:10" ht="15" x14ac:dyDescent="0.4">
      <c r="A742" s="13" t="s">
        <v>542</v>
      </c>
      <c r="B742" s="2" t="s">
        <v>543</v>
      </c>
      <c r="C742" s="4" t="s">
        <v>8</v>
      </c>
      <c r="D742" s="11">
        <v>39559</v>
      </c>
      <c r="E742" s="7" t="s">
        <v>544</v>
      </c>
      <c r="F742" s="4" t="s">
        <v>4753</v>
      </c>
      <c r="G742" s="12" t="str">
        <f>IF(AND(Tabela1[[#This Row],[Data nascimento]]&gt;=$J$2,Tabela1[[#This Row],[Data nascimento]]&lt;=$I$2),"INFANTIL A",H742)</f>
        <v>JUVENIL</v>
      </c>
      <c r="H742" s="3" t="str">
        <f>IF(AND(Tabela1[[#This Row],[Data nascimento]]&gt;=$L$2,Tabela1[[#This Row],[Data nascimento]]&lt;=$K$2),"INFANTIL B",I742)</f>
        <v>JUVENIL</v>
      </c>
      <c r="I742" s="9" t="str">
        <f>IF(AND(Tabela1[[#This Row],[Data nascimento]]&gt;=$N$2,Tabela1[[#This Row],[Data nascimento]]&lt;=$M$2),"INICIADO",J742)</f>
        <v>JUVENIL</v>
      </c>
      <c r="J742" s="9" t="str">
        <f>IF(AND(Tabela1[[#This Row],[Data nascimento]]&gt;=$P$2,Tabela1[[#This Row],[Data nascimento]]&lt;=$O$2),"JUVENIL","JÚNIOR")</f>
        <v>JUVENIL</v>
      </c>
    </row>
    <row r="743" spans="1:10" ht="15" x14ac:dyDescent="0.4">
      <c r="A743" s="13" t="s">
        <v>545</v>
      </c>
      <c r="B743" s="2" t="s">
        <v>546</v>
      </c>
      <c r="C743" s="4" t="s">
        <v>8</v>
      </c>
      <c r="D743" s="11">
        <v>39618</v>
      </c>
      <c r="E743" s="7" t="s">
        <v>547</v>
      </c>
      <c r="F743" s="4" t="s">
        <v>4753</v>
      </c>
      <c r="G743" s="12" t="str">
        <f>IF(AND(Tabela1[[#This Row],[Data nascimento]]&gt;=$J$2,Tabela1[[#This Row],[Data nascimento]]&lt;=$I$2),"INFANTIL A",H743)</f>
        <v>JUVENIL</v>
      </c>
      <c r="H743" s="3" t="str">
        <f>IF(AND(Tabela1[[#This Row],[Data nascimento]]&gt;=$L$2,Tabela1[[#This Row],[Data nascimento]]&lt;=$K$2),"INFANTIL B",I743)</f>
        <v>JUVENIL</v>
      </c>
      <c r="I743" s="9" t="str">
        <f>IF(AND(Tabela1[[#This Row],[Data nascimento]]&gt;=$N$2,Tabela1[[#This Row],[Data nascimento]]&lt;=$M$2),"INICIADO",J743)</f>
        <v>JUVENIL</v>
      </c>
      <c r="J743" s="9" t="str">
        <f>IF(AND(Tabela1[[#This Row],[Data nascimento]]&gt;=$P$2,Tabela1[[#This Row],[Data nascimento]]&lt;=$O$2),"JUVENIL","JÚNIOR")</f>
        <v>JUVENIL</v>
      </c>
    </row>
    <row r="744" spans="1:10" ht="15" x14ac:dyDescent="0.4">
      <c r="A744" s="13" t="s">
        <v>548</v>
      </c>
      <c r="B744" s="2" t="s">
        <v>549</v>
      </c>
      <c r="C744" s="4" t="s">
        <v>8</v>
      </c>
      <c r="D744" s="11">
        <v>39839</v>
      </c>
      <c r="E744" s="7" t="s">
        <v>550</v>
      </c>
      <c r="F744" s="4" t="s">
        <v>4753</v>
      </c>
      <c r="G744" s="12" t="str">
        <f>IF(AND(Tabela1[[#This Row],[Data nascimento]]&gt;=$J$2,Tabela1[[#This Row],[Data nascimento]]&lt;=$I$2),"INFANTIL A",H744)</f>
        <v>JUVENIL</v>
      </c>
      <c r="H744" s="3" t="str">
        <f>IF(AND(Tabela1[[#This Row],[Data nascimento]]&gt;=$L$2,Tabela1[[#This Row],[Data nascimento]]&lt;=$K$2),"INFANTIL B",I744)</f>
        <v>JUVENIL</v>
      </c>
      <c r="I744" s="9" t="str">
        <f>IF(AND(Tabela1[[#This Row],[Data nascimento]]&gt;=$N$2,Tabela1[[#This Row],[Data nascimento]]&lt;=$M$2),"INICIADO",J744)</f>
        <v>JUVENIL</v>
      </c>
      <c r="J744" s="9" t="str">
        <f>IF(AND(Tabela1[[#This Row],[Data nascimento]]&gt;=$P$2,Tabela1[[#This Row],[Data nascimento]]&lt;=$O$2),"JUVENIL","JÚNIOR")</f>
        <v>JUVENIL</v>
      </c>
    </row>
    <row r="745" spans="1:10" ht="15" x14ac:dyDescent="0.4">
      <c r="A745" s="13" t="s">
        <v>551</v>
      </c>
      <c r="B745" s="2" t="s">
        <v>552</v>
      </c>
      <c r="C745" s="4" t="s">
        <v>8</v>
      </c>
      <c r="D745" s="11">
        <v>39597</v>
      </c>
      <c r="E745" s="7" t="s">
        <v>553</v>
      </c>
      <c r="F745" s="4" t="s">
        <v>4753</v>
      </c>
      <c r="G745" s="12" t="str">
        <f>IF(AND(Tabela1[[#This Row],[Data nascimento]]&gt;=$J$2,Tabela1[[#This Row],[Data nascimento]]&lt;=$I$2),"INFANTIL A",H745)</f>
        <v>JUVENIL</v>
      </c>
      <c r="H745" s="3" t="str">
        <f>IF(AND(Tabela1[[#This Row],[Data nascimento]]&gt;=$L$2,Tabela1[[#This Row],[Data nascimento]]&lt;=$K$2),"INFANTIL B",I745)</f>
        <v>JUVENIL</v>
      </c>
      <c r="I745" s="9" t="str">
        <f>IF(AND(Tabela1[[#This Row],[Data nascimento]]&gt;=$N$2,Tabela1[[#This Row],[Data nascimento]]&lt;=$M$2),"INICIADO",J745)</f>
        <v>JUVENIL</v>
      </c>
      <c r="J745" s="9" t="str">
        <f>IF(AND(Tabela1[[#This Row],[Data nascimento]]&gt;=$P$2,Tabela1[[#This Row],[Data nascimento]]&lt;=$O$2),"JUVENIL","JÚNIOR")</f>
        <v>JUVENIL</v>
      </c>
    </row>
    <row r="746" spans="1:10" ht="15" x14ac:dyDescent="0.4">
      <c r="A746" s="13" t="s">
        <v>554</v>
      </c>
      <c r="B746" s="2" t="s">
        <v>555</v>
      </c>
      <c r="C746" s="4" t="s">
        <v>8</v>
      </c>
      <c r="D746" s="11">
        <v>39559</v>
      </c>
      <c r="E746" s="7" t="s">
        <v>556</v>
      </c>
      <c r="F746" s="4" t="s">
        <v>4753</v>
      </c>
      <c r="G746" s="12" t="str">
        <f>IF(AND(Tabela1[[#This Row],[Data nascimento]]&gt;=$J$2,Tabela1[[#This Row],[Data nascimento]]&lt;=$I$2),"INFANTIL A",H746)</f>
        <v>JUVENIL</v>
      </c>
      <c r="H746" s="3" t="str">
        <f>IF(AND(Tabela1[[#This Row],[Data nascimento]]&gt;=$L$2,Tabela1[[#This Row],[Data nascimento]]&lt;=$K$2),"INFANTIL B",I746)</f>
        <v>JUVENIL</v>
      </c>
      <c r="I746" s="9" t="str">
        <f>IF(AND(Tabela1[[#This Row],[Data nascimento]]&gt;=$N$2,Tabela1[[#This Row],[Data nascimento]]&lt;=$M$2),"INICIADO",J746)</f>
        <v>JUVENIL</v>
      </c>
      <c r="J746" s="9" t="str">
        <f>IF(AND(Tabela1[[#This Row],[Data nascimento]]&gt;=$P$2,Tabela1[[#This Row],[Data nascimento]]&lt;=$O$2),"JUVENIL","JÚNIOR")</f>
        <v>JUVENIL</v>
      </c>
    </row>
    <row r="747" spans="1:10" ht="15" x14ac:dyDescent="0.4">
      <c r="A747" s="13" t="s">
        <v>557</v>
      </c>
      <c r="B747" s="2" t="s">
        <v>558</v>
      </c>
      <c r="C747" s="4" t="s">
        <v>8</v>
      </c>
      <c r="D747" s="11">
        <v>40106</v>
      </c>
      <c r="E747" s="7" t="s">
        <v>559</v>
      </c>
      <c r="F747" s="4" t="s">
        <v>4753</v>
      </c>
      <c r="G747" s="12" t="str">
        <f>IF(AND(Tabela1[[#This Row],[Data nascimento]]&gt;=$J$2,Tabela1[[#This Row],[Data nascimento]]&lt;=$I$2),"INFANTIL A",H747)</f>
        <v>JUVENIL</v>
      </c>
      <c r="H747" s="3" t="str">
        <f>IF(AND(Tabela1[[#This Row],[Data nascimento]]&gt;=$L$2,Tabela1[[#This Row],[Data nascimento]]&lt;=$K$2),"INFANTIL B",I747)</f>
        <v>JUVENIL</v>
      </c>
      <c r="I747" s="9" t="str">
        <f>IF(AND(Tabela1[[#This Row],[Data nascimento]]&gt;=$N$2,Tabela1[[#This Row],[Data nascimento]]&lt;=$M$2),"INICIADO",J747)</f>
        <v>JUVENIL</v>
      </c>
      <c r="J747" s="9" t="str">
        <f>IF(AND(Tabela1[[#This Row],[Data nascimento]]&gt;=$P$2,Tabela1[[#This Row],[Data nascimento]]&lt;=$O$2),"JUVENIL","JÚNIOR")</f>
        <v>JUVENIL</v>
      </c>
    </row>
    <row r="748" spans="1:10" ht="15" x14ac:dyDescent="0.4">
      <c r="A748" s="13" t="s">
        <v>560</v>
      </c>
      <c r="B748" s="2" t="s">
        <v>561</v>
      </c>
      <c r="C748" s="4" t="s">
        <v>8</v>
      </c>
      <c r="D748" s="11">
        <v>39367</v>
      </c>
      <c r="E748" s="7" t="s">
        <v>562</v>
      </c>
      <c r="F748" s="4" t="s">
        <v>4753</v>
      </c>
      <c r="G748" s="12" t="str">
        <f>IF(AND(Tabela1[[#This Row],[Data nascimento]]&gt;=$J$2,Tabela1[[#This Row],[Data nascimento]]&lt;=$I$2),"INFANTIL A",H748)</f>
        <v>JÚNIOR</v>
      </c>
      <c r="H748" s="3" t="str">
        <f>IF(AND(Tabela1[[#This Row],[Data nascimento]]&gt;=$L$2,Tabela1[[#This Row],[Data nascimento]]&lt;=$K$2),"INFANTIL B",I748)</f>
        <v>JÚNIOR</v>
      </c>
      <c r="I748" s="9" t="str">
        <f>IF(AND(Tabela1[[#This Row],[Data nascimento]]&gt;=$N$2,Tabela1[[#This Row],[Data nascimento]]&lt;=$M$2),"INICIADO",J748)</f>
        <v>JÚNIOR</v>
      </c>
      <c r="J748" s="9" t="str">
        <f>IF(AND(Tabela1[[#This Row],[Data nascimento]]&gt;=$P$2,Tabela1[[#This Row],[Data nascimento]]&lt;=$O$2),"JUVENIL","JÚNIOR")</f>
        <v>JÚNIOR</v>
      </c>
    </row>
    <row r="749" spans="1:10" ht="15" x14ac:dyDescent="0.4">
      <c r="A749" s="13" t="s">
        <v>563</v>
      </c>
      <c r="B749" s="2" t="s">
        <v>564</v>
      </c>
      <c r="C749" s="4" t="s">
        <v>8</v>
      </c>
      <c r="D749" s="11">
        <v>39446</v>
      </c>
      <c r="E749" s="7" t="s">
        <v>565</v>
      </c>
      <c r="F749" s="4" t="s">
        <v>4753</v>
      </c>
      <c r="G749" s="12" t="str">
        <f>IF(AND(Tabela1[[#This Row],[Data nascimento]]&gt;=$J$2,Tabela1[[#This Row],[Data nascimento]]&lt;=$I$2),"INFANTIL A",H749)</f>
        <v>JÚNIOR</v>
      </c>
      <c r="H749" s="3" t="str">
        <f>IF(AND(Tabela1[[#This Row],[Data nascimento]]&gt;=$L$2,Tabela1[[#This Row],[Data nascimento]]&lt;=$K$2),"INFANTIL B",I749)</f>
        <v>JÚNIOR</v>
      </c>
      <c r="I749" s="9" t="str">
        <f>IF(AND(Tabela1[[#This Row],[Data nascimento]]&gt;=$N$2,Tabela1[[#This Row],[Data nascimento]]&lt;=$M$2),"INICIADO",J749)</f>
        <v>JÚNIOR</v>
      </c>
      <c r="J749" s="9" t="str">
        <f>IF(AND(Tabela1[[#This Row],[Data nascimento]]&gt;=$P$2,Tabela1[[#This Row],[Data nascimento]]&lt;=$O$2),"JUVENIL","JÚNIOR")</f>
        <v>JÚNIOR</v>
      </c>
    </row>
    <row r="750" spans="1:10" ht="15" x14ac:dyDescent="0.4">
      <c r="A750" s="13" t="s">
        <v>566</v>
      </c>
      <c r="B750" s="2" t="s">
        <v>567</v>
      </c>
      <c r="C750" s="4" t="s">
        <v>8</v>
      </c>
      <c r="D750" s="11">
        <v>40086</v>
      </c>
      <c r="E750" s="7" t="s">
        <v>568</v>
      </c>
      <c r="F750" s="4" t="s">
        <v>4753</v>
      </c>
      <c r="G750" s="12" t="str">
        <f>IF(AND(Tabela1[[#This Row],[Data nascimento]]&gt;=$J$2,Tabela1[[#This Row],[Data nascimento]]&lt;=$I$2),"INFANTIL A",H750)</f>
        <v>JUVENIL</v>
      </c>
      <c r="H750" s="3" t="str">
        <f>IF(AND(Tabela1[[#This Row],[Data nascimento]]&gt;=$L$2,Tabela1[[#This Row],[Data nascimento]]&lt;=$K$2),"INFANTIL B",I750)</f>
        <v>JUVENIL</v>
      </c>
      <c r="I750" s="9" t="str">
        <f>IF(AND(Tabela1[[#This Row],[Data nascimento]]&gt;=$N$2,Tabela1[[#This Row],[Data nascimento]]&lt;=$M$2),"INICIADO",J750)</f>
        <v>JUVENIL</v>
      </c>
      <c r="J750" s="9" t="str">
        <f>IF(AND(Tabela1[[#This Row],[Data nascimento]]&gt;=$P$2,Tabela1[[#This Row],[Data nascimento]]&lt;=$O$2),"JUVENIL","JÚNIOR")</f>
        <v>JUVENIL</v>
      </c>
    </row>
    <row r="751" spans="1:10" ht="15" x14ac:dyDescent="0.4">
      <c r="A751" s="13" t="s">
        <v>569</v>
      </c>
      <c r="B751" s="2" t="s">
        <v>570</v>
      </c>
      <c r="C751" s="4" t="s">
        <v>8</v>
      </c>
      <c r="D751" s="11">
        <v>39685</v>
      </c>
      <c r="E751" s="7" t="s">
        <v>571</v>
      </c>
      <c r="F751" s="4" t="s">
        <v>4753</v>
      </c>
      <c r="G751" s="12" t="str">
        <f>IF(AND(Tabela1[[#This Row],[Data nascimento]]&gt;=$J$2,Tabela1[[#This Row],[Data nascimento]]&lt;=$I$2),"INFANTIL A",H751)</f>
        <v>JUVENIL</v>
      </c>
      <c r="H751" s="3" t="str">
        <f>IF(AND(Tabela1[[#This Row],[Data nascimento]]&gt;=$L$2,Tabela1[[#This Row],[Data nascimento]]&lt;=$K$2),"INFANTIL B",I751)</f>
        <v>JUVENIL</v>
      </c>
      <c r="I751" s="9" t="str">
        <f>IF(AND(Tabela1[[#This Row],[Data nascimento]]&gt;=$N$2,Tabela1[[#This Row],[Data nascimento]]&lt;=$M$2),"INICIADO",J751)</f>
        <v>JUVENIL</v>
      </c>
      <c r="J751" s="9" t="str">
        <f>IF(AND(Tabela1[[#This Row],[Data nascimento]]&gt;=$P$2,Tabela1[[#This Row],[Data nascimento]]&lt;=$O$2),"JUVENIL","JÚNIOR")</f>
        <v>JUVENIL</v>
      </c>
    </row>
    <row r="752" spans="1:10" ht="15" x14ac:dyDescent="0.4">
      <c r="A752" s="13" t="s">
        <v>572</v>
      </c>
      <c r="B752" s="2" t="s">
        <v>573</v>
      </c>
      <c r="C752" s="4" t="s">
        <v>8</v>
      </c>
      <c r="D752" s="11">
        <v>39565</v>
      </c>
      <c r="E752" s="7" t="s">
        <v>574</v>
      </c>
      <c r="F752" s="4" t="s">
        <v>4753</v>
      </c>
      <c r="G752" s="12" t="str">
        <f>IF(AND(Tabela1[[#This Row],[Data nascimento]]&gt;=$J$2,Tabela1[[#This Row],[Data nascimento]]&lt;=$I$2),"INFANTIL A",H752)</f>
        <v>JUVENIL</v>
      </c>
      <c r="H752" s="3" t="str">
        <f>IF(AND(Tabela1[[#This Row],[Data nascimento]]&gt;=$L$2,Tabela1[[#This Row],[Data nascimento]]&lt;=$K$2),"INFANTIL B",I752)</f>
        <v>JUVENIL</v>
      </c>
      <c r="I752" s="9" t="str">
        <f>IF(AND(Tabela1[[#This Row],[Data nascimento]]&gt;=$N$2,Tabela1[[#This Row],[Data nascimento]]&lt;=$M$2),"INICIADO",J752)</f>
        <v>JUVENIL</v>
      </c>
      <c r="J752" s="9" t="str">
        <f>IF(AND(Tabela1[[#This Row],[Data nascimento]]&gt;=$P$2,Tabela1[[#This Row],[Data nascimento]]&lt;=$O$2),"JUVENIL","JÚNIOR")</f>
        <v>JUVENIL</v>
      </c>
    </row>
    <row r="753" spans="1:10" ht="15" x14ac:dyDescent="0.4">
      <c r="A753" s="13" t="s">
        <v>575</v>
      </c>
      <c r="B753" s="2" t="s">
        <v>576</v>
      </c>
      <c r="C753" s="4" t="s">
        <v>8</v>
      </c>
      <c r="D753" s="11">
        <v>39823</v>
      </c>
      <c r="E753" s="7" t="s">
        <v>577</v>
      </c>
      <c r="F753" s="4" t="s">
        <v>4753</v>
      </c>
      <c r="G753" s="12" t="str">
        <f>IF(AND(Tabela1[[#This Row],[Data nascimento]]&gt;=$J$2,Tabela1[[#This Row],[Data nascimento]]&lt;=$I$2),"INFANTIL A",H753)</f>
        <v>JUVENIL</v>
      </c>
      <c r="H753" s="3" t="str">
        <f>IF(AND(Tabela1[[#This Row],[Data nascimento]]&gt;=$L$2,Tabela1[[#This Row],[Data nascimento]]&lt;=$K$2),"INFANTIL B",I753)</f>
        <v>JUVENIL</v>
      </c>
      <c r="I753" s="9" t="str">
        <f>IF(AND(Tabela1[[#This Row],[Data nascimento]]&gt;=$N$2,Tabela1[[#This Row],[Data nascimento]]&lt;=$M$2),"INICIADO",J753)</f>
        <v>JUVENIL</v>
      </c>
      <c r="J753" s="9" t="str">
        <f>IF(AND(Tabela1[[#This Row],[Data nascimento]]&gt;=$P$2,Tabela1[[#This Row],[Data nascimento]]&lt;=$O$2),"JUVENIL","JÚNIOR")</f>
        <v>JUVENIL</v>
      </c>
    </row>
    <row r="754" spans="1:10" ht="15" x14ac:dyDescent="0.4">
      <c r="A754" s="13" t="s">
        <v>578</v>
      </c>
      <c r="B754" s="2" t="s">
        <v>579</v>
      </c>
      <c r="C754" s="4" t="s">
        <v>8</v>
      </c>
      <c r="D754" s="11">
        <v>39919</v>
      </c>
      <c r="E754" s="7" t="s">
        <v>580</v>
      </c>
      <c r="F754" s="4" t="s">
        <v>4753</v>
      </c>
      <c r="G754" s="12" t="str">
        <f>IF(AND(Tabela1[[#This Row],[Data nascimento]]&gt;=$J$2,Tabela1[[#This Row],[Data nascimento]]&lt;=$I$2),"INFANTIL A",H754)</f>
        <v>JUVENIL</v>
      </c>
      <c r="H754" s="3" t="str">
        <f>IF(AND(Tabela1[[#This Row],[Data nascimento]]&gt;=$L$2,Tabela1[[#This Row],[Data nascimento]]&lt;=$K$2),"INFANTIL B",I754)</f>
        <v>JUVENIL</v>
      </c>
      <c r="I754" s="9" t="str">
        <f>IF(AND(Tabela1[[#This Row],[Data nascimento]]&gt;=$N$2,Tabela1[[#This Row],[Data nascimento]]&lt;=$M$2),"INICIADO",J754)</f>
        <v>JUVENIL</v>
      </c>
      <c r="J754" s="9" t="str">
        <f>IF(AND(Tabela1[[#This Row],[Data nascimento]]&gt;=$P$2,Tabela1[[#This Row],[Data nascimento]]&lt;=$O$2),"JUVENIL","JÚNIOR")</f>
        <v>JUVENIL</v>
      </c>
    </row>
    <row r="755" spans="1:10" ht="15" x14ac:dyDescent="0.4">
      <c r="A755" s="13" t="s">
        <v>581</v>
      </c>
      <c r="B755" s="2" t="s">
        <v>582</v>
      </c>
      <c r="C755" s="4" t="s">
        <v>8</v>
      </c>
      <c r="D755" s="11">
        <v>39393</v>
      </c>
      <c r="E755" s="7" t="s">
        <v>583</v>
      </c>
      <c r="F755" s="4" t="s">
        <v>4753</v>
      </c>
      <c r="G755" s="12" t="str">
        <f>IF(AND(Tabela1[[#This Row],[Data nascimento]]&gt;=$J$2,Tabela1[[#This Row],[Data nascimento]]&lt;=$I$2),"INFANTIL A",H755)</f>
        <v>JÚNIOR</v>
      </c>
      <c r="H755" s="3" t="str">
        <f>IF(AND(Tabela1[[#This Row],[Data nascimento]]&gt;=$L$2,Tabela1[[#This Row],[Data nascimento]]&lt;=$K$2),"INFANTIL B",I755)</f>
        <v>JÚNIOR</v>
      </c>
      <c r="I755" s="9" t="str">
        <f>IF(AND(Tabela1[[#This Row],[Data nascimento]]&gt;=$N$2,Tabela1[[#This Row],[Data nascimento]]&lt;=$M$2),"INICIADO",J755)</f>
        <v>JÚNIOR</v>
      </c>
      <c r="J755" s="9" t="str">
        <f>IF(AND(Tabela1[[#This Row],[Data nascimento]]&gt;=$P$2,Tabela1[[#This Row],[Data nascimento]]&lt;=$O$2),"JUVENIL","JÚNIOR")</f>
        <v>JÚNIOR</v>
      </c>
    </row>
    <row r="756" spans="1:10" ht="15" x14ac:dyDescent="0.4">
      <c r="A756" s="13" t="s">
        <v>584</v>
      </c>
      <c r="B756" s="2" t="s">
        <v>585</v>
      </c>
      <c r="C756" s="4" t="s">
        <v>8</v>
      </c>
      <c r="D756" s="11">
        <v>40023</v>
      </c>
      <c r="E756" s="7" t="s">
        <v>586</v>
      </c>
      <c r="F756" s="4" t="s">
        <v>4753</v>
      </c>
      <c r="G756" s="12" t="str">
        <f>IF(AND(Tabela1[[#This Row],[Data nascimento]]&gt;=$J$2,Tabela1[[#This Row],[Data nascimento]]&lt;=$I$2),"INFANTIL A",H756)</f>
        <v>JUVENIL</v>
      </c>
      <c r="H756" s="3" t="str">
        <f>IF(AND(Tabela1[[#This Row],[Data nascimento]]&gt;=$L$2,Tabela1[[#This Row],[Data nascimento]]&lt;=$K$2),"INFANTIL B",I756)</f>
        <v>JUVENIL</v>
      </c>
      <c r="I756" s="9" t="str">
        <f>IF(AND(Tabela1[[#This Row],[Data nascimento]]&gt;=$N$2,Tabela1[[#This Row],[Data nascimento]]&lt;=$M$2),"INICIADO",J756)</f>
        <v>JUVENIL</v>
      </c>
      <c r="J756" s="9" t="str">
        <f>IF(AND(Tabela1[[#This Row],[Data nascimento]]&gt;=$P$2,Tabela1[[#This Row],[Data nascimento]]&lt;=$O$2),"JUVENIL","JÚNIOR")</f>
        <v>JUVENIL</v>
      </c>
    </row>
    <row r="757" spans="1:10" ht="15" x14ac:dyDescent="0.4">
      <c r="A757" s="13" t="s">
        <v>587</v>
      </c>
      <c r="B757" s="2" t="s">
        <v>588</v>
      </c>
      <c r="C757" s="4" t="s">
        <v>8</v>
      </c>
      <c r="D757" s="11">
        <v>39702</v>
      </c>
      <c r="E757" s="7" t="s">
        <v>589</v>
      </c>
      <c r="F757" s="4" t="s">
        <v>4754</v>
      </c>
      <c r="G757" s="12" t="str">
        <f>IF(AND(Tabela1[[#This Row],[Data nascimento]]&gt;=$J$2,Tabela1[[#This Row],[Data nascimento]]&lt;=$I$2),"INFANTIL A",H757)</f>
        <v>JUVENIL</v>
      </c>
      <c r="H757" s="3" t="str">
        <f>IF(AND(Tabela1[[#This Row],[Data nascimento]]&gt;=$L$2,Tabela1[[#This Row],[Data nascimento]]&lt;=$K$2),"INFANTIL B",I757)</f>
        <v>JUVENIL</v>
      </c>
      <c r="I757" s="9" t="str">
        <f>IF(AND(Tabela1[[#This Row],[Data nascimento]]&gt;=$N$2,Tabela1[[#This Row],[Data nascimento]]&lt;=$M$2),"INICIADO",J757)</f>
        <v>JUVENIL</v>
      </c>
      <c r="J757" s="9" t="str">
        <f>IF(AND(Tabela1[[#This Row],[Data nascimento]]&gt;=$P$2,Tabela1[[#This Row],[Data nascimento]]&lt;=$O$2),"JUVENIL","JÚNIOR")</f>
        <v>JUVENIL</v>
      </c>
    </row>
    <row r="758" spans="1:10" ht="15" x14ac:dyDescent="0.4">
      <c r="A758" s="13" t="s">
        <v>590</v>
      </c>
      <c r="B758" s="2" t="s">
        <v>591</v>
      </c>
      <c r="C758" s="4" t="s">
        <v>8</v>
      </c>
      <c r="D758" s="11">
        <v>39760</v>
      </c>
      <c r="E758" s="7" t="s">
        <v>592</v>
      </c>
      <c r="F758" s="4" t="s">
        <v>4754</v>
      </c>
      <c r="G758" s="12" t="str">
        <f>IF(AND(Tabela1[[#This Row],[Data nascimento]]&gt;=$J$2,Tabela1[[#This Row],[Data nascimento]]&lt;=$I$2),"INFANTIL A",H758)</f>
        <v>JUVENIL</v>
      </c>
      <c r="H758" s="3" t="str">
        <f>IF(AND(Tabela1[[#This Row],[Data nascimento]]&gt;=$L$2,Tabela1[[#This Row],[Data nascimento]]&lt;=$K$2),"INFANTIL B",I758)</f>
        <v>JUVENIL</v>
      </c>
      <c r="I758" s="9" t="str">
        <f>IF(AND(Tabela1[[#This Row],[Data nascimento]]&gt;=$N$2,Tabela1[[#This Row],[Data nascimento]]&lt;=$M$2),"INICIADO",J758)</f>
        <v>JUVENIL</v>
      </c>
      <c r="J758" s="9" t="str">
        <f>IF(AND(Tabela1[[#This Row],[Data nascimento]]&gt;=$P$2,Tabela1[[#This Row],[Data nascimento]]&lt;=$O$2),"JUVENIL","JÚNIOR")</f>
        <v>JUVENIL</v>
      </c>
    </row>
    <row r="759" spans="1:10" ht="15" x14ac:dyDescent="0.4">
      <c r="A759" s="13" t="s">
        <v>593</v>
      </c>
      <c r="B759" s="2" t="s">
        <v>594</v>
      </c>
      <c r="C759" s="4" t="s">
        <v>21</v>
      </c>
      <c r="D759" s="11">
        <v>40094</v>
      </c>
      <c r="E759" s="7" t="s">
        <v>595</v>
      </c>
      <c r="F759" s="4" t="s">
        <v>4754</v>
      </c>
      <c r="G759" s="12" t="str">
        <f>IF(AND(Tabela1[[#This Row],[Data nascimento]]&gt;=$J$2,Tabela1[[#This Row],[Data nascimento]]&lt;=$I$2),"INFANTIL A",H759)</f>
        <v>JUVENIL</v>
      </c>
      <c r="H759" s="3" t="str">
        <f>IF(AND(Tabela1[[#This Row],[Data nascimento]]&gt;=$L$2,Tabela1[[#This Row],[Data nascimento]]&lt;=$K$2),"INFANTIL B",I759)</f>
        <v>JUVENIL</v>
      </c>
      <c r="I759" s="9" t="str">
        <f>IF(AND(Tabela1[[#This Row],[Data nascimento]]&gt;=$N$2,Tabela1[[#This Row],[Data nascimento]]&lt;=$M$2),"INICIADO",J759)</f>
        <v>JUVENIL</v>
      </c>
      <c r="J759" s="9" t="str">
        <f>IF(AND(Tabela1[[#This Row],[Data nascimento]]&gt;=$P$2,Tabela1[[#This Row],[Data nascimento]]&lt;=$O$2),"JUVENIL","JÚNIOR")</f>
        <v>JUVENIL</v>
      </c>
    </row>
    <row r="760" spans="1:10" ht="15" x14ac:dyDescent="0.4">
      <c r="A760" s="13" t="s">
        <v>596</v>
      </c>
      <c r="B760" s="2" t="s">
        <v>597</v>
      </c>
      <c r="C760" s="4" t="s">
        <v>8</v>
      </c>
      <c r="D760" s="11">
        <v>39344</v>
      </c>
      <c r="E760" s="7" t="s">
        <v>598</v>
      </c>
      <c r="F760" s="4" t="s">
        <v>4754</v>
      </c>
      <c r="G760" s="12" t="str">
        <f>IF(AND(Tabela1[[#This Row],[Data nascimento]]&gt;=$J$2,Tabela1[[#This Row],[Data nascimento]]&lt;=$I$2),"INFANTIL A",H760)</f>
        <v>JÚNIOR</v>
      </c>
      <c r="H760" s="3" t="str">
        <f>IF(AND(Tabela1[[#This Row],[Data nascimento]]&gt;=$L$2,Tabela1[[#This Row],[Data nascimento]]&lt;=$K$2),"INFANTIL B",I760)</f>
        <v>JÚNIOR</v>
      </c>
      <c r="I760" s="9" t="str">
        <f>IF(AND(Tabela1[[#This Row],[Data nascimento]]&gt;=$N$2,Tabela1[[#This Row],[Data nascimento]]&lt;=$M$2),"INICIADO",J760)</f>
        <v>JÚNIOR</v>
      </c>
      <c r="J760" s="9" t="str">
        <f>IF(AND(Tabela1[[#This Row],[Data nascimento]]&gt;=$P$2,Tabela1[[#This Row],[Data nascimento]]&lt;=$O$2),"JUVENIL","JÚNIOR")</f>
        <v>JÚNIOR</v>
      </c>
    </row>
    <row r="761" spans="1:10" ht="15" x14ac:dyDescent="0.4">
      <c r="A761" s="13" t="s">
        <v>599</v>
      </c>
      <c r="B761" s="2" t="s">
        <v>600</v>
      </c>
      <c r="C761" s="4" t="s">
        <v>8</v>
      </c>
      <c r="D761" s="11">
        <v>39978</v>
      </c>
      <c r="E761" s="7" t="s">
        <v>601</v>
      </c>
      <c r="F761" s="4" t="s">
        <v>4754</v>
      </c>
      <c r="G761" s="12" t="str">
        <f>IF(AND(Tabela1[[#This Row],[Data nascimento]]&gt;=$J$2,Tabela1[[#This Row],[Data nascimento]]&lt;=$I$2),"INFANTIL A",H761)</f>
        <v>JUVENIL</v>
      </c>
      <c r="H761" s="3" t="str">
        <f>IF(AND(Tabela1[[#This Row],[Data nascimento]]&gt;=$L$2,Tabela1[[#This Row],[Data nascimento]]&lt;=$K$2),"INFANTIL B",I761)</f>
        <v>JUVENIL</v>
      </c>
      <c r="I761" s="9" t="str">
        <f>IF(AND(Tabela1[[#This Row],[Data nascimento]]&gt;=$N$2,Tabela1[[#This Row],[Data nascimento]]&lt;=$M$2),"INICIADO",J761)</f>
        <v>JUVENIL</v>
      </c>
      <c r="J761" s="9" t="str">
        <f>IF(AND(Tabela1[[#This Row],[Data nascimento]]&gt;=$P$2,Tabela1[[#This Row],[Data nascimento]]&lt;=$O$2),"JUVENIL","JÚNIOR")</f>
        <v>JUVENIL</v>
      </c>
    </row>
    <row r="762" spans="1:10" ht="15" x14ac:dyDescent="0.4">
      <c r="A762" s="13" t="s">
        <v>602</v>
      </c>
      <c r="B762" s="2" t="s">
        <v>603</v>
      </c>
      <c r="C762" s="4" t="s">
        <v>8</v>
      </c>
      <c r="D762" s="11">
        <v>39204</v>
      </c>
      <c r="E762" s="7" t="s">
        <v>604</v>
      </c>
      <c r="F762" s="4" t="s">
        <v>4754</v>
      </c>
      <c r="G762" s="12" t="str">
        <f>IF(AND(Tabela1[[#This Row],[Data nascimento]]&gt;=$J$2,Tabela1[[#This Row],[Data nascimento]]&lt;=$I$2),"INFANTIL A",H762)</f>
        <v>JÚNIOR</v>
      </c>
      <c r="H762" s="3" t="str">
        <f>IF(AND(Tabela1[[#This Row],[Data nascimento]]&gt;=$L$2,Tabela1[[#This Row],[Data nascimento]]&lt;=$K$2),"INFANTIL B",I762)</f>
        <v>JÚNIOR</v>
      </c>
      <c r="I762" s="9" t="str">
        <f>IF(AND(Tabela1[[#This Row],[Data nascimento]]&gt;=$N$2,Tabela1[[#This Row],[Data nascimento]]&lt;=$M$2),"INICIADO",J762)</f>
        <v>JÚNIOR</v>
      </c>
      <c r="J762" s="9" t="str">
        <f>IF(AND(Tabela1[[#This Row],[Data nascimento]]&gt;=$P$2,Tabela1[[#This Row],[Data nascimento]]&lt;=$O$2),"JUVENIL","JÚNIOR")</f>
        <v>JÚNIOR</v>
      </c>
    </row>
    <row r="763" spans="1:10" ht="15" x14ac:dyDescent="0.4">
      <c r="A763" s="13" t="s">
        <v>605</v>
      </c>
      <c r="B763" s="2" t="s">
        <v>606</v>
      </c>
      <c r="C763" s="4" t="s">
        <v>21</v>
      </c>
      <c r="D763" s="11">
        <v>39850</v>
      </c>
      <c r="E763" s="7" t="s">
        <v>607</v>
      </c>
      <c r="F763" s="4" t="s">
        <v>4754</v>
      </c>
      <c r="G763" s="12" t="str">
        <f>IF(AND(Tabela1[[#This Row],[Data nascimento]]&gt;=$J$2,Tabela1[[#This Row],[Data nascimento]]&lt;=$I$2),"INFANTIL A",H763)</f>
        <v>JUVENIL</v>
      </c>
      <c r="H763" s="3" t="str">
        <f>IF(AND(Tabela1[[#This Row],[Data nascimento]]&gt;=$L$2,Tabela1[[#This Row],[Data nascimento]]&lt;=$K$2),"INFANTIL B",I763)</f>
        <v>JUVENIL</v>
      </c>
      <c r="I763" s="9" t="str">
        <f>IF(AND(Tabela1[[#This Row],[Data nascimento]]&gt;=$N$2,Tabela1[[#This Row],[Data nascimento]]&lt;=$M$2),"INICIADO",J763)</f>
        <v>JUVENIL</v>
      </c>
      <c r="J763" s="9" t="str">
        <f>IF(AND(Tabela1[[#This Row],[Data nascimento]]&gt;=$P$2,Tabela1[[#This Row],[Data nascimento]]&lt;=$O$2),"JUVENIL","JÚNIOR")</f>
        <v>JUVENIL</v>
      </c>
    </row>
    <row r="764" spans="1:10" ht="15" x14ac:dyDescent="0.4">
      <c r="A764" s="13" t="s">
        <v>608</v>
      </c>
      <c r="B764" s="2" t="s">
        <v>609</v>
      </c>
      <c r="C764" s="4" t="s">
        <v>8</v>
      </c>
      <c r="D764" s="11">
        <v>40107</v>
      </c>
      <c r="E764" s="7" t="s">
        <v>610</v>
      </c>
      <c r="F764" s="4" t="s">
        <v>4754</v>
      </c>
      <c r="G764" s="12" t="str">
        <f>IF(AND(Tabela1[[#This Row],[Data nascimento]]&gt;=$J$2,Tabela1[[#This Row],[Data nascimento]]&lt;=$I$2),"INFANTIL A",H764)</f>
        <v>JUVENIL</v>
      </c>
      <c r="H764" s="3" t="str">
        <f>IF(AND(Tabela1[[#This Row],[Data nascimento]]&gt;=$L$2,Tabela1[[#This Row],[Data nascimento]]&lt;=$K$2),"INFANTIL B",I764)</f>
        <v>JUVENIL</v>
      </c>
      <c r="I764" s="9" t="str">
        <f>IF(AND(Tabela1[[#This Row],[Data nascimento]]&gt;=$N$2,Tabela1[[#This Row],[Data nascimento]]&lt;=$M$2),"INICIADO",J764)</f>
        <v>JUVENIL</v>
      </c>
      <c r="J764" s="9" t="str">
        <f>IF(AND(Tabela1[[#This Row],[Data nascimento]]&gt;=$P$2,Tabela1[[#This Row],[Data nascimento]]&lt;=$O$2),"JUVENIL","JÚNIOR")</f>
        <v>JUVENIL</v>
      </c>
    </row>
    <row r="765" spans="1:10" ht="15" x14ac:dyDescent="0.4">
      <c r="A765" s="13" t="s">
        <v>611</v>
      </c>
      <c r="B765" s="2" t="s">
        <v>612</v>
      </c>
      <c r="C765" s="4" t="s">
        <v>8</v>
      </c>
      <c r="D765" s="11">
        <v>39917</v>
      </c>
      <c r="E765" s="7" t="s">
        <v>613</v>
      </c>
      <c r="F765" s="4" t="s">
        <v>4754</v>
      </c>
      <c r="G765" s="12" t="str">
        <f>IF(AND(Tabela1[[#This Row],[Data nascimento]]&gt;=$J$2,Tabela1[[#This Row],[Data nascimento]]&lt;=$I$2),"INFANTIL A",H765)</f>
        <v>JUVENIL</v>
      </c>
      <c r="H765" s="3" t="str">
        <f>IF(AND(Tabela1[[#This Row],[Data nascimento]]&gt;=$L$2,Tabela1[[#This Row],[Data nascimento]]&lt;=$K$2),"INFANTIL B",I765)</f>
        <v>JUVENIL</v>
      </c>
      <c r="I765" s="9" t="str">
        <f>IF(AND(Tabela1[[#This Row],[Data nascimento]]&gt;=$N$2,Tabela1[[#This Row],[Data nascimento]]&lt;=$M$2),"INICIADO",J765)</f>
        <v>JUVENIL</v>
      </c>
      <c r="J765" s="9" t="str">
        <f>IF(AND(Tabela1[[#This Row],[Data nascimento]]&gt;=$P$2,Tabela1[[#This Row],[Data nascimento]]&lt;=$O$2),"JUVENIL","JÚNIOR")</f>
        <v>JUVENIL</v>
      </c>
    </row>
    <row r="766" spans="1:10" ht="15" x14ac:dyDescent="0.4">
      <c r="A766" s="13" t="s">
        <v>614</v>
      </c>
      <c r="B766" s="2" t="s">
        <v>615</v>
      </c>
      <c r="C766" s="4" t="s">
        <v>8</v>
      </c>
      <c r="D766" s="11">
        <v>39737</v>
      </c>
      <c r="E766" s="7" t="s">
        <v>616</v>
      </c>
      <c r="F766" s="4" t="s">
        <v>4754</v>
      </c>
      <c r="G766" s="12" t="str">
        <f>IF(AND(Tabela1[[#This Row],[Data nascimento]]&gt;=$J$2,Tabela1[[#This Row],[Data nascimento]]&lt;=$I$2),"INFANTIL A",H766)</f>
        <v>JUVENIL</v>
      </c>
      <c r="H766" s="3" t="str">
        <f>IF(AND(Tabela1[[#This Row],[Data nascimento]]&gt;=$L$2,Tabela1[[#This Row],[Data nascimento]]&lt;=$K$2),"INFANTIL B",I766)</f>
        <v>JUVENIL</v>
      </c>
      <c r="I766" s="9" t="str">
        <f>IF(AND(Tabela1[[#This Row],[Data nascimento]]&gt;=$N$2,Tabela1[[#This Row],[Data nascimento]]&lt;=$M$2),"INICIADO",J766)</f>
        <v>JUVENIL</v>
      </c>
      <c r="J766" s="9" t="str">
        <f>IF(AND(Tabela1[[#This Row],[Data nascimento]]&gt;=$P$2,Tabela1[[#This Row],[Data nascimento]]&lt;=$O$2),"JUVENIL","JÚNIOR")</f>
        <v>JUVENIL</v>
      </c>
    </row>
    <row r="767" spans="1:10" ht="15" x14ac:dyDescent="0.4">
      <c r="A767" s="13" t="s">
        <v>617</v>
      </c>
      <c r="B767" s="2" t="s">
        <v>618</v>
      </c>
      <c r="C767" s="4" t="s">
        <v>21</v>
      </c>
      <c r="D767" s="11">
        <v>39845</v>
      </c>
      <c r="E767" s="7" t="s">
        <v>619</v>
      </c>
      <c r="F767" s="4" t="s">
        <v>4754</v>
      </c>
      <c r="G767" s="12" t="str">
        <f>IF(AND(Tabela1[[#This Row],[Data nascimento]]&gt;=$J$2,Tabela1[[#This Row],[Data nascimento]]&lt;=$I$2),"INFANTIL A",H767)</f>
        <v>JUVENIL</v>
      </c>
      <c r="H767" s="3" t="str">
        <f>IF(AND(Tabela1[[#This Row],[Data nascimento]]&gt;=$L$2,Tabela1[[#This Row],[Data nascimento]]&lt;=$K$2),"INFANTIL B",I767)</f>
        <v>JUVENIL</v>
      </c>
      <c r="I767" s="9" t="str">
        <f>IF(AND(Tabela1[[#This Row],[Data nascimento]]&gt;=$N$2,Tabela1[[#This Row],[Data nascimento]]&lt;=$M$2),"INICIADO",J767)</f>
        <v>JUVENIL</v>
      </c>
      <c r="J767" s="9" t="str">
        <f>IF(AND(Tabela1[[#This Row],[Data nascimento]]&gt;=$P$2,Tabela1[[#This Row],[Data nascimento]]&lt;=$O$2),"JUVENIL","JÚNIOR")</f>
        <v>JUVENIL</v>
      </c>
    </row>
    <row r="768" spans="1:10" ht="15" x14ac:dyDescent="0.4">
      <c r="A768" s="13" t="s">
        <v>620</v>
      </c>
      <c r="B768" s="2" t="s">
        <v>621</v>
      </c>
      <c r="C768" s="4" t="s">
        <v>8</v>
      </c>
      <c r="D768" s="11">
        <v>39552</v>
      </c>
      <c r="E768" s="7" t="s">
        <v>622</v>
      </c>
      <c r="F768" s="4" t="s">
        <v>4754</v>
      </c>
      <c r="G768" s="12" t="str">
        <f>IF(AND(Tabela1[[#This Row],[Data nascimento]]&gt;=$J$2,Tabela1[[#This Row],[Data nascimento]]&lt;=$I$2),"INFANTIL A",H768)</f>
        <v>JUVENIL</v>
      </c>
      <c r="H768" s="3" t="str">
        <f>IF(AND(Tabela1[[#This Row],[Data nascimento]]&gt;=$L$2,Tabela1[[#This Row],[Data nascimento]]&lt;=$K$2),"INFANTIL B",I768)</f>
        <v>JUVENIL</v>
      </c>
      <c r="I768" s="9" t="str">
        <f>IF(AND(Tabela1[[#This Row],[Data nascimento]]&gt;=$N$2,Tabela1[[#This Row],[Data nascimento]]&lt;=$M$2),"INICIADO",J768)</f>
        <v>JUVENIL</v>
      </c>
      <c r="J768" s="9" t="str">
        <f>IF(AND(Tabela1[[#This Row],[Data nascimento]]&gt;=$P$2,Tabela1[[#This Row],[Data nascimento]]&lt;=$O$2),"JUVENIL","JÚNIOR")</f>
        <v>JUVENIL</v>
      </c>
    </row>
    <row r="769" spans="1:10" ht="15" x14ac:dyDescent="0.4">
      <c r="A769" s="13" t="s">
        <v>623</v>
      </c>
      <c r="B769" s="2" t="s">
        <v>624</v>
      </c>
      <c r="C769" s="4" t="s">
        <v>21</v>
      </c>
      <c r="D769" s="11">
        <v>39294</v>
      </c>
      <c r="E769" s="7" t="s">
        <v>625</v>
      </c>
      <c r="F769" s="4" t="s">
        <v>4755</v>
      </c>
      <c r="G769" s="12" t="str">
        <f>IF(AND(Tabela1[[#This Row],[Data nascimento]]&gt;=$J$2,Tabela1[[#This Row],[Data nascimento]]&lt;=$I$2),"INFANTIL A",H769)</f>
        <v>JÚNIOR</v>
      </c>
      <c r="H769" s="3" t="str">
        <f>IF(AND(Tabela1[[#This Row],[Data nascimento]]&gt;=$L$2,Tabela1[[#This Row],[Data nascimento]]&lt;=$K$2),"INFANTIL B",I769)</f>
        <v>JÚNIOR</v>
      </c>
      <c r="I769" s="9" t="str">
        <f>IF(AND(Tabela1[[#This Row],[Data nascimento]]&gt;=$N$2,Tabela1[[#This Row],[Data nascimento]]&lt;=$M$2),"INICIADO",J769)</f>
        <v>JÚNIOR</v>
      </c>
      <c r="J769" s="9" t="str">
        <f>IF(AND(Tabela1[[#This Row],[Data nascimento]]&gt;=$P$2,Tabela1[[#This Row],[Data nascimento]]&lt;=$O$2),"JUVENIL","JÚNIOR")</f>
        <v>JÚNIOR</v>
      </c>
    </row>
    <row r="770" spans="1:10" ht="15" x14ac:dyDescent="0.4">
      <c r="A770" s="13" t="s">
        <v>626</v>
      </c>
      <c r="B770" s="2" t="s">
        <v>627</v>
      </c>
      <c r="C770" s="4" t="s">
        <v>8</v>
      </c>
      <c r="D770" s="11">
        <v>39365</v>
      </c>
      <c r="E770" s="7" t="s">
        <v>628</v>
      </c>
      <c r="F770" s="4" t="s">
        <v>4755</v>
      </c>
      <c r="G770" s="12" t="str">
        <f>IF(AND(Tabela1[[#This Row],[Data nascimento]]&gt;=$J$2,Tabela1[[#This Row],[Data nascimento]]&lt;=$I$2),"INFANTIL A",H770)</f>
        <v>JÚNIOR</v>
      </c>
      <c r="H770" s="3" t="str">
        <f>IF(AND(Tabela1[[#This Row],[Data nascimento]]&gt;=$L$2,Tabela1[[#This Row],[Data nascimento]]&lt;=$K$2),"INFANTIL B",I770)</f>
        <v>JÚNIOR</v>
      </c>
      <c r="I770" s="9" t="str">
        <f>IF(AND(Tabela1[[#This Row],[Data nascimento]]&gt;=$N$2,Tabela1[[#This Row],[Data nascimento]]&lt;=$M$2),"INICIADO",J770)</f>
        <v>JÚNIOR</v>
      </c>
      <c r="J770" s="9" t="str">
        <f>IF(AND(Tabela1[[#This Row],[Data nascimento]]&gt;=$P$2,Tabela1[[#This Row],[Data nascimento]]&lt;=$O$2),"JUVENIL","JÚNIOR")</f>
        <v>JÚNIOR</v>
      </c>
    </row>
    <row r="771" spans="1:10" ht="15" x14ac:dyDescent="0.4">
      <c r="A771" s="13" t="s">
        <v>629</v>
      </c>
      <c r="B771" s="2" t="s">
        <v>630</v>
      </c>
      <c r="C771" s="4" t="s">
        <v>8</v>
      </c>
      <c r="D771" s="11">
        <v>39491</v>
      </c>
      <c r="E771" s="7" t="s">
        <v>631</v>
      </c>
      <c r="F771" s="4" t="s">
        <v>4755</v>
      </c>
      <c r="G771" s="12" t="str">
        <f>IF(AND(Tabela1[[#This Row],[Data nascimento]]&gt;=$J$2,Tabela1[[#This Row],[Data nascimento]]&lt;=$I$2),"INFANTIL A",H771)</f>
        <v>JUVENIL</v>
      </c>
      <c r="H771" s="3" t="str">
        <f>IF(AND(Tabela1[[#This Row],[Data nascimento]]&gt;=$L$2,Tabela1[[#This Row],[Data nascimento]]&lt;=$K$2),"INFANTIL B",I771)</f>
        <v>JUVENIL</v>
      </c>
      <c r="I771" s="9" t="str">
        <f>IF(AND(Tabela1[[#This Row],[Data nascimento]]&gt;=$N$2,Tabela1[[#This Row],[Data nascimento]]&lt;=$M$2),"INICIADO",J771)</f>
        <v>JUVENIL</v>
      </c>
      <c r="J771" s="9" t="str">
        <f>IF(AND(Tabela1[[#This Row],[Data nascimento]]&gt;=$P$2,Tabela1[[#This Row],[Data nascimento]]&lt;=$O$2),"JUVENIL","JÚNIOR")</f>
        <v>JUVENIL</v>
      </c>
    </row>
    <row r="772" spans="1:10" ht="15" x14ac:dyDescent="0.4">
      <c r="A772" s="13" t="s">
        <v>632</v>
      </c>
      <c r="B772" s="2" t="s">
        <v>633</v>
      </c>
      <c r="C772" s="4" t="s">
        <v>8</v>
      </c>
      <c r="D772" s="11">
        <v>40135</v>
      </c>
      <c r="E772" s="7" t="s">
        <v>634</v>
      </c>
      <c r="F772" s="4" t="s">
        <v>4755</v>
      </c>
      <c r="G772" s="12" t="str">
        <f>IF(AND(Tabela1[[#This Row],[Data nascimento]]&gt;=$J$2,Tabela1[[#This Row],[Data nascimento]]&lt;=$I$2),"INFANTIL A",H772)</f>
        <v>JUVENIL</v>
      </c>
      <c r="H772" s="3" t="str">
        <f>IF(AND(Tabela1[[#This Row],[Data nascimento]]&gt;=$L$2,Tabela1[[#This Row],[Data nascimento]]&lt;=$K$2),"INFANTIL B",I772)</f>
        <v>JUVENIL</v>
      </c>
      <c r="I772" s="9" t="str">
        <f>IF(AND(Tabela1[[#This Row],[Data nascimento]]&gt;=$N$2,Tabela1[[#This Row],[Data nascimento]]&lt;=$M$2),"INICIADO",J772)</f>
        <v>JUVENIL</v>
      </c>
      <c r="J772" s="9" t="str">
        <f>IF(AND(Tabela1[[#This Row],[Data nascimento]]&gt;=$P$2,Tabela1[[#This Row],[Data nascimento]]&lt;=$O$2),"JUVENIL","JÚNIOR")</f>
        <v>JUVENIL</v>
      </c>
    </row>
    <row r="773" spans="1:10" ht="15" x14ac:dyDescent="0.4">
      <c r="A773" s="13" t="s">
        <v>635</v>
      </c>
      <c r="B773" s="2" t="s">
        <v>636</v>
      </c>
      <c r="C773" s="4" t="s">
        <v>8</v>
      </c>
      <c r="D773" s="11">
        <v>39850</v>
      </c>
      <c r="E773" s="7" t="s">
        <v>637</v>
      </c>
      <c r="F773" s="4" t="s">
        <v>4755</v>
      </c>
      <c r="G773" s="12" t="str">
        <f>IF(AND(Tabela1[[#This Row],[Data nascimento]]&gt;=$J$2,Tabela1[[#This Row],[Data nascimento]]&lt;=$I$2),"INFANTIL A",H773)</f>
        <v>JUVENIL</v>
      </c>
      <c r="H773" s="3" t="str">
        <f>IF(AND(Tabela1[[#This Row],[Data nascimento]]&gt;=$L$2,Tabela1[[#This Row],[Data nascimento]]&lt;=$K$2),"INFANTIL B",I773)</f>
        <v>JUVENIL</v>
      </c>
      <c r="I773" s="9" t="str">
        <f>IF(AND(Tabela1[[#This Row],[Data nascimento]]&gt;=$N$2,Tabela1[[#This Row],[Data nascimento]]&lt;=$M$2),"INICIADO",J773)</f>
        <v>JUVENIL</v>
      </c>
      <c r="J773" s="9" t="str">
        <f>IF(AND(Tabela1[[#This Row],[Data nascimento]]&gt;=$P$2,Tabela1[[#This Row],[Data nascimento]]&lt;=$O$2),"JUVENIL","JÚNIOR")</f>
        <v>JUVENIL</v>
      </c>
    </row>
    <row r="774" spans="1:10" ht="15" x14ac:dyDescent="0.4">
      <c r="A774" s="13" t="s">
        <v>638</v>
      </c>
      <c r="B774" s="2" t="s">
        <v>639</v>
      </c>
      <c r="C774" s="4" t="s">
        <v>8</v>
      </c>
      <c r="D774" s="11">
        <v>39386</v>
      </c>
      <c r="E774" s="7" t="s">
        <v>640</v>
      </c>
      <c r="F774" s="4" t="s">
        <v>4755</v>
      </c>
      <c r="G774" s="12" t="str">
        <f>IF(AND(Tabela1[[#This Row],[Data nascimento]]&gt;=$J$2,Tabela1[[#This Row],[Data nascimento]]&lt;=$I$2),"INFANTIL A",H774)</f>
        <v>JÚNIOR</v>
      </c>
      <c r="H774" s="3" t="str">
        <f>IF(AND(Tabela1[[#This Row],[Data nascimento]]&gt;=$L$2,Tabela1[[#This Row],[Data nascimento]]&lt;=$K$2),"INFANTIL B",I774)</f>
        <v>JÚNIOR</v>
      </c>
      <c r="I774" s="9" t="str">
        <f>IF(AND(Tabela1[[#This Row],[Data nascimento]]&gt;=$N$2,Tabela1[[#This Row],[Data nascimento]]&lt;=$M$2),"INICIADO",J774)</f>
        <v>JÚNIOR</v>
      </c>
      <c r="J774" s="9" t="str">
        <f>IF(AND(Tabela1[[#This Row],[Data nascimento]]&gt;=$P$2,Tabela1[[#This Row],[Data nascimento]]&lt;=$O$2),"JUVENIL","JÚNIOR")</f>
        <v>JÚNIOR</v>
      </c>
    </row>
    <row r="775" spans="1:10" ht="15" x14ac:dyDescent="0.4">
      <c r="A775" s="13" t="s">
        <v>641</v>
      </c>
      <c r="B775" s="2" t="s">
        <v>642</v>
      </c>
      <c r="C775" s="4" t="s">
        <v>8</v>
      </c>
      <c r="D775" s="11">
        <v>39918</v>
      </c>
      <c r="E775" s="7" t="s">
        <v>643</v>
      </c>
      <c r="F775" s="4" t="s">
        <v>4755</v>
      </c>
      <c r="G775" s="12" t="str">
        <f>IF(AND(Tabela1[[#This Row],[Data nascimento]]&gt;=$J$2,Tabela1[[#This Row],[Data nascimento]]&lt;=$I$2),"INFANTIL A",H775)</f>
        <v>JUVENIL</v>
      </c>
      <c r="H775" s="3" t="str">
        <f>IF(AND(Tabela1[[#This Row],[Data nascimento]]&gt;=$L$2,Tabela1[[#This Row],[Data nascimento]]&lt;=$K$2),"INFANTIL B",I775)</f>
        <v>JUVENIL</v>
      </c>
      <c r="I775" s="9" t="str">
        <f>IF(AND(Tabela1[[#This Row],[Data nascimento]]&gt;=$N$2,Tabela1[[#This Row],[Data nascimento]]&lt;=$M$2),"INICIADO",J775)</f>
        <v>JUVENIL</v>
      </c>
      <c r="J775" s="9" t="str">
        <f>IF(AND(Tabela1[[#This Row],[Data nascimento]]&gt;=$P$2,Tabela1[[#This Row],[Data nascimento]]&lt;=$O$2),"JUVENIL","JÚNIOR")</f>
        <v>JUVENIL</v>
      </c>
    </row>
    <row r="776" spans="1:10" ht="15" x14ac:dyDescent="0.4">
      <c r="A776" s="13" t="s">
        <v>644</v>
      </c>
      <c r="B776" s="2" t="s">
        <v>645</v>
      </c>
      <c r="C776" s="4" t="s">
        <v>8</v>
      </c>
      <c r="D776" s="11">
        <v>39710</v>
      </c>
      <c r="E776" s="7" t="s">
        <v>646</v>
      </c>
      <c r="F776" s="4" t="s">
        <v>4755</v>
      </c>
      <c r="G776" s="12" t="str">
        <f>IF(AND(Tabela1[[#This Row],[Data nascimento]]&gt;=$J$2,Tabela1[[#This Row],[Data nascimento]]&lt;=$I$2),"INFANTIL A",H776)</f>
        <v>JUVENIL</v>
      </c>
      <c r="H776" s="3" t="str">
        <f>IF(AND(Tabela1[[#This Row],[Data nascimento]]&gt;=$L$2,Tabela1[[#This Row],[Data nascimento]]&lt;=$K$2),"INFANTIL B",I776)</f>
        <v>JUVENIL</v>
      </c>
      <c r="I776" s="9" t="str">
        <f>IF(AND(Tabela1[[#This Row],[Data nascimento]]&gt;=$N$2,Tabela1[[#This Row],[Data nascimento]]&lt;=$M$2),"INICIADO",J776)</f>
        <v>JUVENIL</v>
      </c>
      <c r="J776" s="9" t="str">
        <f>IF(AND(Tabela1[[#This Row],[Data nascimento]]&gt;=$P$2,Tabela1[[#This Row],[Data nascimento]]&lt;=$O$2),"JUVENIL","JÚNIOR")</f>
        <v>JUVENIL</v>
      </c>
    </row>
    <row r="777" spans="1:10" ht="15" x14ac:dyDescent="0.4">
      <c r="A777" s="13" t="s">
        <v>647</v>
      </c>
      <c r="B777" s="2" t="s">
        <v>648</v>
      </c>
      <c r="C777" s="4" t="s">
        <v>8</v>
      </c>
      <c r="D777" s="11">
        <v>40129</v>
      </c>
      <c r="E777" s="7" t="s">
        <v>649</v>
      </c>
      <c r="F777" s="4" t="s">
        <v>4755</v>
      </c>
      <c r="G777" s="12" t="str">
        <f>IF(AND(Tabela1[[#This Row],[Data nascimento]]&gt;=$J$2,Tabela1[[#This Row],[Data nascimento]]&lt;=$I$2),"INFANTIL A",H777)</f>
        <v>JUVENIL</v>
      </c>
      <c r="H777" s="3" t="str">
        <f>IF(AND(Tabela1[[#This Row],[Data nascimento]]&gt;=$L$2,Tabela1[[#This Row],[Data nascimento]]&lt;=$K$2),"INFANTIL B",I777)</f>
        <v>JUVENIL</v>
      </c>
      <c r="I777" s="9" t="str">
        <f>IF(AND(Tabela1[[#This Row],[Data nascimento]]&gt;=$N$2,Tabela1[[#This Row],[Data nascimento]]&lt;=$M$2),"INICIADO",J777)</f>
        <v>JUVENIL</v>
      </c>
      <c r="J777" s="9" t="str">
        <f>IF(AND(Tabela1[[#This Row],[Data nascimento]]&gt;=$P$2,Tabela1[[#This Row],[Data nascimento]]&lt;=$O$2),"JUVENIL","JÚNIOR")</f>
        <v>JUVENIL</v>
      </c>
    </row>
    <row r="778" spans="1:10" ht="15" x14ac:dyDescent="0.4">
      <c r="A778" s="13" t="s">
        <v>650</v>
      </c>
      <c r="B778" s="2" t="s">
        <v>651</v>
      </c>
      <c r="C778" s="4" t="s">
        <v>8</v>
      </c>
      <c r="D778" s="11">
        <v>39740</v>
      </c>
      <c r="E778" s="7" t="s">
        <v>652</v>
      </c>
      <c r="F778" s="4" t="s">
        <v>4755</v>
      </c>
      <c r="G778" s="12" t="str">
        <f>IF(AND(Tabela1[[#This Row],[Data nascimento]]&gt;=$J$2,Tabela1[[#This Row],[Data nascimento]]&lt;=$I$2),"INFANTIL A",H778)</f>
        <v>JUVENIL</v>
      </c>
      <c r="H778" s="3" t="str">
        <f>IF(AND(Tabela1[[#This Row],[Data nascimento]]&gt;=$L$2,Tabela1[[#This Row],[Data nascimento]]&lt;=$K$2),"INFANTIL B",I778)</f>
        <v>JUVENIL</v>
      </c>
      <c r="I778" s="9" t="str">
        <f>IF(AND(Tabela1[[#This Row],[Data nascimento]]&gt;=$N$2,Tabela1[[#This Row],[Data nascimento]]&lt;=$M$2),"INICIADO",J778)</f>
        <v>JUVENIL</v>
      </c>
      <c r="J778" s="9" t="str">
        <f>IF(AND(Tabela1[[#This Row],[Data nascimento]]&gt;=$P$2,Tabela1[[#This Row],[Data nascimento]]&lt;=$O$2),"JUVENIL","JÚNIOR")</f>
        <v>JUVENIL</v>
      </c>
    </row>
    <row r="779" spans="1:10" ht="15" x14ac:dyDescent="0.4">
      <c r="A779" s="13" t="s">
        <v>653</v>
      </c>
      <c r="B779" s="2" t="s">
        <v>654</v>
      </c>
      <c r="C779" s="4" t="s">
        <v>8</v>
      </c>
      <c r="D779" s="11">
        <v>40079</v>
      </c>
      <c r="E779" s="7" t="s">
        <v>655</v>
      </c>
      <c r="F779" s="4" t="s">
        <v>4755</v>
      </c>
      <c r="G779" s="12" t="str">
        <f>IF(AND(Tabela1[[#This Row],[Data nascimento]]&gt;=$J$2,Tabela1[[#This Row],[Data nascimento]]&lt;=$I$2),"INFANTIL A",H779)</f>
        <v>JUVENIL</v>
      </c>
      <c r="H779" s="3" t="str">
        <f>IF(AND(Tabela1[[#This Row],[Data nascimento]]&gt;=$L$2,Tabela1[[#This Row],[Data nascimento]]&lt;=$K$2),"INFANTIL B",I779)</f>
        <v>JUVENIL</v>
      </c>
      <c r="I779" s="9" t="str">
        <f>IF(AND(Tabela1[[#This Row],[Data nascimento]]&gt;=$N$2,Tabela1[[#This Row],[Data nascimento]]&lt;=$M$2),"INICIADO",J779)</f>
        <v>JUVENIL</v>
      </c>
      <c r="J779" s="9" t="str">
        <f>IF(AND(Tabela1[[#This Row],[Data nascimento]]&gt;=$P$2,Tabela1[[#This Row],[Data nascimento]]&lt;=$O$2),"JUVENIL","JÚNIOR")</f>
        <v>JUVENIL</v>
      </c>
    </row>
    <row r="780" spans="1:10" ht="15" x14ac:dyDescent="0.4">
      <c r="A780" s="13" t="s">
        <v>656</v>
      </c>
      <c r="B780" s="2" t="s">
        <v>657</v>
      </c>
      <c r="C780" s="4" t="s">
        <v>8</v>
      </c>
      <c r="D780" s="11">
        <v>39724</v>
      </c>
      <c r="E780" s="7" t="s">
        <v>658</v>
      </c>
      <c r="F780" s="4" t="s">
        <v>4755</v>
      </c>
      <c r="G780" s="12" t="str">
        <f>IF(AND(Tabela1[[#This Row],[Data nascimento]]&gt;=$J$2,Tabela1[[#This Row],[Data nascimento]]&lt;=$I$2),"INFANTIL A",H780)</f>
        <v>JUVENIL</v>
      </c>
      <c r="H780" s="3" t="str">
        <f>IF(AND(Tabela1[[#This Row],[Data nascimento]]&gt;=$L$2,Tabela1[[#This Row],[Data nascimento]]&lt;=$K$2),"INFANTIL B",I780)</f>
        <v>JUVENIL</v>
      </c>
      <c r="I780" s="9" t="str">
        <f>IF(AND(Tabela1[[#This Row],[Data nascimento]]&gt;=$N$2,Tabela1[[#This Row],[Data nascimento]]&lt;=$M$2),"INICIADO",J780)</f>
        <v>JUVENIL</v>
      </c>
      <c r="J780" s="9" t="str">
        <f>IF(AND(Tabela1[[#This Row],[Data nascimento]]&gt;=$P$2,Tabela1[[#This Row],[Data nascimento]]&lt;=$O$2),"JUVENIL","JÚNIOR")</f>
        <v>JUVENIL</v>
      </c>
    </row>
    <row r="781" spans="1:10" ht="15" x14ac:dyDescent="0.4">
      <c r="A781" s="13" t="s">
        <v>1637</v>
      </c>
      <c r="B781" s="2" t="s">
        <v>1638</v>
      </c>
      <c r="C781" s="4" t="s">
        <v>8</v>
      </c>
      <c r="D781" s="11">
        <v>39339</v>
      </c>
      <c r="E781" s="7" t="s">
        <v>1639</v>
      </c>
      <c r="F781" s="4" t="s">
        <v>4747</v>
      </c>
      <c r="G781" s="12" t="str">
        <f>IF(AND(Tabela1[[#This Row],[Data nascimento]]&gt;=$J$2,Tabela1[[#This Row],[Data nascimento]]&lt;=$I$2),"INFANTIL A",H781)</f>
        <v>JÚNIOR</v>
      </c>
      <c r="H781" s="3" t="str">
        <f>IF(AND(Tabela1[[#This Row],[Data nascimento]]&gt;=$L$2,Tabela1[[#This Row],[Data nascimento]]&lt;=$K$2),"INFANTIL B",I781)</f>
        <v>JÚNIOR</v>
      </c>
      <c r="I781" s="9" t="str">
        <f>IF(AND(Tabela1[[#This Row],[Data nascimento]]&gt;=$N$2,Tabela1[[#This Row],[Data nascimento]]&lt;=$M$2),"INICIADO",J781)</f>
        <v>JÚNIOR</v>
      </c>
      <c r="J781" s="9" t="str">
        <f>IF(AND(Tabela1[[#This Row],[Data nascimento]]&gt;=$P$2,Tabela1[[#This Row],[Data nascimento]]&lt;=$O$2),"JUVENIL","JÚNIOR")</f>
        <v>JÚNIOR</v>
      </c>
    </row>
    <row r="782" spans="1:10" ht="15" x14ac:dyDescent="0.4">
      <c r="A782" s="13" t="s">
        <v>1709</v>
      </c>
      <c r="B782" s="2" t="s">
        <v>1710</v>
      </c>
      <c r="C782" s="4" t="s">
        <v>8</v>
      </c>
      <c r="D782" s="11">
        <v>38658</v>
      </c>
      <c r="E782" s="7" t="s">
        <v>1711</v>
      </c>
      <c r="F782" s="4" t="s">
        <v>4746</v>
      </c>
      <c r="G782" s="12" t="str">
        <f>IF(AND(Tabela1[[#This Row],[Data nascimento]]&gt;=$J$2,Tabela1[[#This Row],[Data nascimento]]&lt;=$I$2),"INFANTIL A",H782)</f>
        <v>JÚNIOR</v>
      </c>
      <c r="H782" s="3" t="str">
        <f>IF(AND(Tabela1[[#This Row],[Data nascimento]]&gt;=$L$2,Tabela1[[#This Row],[Data nascimento]]&lt;=$K$2),"INFANTIL B",I782)</f>
        <v>JÚNIOR</v>
      </c>
      <c r="I782" s="9" t="str">
        <f>IF(AND(Tabela1[[#This Row],[Data nascimento]]&gt;=$N$2,Tabela1[[#This Row],[Data nascimento]]&lt;=$M$2),"INICIADO",J782)</f>
        <v>JÚNIOR</v>
      </c>
      <c r="J782" s="9" t="str">
        <f>IF(AND(Tabela1[[#This Row],[Data nascimento]]&gt;=$P$2,Tabela1[[#This Row],[Data nascimento]]&lt;=$O$2),"JUVENIL","JÚNIOR")</f>
        <v>JÚNIOR</v>
      </c>
    </row>
    <row r="783" spans="1:10" ht="15" x14ac:dyDescent="0.4">
      <c r="A783" s="13" t="s">
        <v>1712</v>
      </c>
      <c r="B783" s="2" t="s">
        <v>1713</v>
      </c>
      <c r="C783" s="4" t="s">
        <v>8</v>
      </c>
      <c r="D783" s="11">
        <v>39428</v>
      </c>
      <c r="E783" s="7" t="s">
        <v>1714</v>
      </c>
      <c r="F783" s="4" t="s">
        <v>4746</v>
      </c>
      <c r="G783" s="12" t="str">
        <f>IF(AND(Tabela1[[#This Row],[Data nascimento]]&gt;=$J$2,Tabela1[[#This Row],[Data nascimento]]&lt;=$I$2),"INFANTIL A",H783)</f>
        <v>JÚNIOR</v>
      </c>
      <c r="H783" s="3" t="str">
        <f>IF(AND(Tabela1[[#This Row],[Data nascimento]]&gt;=$L$2,Tabela1[[#This Row],[Data nascimento]]&lt;=$K$2),"INFANTIL B",I783)</f>
        <v>JÚNIOR</v>
      </c>
      <c r="I783" s="9" t="str">
        <f>IF(AND(Tabela1[[#This Row],[Data nascimento]]&gt;=$N$2,Tabela1[[#This Row],[Data nascimento]]&lt;=$M$2),"INICIADO",J783)</f>
        <v>JÚNIOR</v>
      </c>
      <c r="J783" s="9" t="str">
        <f>IF(AND(Tabela1[[#This Row],[Data nascimento]]&gt;=$P$2,Tabela1[[#This Row],[Data nascimento]]&lt;=$O$2),"JUVENIL","JÚNIOR")</f>
        <v>JÚNIOR</v>
      </c>
    </row>
    <row r="784" spans="1:10" ht="15" x14ac:dyDescent="0.4">
      <c r="A784" s="13" t="s">
        <v>3317</v>
      </c>
      <c r="B784" s="2" t="s">
        <v>3318</v>
      </c>
      <c r="C784" s="4" t="s">
        <v>21</v>
      </c>
      <c r="D784" s="11">
        <v>39625</v>
      </c>
      <c r="E784" s="7" t="s">
        <v>3319</v>
      </c>
      <c r="F784" s="4" t="s">
        <v>4756</v>
      </c>
      <c r="G784" s="12" t="str">
        <f>IF(AND(Tabela1[[#This Row],[Data nascimento]]&gt;=$J$2,Tabela1[[#This Row],[Data nascimento]]&lt;=$I$2),"INFANTIL A",H784)</f>
        <v>JUVENIL</v>
      </c>
      <c r="H784" s="3" t="str">
        <f>IF(AND(Tabela1[[#This Row],[Data nascimento]]&gt;=$L$2,Tabela1[[#This Row],[Data nascimento]]&lt;=$K$2),"INFANTIL B",I784)</f>
        <v>JUVENIL</v>
      </c>
      <c r="I784" s="9" t="str">
        <f>IF(AND(Tabela1[[#This Row],[Data nascimento]]&gt;=$N$2,Tabela1[[#This Row],[Data nascimento]]&lt;=$M$2),"INICIADO",J784)</f>
        <v>JUVENIL</v>
      </c>
      <c r="J784" s="9" t="str">
        <f>IF(AND(Tabela1[[#This Row],[Data nascimento]]&gt;=$P$2,Tabela1[[#This Row],[Data nascimento]]&lt;=$O$2),"JUVENIL","JÚNIOR")</f>
        <v>JUVENIL</v>
      </c>
    </row>
    <row r="785" spans="1:10" ht="15" x14ac:dyDescent="0.4">
      <c r="A785" s="13" t="s">
        <v>3323</v>
      </c>
      <c r="B785" s="2" t="s">
        <v>3324</v>
      </c>
      <c r="C785" s="4" t="s">
        <v>8</v>
      </c>
      <c r="D785" s="11">
        <v>39804</v>
      </c>
      <c r="E785" s="7" t="s">
        <v>3325</v>
      </c>
      <c r="F785" s="4" t="s">
        <v>4757</v>
      </c>
      <c r="G785" s="12" t="str">
        <f>IF(AND(Tabela1[[#This Row],[Data nascimento]]&gt;=$J$2,Tabela1[[#This Row],[Data nascimento]]&lt;=$I$2),"INFANTIL A",H785)</f>
        <v>JUVENIL</v>
      </c>
      <c r="H785" s="3" t="str">
        <f>IF(AND(Tabela1[[#This Row],[Data nascimento]]&gt;=$L$2,Tabela1[[#This Row],[Data nascimento]]&lt;=$K$2),"INFANTIL B",I785)</f>
        <v>JUVENIL</v>
      </c>
      <c r="I785" s="9" t="str">
        <f>IF(AND(Tabela1[[#This Row],[Data nascimento]]&gt;=$N$2,Tabela1[[#This Row],[Data nascimento]]&lt;=$M$2),"INICIADO",J785)</f>
        <v>JUVENIL</v>
      </c>
      <c r="J785" s="9" t="str">
        <f>IF(AND(Tabela1[[#This Row],[Data nascimento]]&gt;=$P$2,Tabela1[[#This Row],[Data nascimento]]&lt;=$O$2),"JUVENIL","JÚNIOR")</f>
        <v>JUVENIL</v>
      </c>
    </row>
    <row r="786" spans="1:10" ht="15" x14ac:dyDescent="0.4">
      <c r="A786" s="13" t="s">
        <v>3326</v>
      </c>
      <c r="B786" s="2" t="s">
        <v>3327</v>
      </c>
      <c r="C786" s="4" t="s">
        <v>8</v>
      </c>
      <c r="D786" s="11">
        <v>39706</v>
      </c>
      <c r="E786" s="7" t="s">
        <v>3328</v>
      </c>
      <c r="F786" s="4" t="s">
        <v>4757</v>
      </c>
      <c r="G786" s="12" t="str">
        <f>IF(AND(Tabela1[[#This Row],[Data nascimento]]&gt;=$J$2,Tabela1[[#This Row],[Data nascimento]]&lt;=$I$2),"INFANTIL A",H786)</f>
        <v>JUVENIL</v>
      </c>
      <c r="H786" s="3" t="str">
        <f>IF(AND(Tabela1[[#This Row],[Data nascimento]]&gt;=$L$2,Tabela1[[#This Row],[Data nascimento]]&lt;=$K$2),"INFANTIL B",I786)</f>
        <v>JUVENIL</v>
      </c>
      <c r="I786" s="9" t="str">
        <f>IF(AND(Tabela1[[#This Row],[Data nascimento]]&gt;=$N$2,Tabela1[[#This Row],[Data nascimento]]&lt;=$M$2),"INICIADO",J786)</f>
        <v>JUVENIL</v>
      </c>
      <c r="J786" s="9" t="str">
        <f>IF(AND(Tabela1[[#This Row],[Data nascimento]]&gt;=$P$2,Tabela1[[#This Row],[Data nascimento]]&lt;=$O$2),"JUVENIL","JÚNIOR")</f>
        <v>JUVENIL</v>
      </c>
    </row>
    <row r="787" spans="1:10" ht="15" x14ac:dyDescent="0.4">
      <c r="A787" s="13" t="s">
        <v>3329</v>
      </c>
      <c r="B787" s="2" t="s">
        <v>3330</v>
      </c>
      <c r="C787" s="4" t="s">
        <v>8</v>
      </c>
      <c r="D787" s="11">
        <v>39664</v>
      </c>
      <c r="E787" s="7" t="s">
        <v>3331</v>
      </c>
      <c r="F787" s="4" t="s">
        <v>4757</v>
      </c>
      <c r="G787" s="12" t="str">
        <f>IF(AND(Tabela1[[#This Row],[Data nascimento]]&gt;=$J$2,Tabela1[[#This Row],[Data nascimento]]&lt;=$I$2),"INFANTIL A",H787)</f>
        <v>JUVENIL</v>
      </c>
      <c r="H787" s="3" t="str">
        <f>IF(AND(Tabela1[[#This Row],[Data nascimento]]&gt;=$L$2,Tabela1[[#This Row],[Data nascimento]]&lt;=$K$2),"INFANTIL B",I787)</f>
        <v>JUVENIL</v>
      </c>
      <c r="I787" s="9" t="str">
        <f>IF(AND(Tabela1[[#This Row],[Data nascimento]]&gt;=$N$2,Tabela1[[#This Row],[Data nascimento]]&lt;=$M$2),"INICIADO",J787)</f>
        <v>JUVENIL</v>
      </c>
      <c r="J787" s="9" t="str">
        <f>IF(AND(Tabela1[[#This Row],[Data nascimento]]&gt;=$P$2,Tabela1[[#This Row],[Data nascimento]]&lt;=$O$2),"JUVENIL","JÚNIOR")</f>
        <v>JUVENIL</v>
      </c>
    </row>
    <row r="788" spans="1:10" ht="15" x14ac:dyDescent="0.4">
      <c r="A788" s="13" t="s">
        <v>3332</v>
      </c>
      <c r="B788" s="2" t="s">
        <v>3333</v>
      </c>
      <c r="C788" s="4" t="s">
        <v>8</v>
      </c>
      <c r="D788" s="11">
        <v>39620</v>
      </c>
      <c r="E788" s="7" t="s">
        <v>3334</v>
      </c>
      <c r="F788" s="4" t="s">
        <v>4757</v>
      </c>
      <c r="G788" s="12" t="str">
        <f>IF(AND(Tabela1[[#This Row],[Data nascimento]]&gt;=$J$2,Tabela1[[#This Row],[Data nascimento]]&lt;=$I$2),"INFANTIL A",H788)</f>
        <v>JUVENIL</v>
      </c>
      <c r="H788" s="3" t="str">
        <f>IF(AND(Tabela1[[#This Row],[Data nascimento]]&gt;=$L$2,Tabela1[[#This Row],[Data nascimento]]&lt;=$K$2),"INFANTIL B",I788)</f>
        <v>JUVENIL</v>
      </c>
      <c r="I788" s="9" t="str">
        <f>IF(AND(Tabela1[[#This Row],[Data nascimento]]&gt;=$N$2,Tabela1[[#This Row],[Data nascimento]]&lt;=$M$2),"INICIADO",J788)</f>
        <v>JUVENIL</v>
      </c>
      <c r="J788" s="9" t="str">
        <f>IF(AND(Tabela1[[#This Row],[Data nascimento]]&gt;=$P$2,Tabela1[[#This Row],[Data nascimento]]&lt;=$O$2),"JUVENIL","JÚNIOR")</f>
        <v>JUVENIL</v>
      </c>
    </row>
    <row r="789" spans="1:10" ht="15" x14ac:dyDescent="0.4">
      <c r="A789" s="13" t="s">
        <v>3335</v>
      </c>
      <c r="B789" s="2" t="s">
        <v>3336</v>
      </c>
      <c r="C789" s="4" t="s">
        <v>8</v>
      </c>
      <c r="D789" s="11">
        <v>39890</v>
      </c>
      <c r="E789" s="7" t="s">
        <v>3337</v>
      </c>
      <c r="F789" s="4" t="s">
        <v>4757</v>
      </c>
      <c r="G789" s="12" t="str">
        <f>IF(AND(Tabela1[[#This Row],[Data nascimento]]&gt;=$J$2,Tabela1[[#This Row],[Data nascimento]]&lt;=$I$2),"INFANTIL A",H789)</f>
        <v>JUVENIL</v>
      </c>
      <c r="H789" s="3" t="str">
        <f>IF(AND(Tabela1[[#This Row],[Data nascimento]]&gt;=$L$2,Tabela1[[#This Row],[Data nascimento]]&lt;=$K$2),"INFANTIL B",I789)</f>
        <v>JUVENIL</v>
      </c>
      <c r="I789" s="9" t="str">
        <f>IF(AND(Tabela1[[#This Row],[Data nascimento]]&gt;=$N$2,Tabela1[[#This Row],[Data nascimento]]&lt;=$M$2),"INICIADO",J789)</f>
        <v>JUVENIL</v>
      </c>
      <c r="J789" s="9" t="str">
        <f>IF(AND(Tabela1[[#This Row],[Data nascimento]]&gt;=$P$2,Tabela1[[#This Row],[Data nascimento]]&lt;=$O$2),"JUVENIL","JÚNIOR")</f>
        <v>JUVENIL</v>
      </c>
    </row>
    <row r="790" spans="1:10" ht="15" x14ac:dyDescent="0.4">
      <c r="A790" s="13" t="s">
        <v>3338</v>
      </c>
      <c r="B790" s="2" t="s">
        <v>3339</v>
      </c>
      <c r="C790" s="4" t="s">
        <v>21</v>
      </c>
      <c r="D790" s="11">
        <v>39755</v>
      </c>
      <c r="E790" s="7" t="s">
        <v>3340</v>
      </c>
      <c r="F790" s="4" t="s">
        <v>4757</v>
      </c>
      <c r="G790" s="12" t="str">
        <f>IF(AND(Tabela1[[#This Row],[Data nascimento]]&gt;=$J$2,Tabela1[[#This Row],[Data nascimento]]&lt;=$I$2),"INFANTIL A",H790)</f>
        <v>JUVENIL</v>
      </c>
      <c r="H790" s="3" t="str">
        <f>IF(AND(Tabela1[[#This Row],[Data nascimento]]&gt;=$L$2,Tabela1[[#This Row],[Data nascimento]]&lt;=$K$2),"INFANTIL B",I790)</f>
        <v>JUVENIL</v>
      </c>
      <c r="I790" s="9" t="str">
        <f>IF(AND(Tabela1[[#This Row],[Data nascimento]]&gt;=$N$2,Tabela1[[#This Row],[Data nascimento]]&lt;=$M$2),"INICIADO",J790)</f>
        <v>JUVENIL</v>
      </c>
      <c r="J790" s="9" t="str">
        <f>IF(AND(Tabela1[[#This Row],[Data nascimento]]&gt;=$P$2,Tabela1[[#This Row],[Data nascimento]]&lt;=$O$2),"JUVENIL","JÚNIOR")</f>
        <v>JUVENIL</v>
      </c>
    </row>
    <row r="791" spans="1:10" ht="15" x14ac:dyDescent="0.4">
      <c r="A791" s="13" t="s">
        <v>3341</v>
      </c>
      <c r="B791" s="2" t="s">
        <v>3342</v>
      </c>
      <c r="C791" s="4" t="s">
        <v>8</v>
      </c>
      <c r="D791" s="11">
        <v>39489</v>
      </c>
      <c r="E791" s="7" t="s">
        <v>3343</v>
      </c>
      <c r="F791" s="4" t="s">
        <v>4757</v>
      </c>
      <c r="G791" s="12" t="str">
        <f>IF(AND(Tabela1[[#This Row],[Data nascimento]]&gt;=$J$2,Tabela1[[#This Row],[Data nascimento]]&lt;=$I$2),"INFANTIL A",H791)</f>
        <v>JUVENIL</v>
      </c>
      <c r="H791" s="3" t="str">
        <f>IF(AND(Tabela1[[#This Row],[Data nascimento]]&gt;=$L$2,Tabela1[[#This Row],[Data nascimento]]&lt;=$K$2),"INFANTIL B",I791)</f>
        <v>JUVENIL</v>
      </c>
      <c r="I791" s="9" t="str">
        <f>IF(AND(Tabela1[[#This Row],[Data nascimento]]&gt;=$N$2,Tabela1[[#This Row],[Data nascimento]]&lt;=$M$2),"INICIADO",J791)</f>
        <v>JUVENIL</v>
      </c>
      <c r="J791" s="9" t="str">
        <f>IF(AND(Tabela1[[#This Row],[Data nascimento]]&gt;=$P$2,Tabela1[[#This Row],[Data nascimento]]&lt;=$O$2),"JUVENIL","JÚNIOR")</f>
        <v>JUVENIL</v>
      </c>
    </row>
    <row r="792" spans="1:10" ht="15" x14ac:dyDescent="0.4">
      <c r="A792" s="13" t="s">
        <v>3344</v>
      </c>
      <c r="B792" s="2" t="s">
        <v>3345</v>
      </c>
      <c r="C792" s="4" t="s">
        <v>8</v>
      </c>
      <c r="D792" s="11">
        <v>39569</v>
      </c>
      <c r="E792" s="7" t="s">
        <v>3346</v>
      </c>
      <c r="F792" s="4" t="s">
        <v>4757</v>
      </c>
      <c r="G792" s="12" t="str">
        <f>IF(AND(Tabela1[[#This Row],[Data nascimento]]&gt;=$J$2,Tabela1[[#This Row],[Data nascimento]]&lt;=$I$2),"INFANTIL A",H792)</f>
        <v>JUVENIL</v>
      </c>
      <c r="H792" s="3" t="str">
        <f>IF(AND(Tabela1[[#This Row],[Data nascimento]]&gt;=$L$2,Tabela1[[#This Row],[Data nascimento]]&lt;=$K$2),"INFANTIL B",I792)</f>
        <v>JUVENIL</v>
      </c>
      <c r="I792" s="9" t="str">
        <f>IF(AND(Tabela1[[#This Row],[Data nascimento]]&gt;=$N$2,Tabela1[[#This Row],[Data nascimento]]&lt;=$M$2),"INICIADO",J792)</f>
        <v>JUVENIL</v>
      </c>
      <c r="J792" s="9" t="str">
        <f>IF(AND(Tabela1[[#This Row],[Data nascimento]]&gt;=$P$2,Tabela1[[#This Row],[Data nascimento]]&lt;=$O$2),"JUVENIL","JÚNIOR")</f>
        <v>JUVENIL</v>
      </c>
    </row>
    <row r="793" spans="1:10" ht="15" x14ac:dyDescent="0.4">
      <c r="A793" s="13" t="s">
        <v>3347</v>
      </c>
      <c r="B793" s="2" t="s">
        <v>3348</v>
      </c>
      <c r="C793" s="4" t="s">
        <v>8</v>
      </c>
      <c r="D793" s="11">
        <v>39357</v>
      </c>
      <c r="E793" s="7" t="s">
        <v>3349</v>
      </c>
      <c r="F793" s="4" t="s">
        <v>4757</v>
      </c>
      <c r="G793" s="12" t="str">
        <f>IF(AND(Tabela1[[#This Row],[Data nascimento]]&gt;=$J$2,Tabela1[[#This Row],[Data nascimento]]&lt;=$I$2),"INFANTIL A",H793)</f>
        <v>JÚNIOR</v>
      </c>
      <c r="H793" s="3" t="str">
        <f>IF(AND(Tabela1[[#This Row],[Data nascimento]]&gt;=$L$2,Tabela1[[#This Row],[Data nascimento]]&lt;=$K$2),"INFANTIL B",I793)</f>
        <v>JÚNIOR</v>
      </c>
      <c r="I793" s="9" t="str">
        <f>IF(AND(Tabela1[[#This Row],[Data nascimento]]&gt;=$N$2,Tabela1[[#This Row],[Data nascimento]]&lt;=$M$2),"INICIADO",J793)</f>
        <v>JÚNIOR</v>
      </c>
      <c r="J793" s="9" t="str">
        <f>IF(AND(Tabela1[[#This Row],[Data nascimento]]&gt;=$P$2,Tabela1[[#This Row],[Data nascimento]]&lt;=$O$2),"JUVENIL","JÚNIOR")</f>
        <v>JÚNIOR</v>
      </c>
    </row>
    <row r="794" spans="1:10" ht="15" x14ac:dyDescent="0.4">
      <c r="A794" s="13" t="s">
        <v>3350</v>
      </c>
      <c r="B794" s="2" t="s">
        <v>3351</v>
      </c>
      <c r="C794" s="4" t="s">
        <v>8</v>
      </c>
      <c r="D794" s="11">
        <v>39669</v>
      </c>
      <c r="E794" s="7" t="s">
        <v>3352</v>
      </c>
      <c r="F794" s="4" t="s">
        <v>4757</v>
      </c>
      <c r="G794" s="12" t="str">
        <f>IF(AND(Tabela1[[#This Row],[Data nascimento]]&gt;=$J$2,Tabela1[[#This Row],[Data nascimento]]&lt;=$I$2),"INFANTIL A",H794)</f>
        <v>JUVENIL</v>
      </c>
      <c r="H794" s="3" t="str">
        <f>IF(AND(Tabela1[[#This Row],[Data nascimento]]&gt;=$L$2,Tabela1[[#This Row],[Data nascimento]]&lt;=$K$2),"INFANTIL B",I794)</f>
        <v>JUVENIL</v>
      </c>
      <c r="I794" s="9" t="str">
        <f>IF(AND(Tabela1[[#This Row],[Data nascimento]]&gt;=$N$2,Tabela1[[#This Row],[Data nascimento]]&lt;=$M$2),"INICIADO",J794)</f>
        <v>JUVENIL</v>
      </c>
      <c r="J794" s="9" t="str">
        <f>IF(AND(Tabela1[[#This Row],[Data nascimento]]&gt;=$P$2,Tabela1[[#This Row],[Data nascimento]]&lt;=$O$2),"JUVENIL","JÚNIOR")</f>
        <v>JUVENIL</v>
      </c>
    </row>
    <row r="795" spans="1:10" ht="15" x14ac:dyDescent="0.4">
      <c r="A795" s="13" t="s">
        <v>3353</v>
      </c>
      <c r="B795" s="2" t="s">
        <v>3354</v>
      </c>
      <c r="C795" s="4" t="s">
        <v>8</v>
      </c>
      <c r="D795" s="11">
        <v>39556</v>
      </c>
      <c r="E795" s="7" t="s">
        <v>3355</v>
      </c>
      <c r="F795" s="4" t="s">
        <v>4757</v>
      </c>
      <c r="G795" s="12" t="str">
        <f>IF(AND(Tabela1[[#This Row],[Data nascimento]]&gt;=$J$2,Tabela1[[#This Row],[Data nascimento]]&lt;=$I$2),"INFANTIL A",H795)</f>
        <v>JUVENIL</v>
      </c>
      <c r="H795" s="3" t="str">
        <f>IF(AND(Tabela1[[#This Row],[Data nascimento]]&gt;=$L$2,Tabela1[[#This Row],[Data nascimento]]&lt;=$K$2),"INFANTIL B",I795)</f>
        <v>JUVENIL</v>
      </c>
      <c r="I795" s="9" t="str">
        <f>IF(AND(Tabela1[[#This Row],[Data nascimento]]&gt;=$N$2,Tabela1[[#This Row],[Data nascimento]]&lt;=$M$2),"INICIADO",J795)</f>
        <v>JUVENIL</v>
      </c>
      <c r="J795" s="9" t="str">
        <f>IF(AND(Tabela1[[#This Row],[Data nascimento]]&gt;=$P$2,Tabela1[[#This Row],[Data nascimento]]&lt;=$O$2),"JUVENIL","JÚNIOR")</f>
        <v>JUVENIL</v>
      </c>
    </row>
    <row r="796" spans="1:10" ht="15" x14ac:dyDescent="0.4">
      <c r="A796" s="13" t="s">
        <v>3356</v>
      </c>
      <c r="B796" s="2" t="s">
        <v>3357</v>
      </c>
      <c r="C796" s="4" t="s">
        <v>8</v>
      </c>
      <c r="D796" s="11">
        <v>39491</v>
      </c>
      <c r="E796" s="7" t="s">
        <v>3358</v>
      </c>
      <c r="F796" s="4" t="s">
        <v>4758</v>
      </c>
      <c r="G796" s="12" t="str">
        <f>IF(AND(Tabela1[[#This Row],[Data nascimento]]&gt;=$J$2,Tabela1[[#This Row],[Data nascimento]]&lt;=$I$2),"INFANTIL A",H796)</f>
        <v>JUVENIL</v>
      </c>
      <c r="H796" s="3" t="str">
        <f>IF(AND(Tabela1[[#This Row],[Data nascimento]]&gt;=$L$2,Tabela1[[#This Row],[Data nascimento]]&lt;=$K$2),"INFANTIL B",I796)</f>
        <v>JUVENIL</v>
      </c>
      <c r="I796" s="9" t="str">
        <f>IF(AND(Tabela1[[#This Row],[Data nascimento]]&gt;=$N$2,Tabela1[[#This Row],[Data nascimento]]&lt;=$M$2),"INICIADO",J796)</f>
        <v>JUVENIL</v>
      </c>
      <c r="J796" s="9" t="str">
        <f>IF(AND(Tabela1[[#This Row],[Data nascimento]]&gt;=$P$2,Tabela1[[#This Row],[Data nascimento]]&lt;=$O$2),"JUVENIL","JÚNIOR")</f>
        <v>JUVENIL</v>
      </c>
    </row>
    <row r="797" spans="1:10" ht="15" x14ac:dyDescent="0.4">
      <c r="A797" s="13" t="s">
        <v>3359</v>
      </c>
      <c r="B797" s="2" t="s">
        <v>3360</v>
      </c>
      <c r="C797" s="4" t="s">
        <v>21</v>
      </c>
      <c r="D797" s="11">
        <v>39465</v>
      </c>
      <c r="E797" s="7" t="s">
        <v>3361</v>
      </c>
      <c r="F797" s="4" t="s">
        <v>4758</v>
      </c>
      <c r="G797" s="12" t="str">
        <f>IF(AND(Tabela1[[#This Row],[Data nascimento]]&gt;=$J$2,Tabela1[[#This Row],[Data nascimento]]&lt;=$I$2),"INFANTIL A",H797)</f>
        <v>JUVENIL</v>
      </c>
      <c r="H797" s="3" t="str">
        <f>IF(AND(Tabela1[[#This Row],[Data nascimento]]&gt;=$L$2,Tabela1[[#This Row],[Data nascimento]]&lt;=$K$2),"INFANTIL B",I797)</f>
        <v>JUVENIL</v>
      </c>
      <c r="I797" s="9" t="str">
        <f>IF(AND(Tabela1[[#This Row],[Data nascimento]]&gt;=$N$2,Tabela1[[#This Row],[Data nascimento]]&lt;=$M$2),"INICIADO",J797)</f>
        <v>JUVENIL</v>
      </c>
      <c r="J797" s="9" t="str">
        <f>IF(AND(Tabela1[[#This Row],[Data nascimento]]&gt;=$P$2,Tabela1[[#This Row],[Data nascimento]]&lt;=$O$2),"JUVENIL","JÚNIOR")</f>
        <v>JUVENIL</v>
      </c>
    </row>
    <row r="798" spans="1:10" ht="15" x14ac:dyDescent="0.4">
      <c r="A798" s="13" t="s">
        <v>3362</v>
      </c>
      <c r="B798" s="2" t="s">
        <v>3363</v>
      </c>
      <c r="C798" s="4" t="s">
        <v>8</v>
      </c>
      <c r="D798" s="11">
        <v>39503</v>
      </c>
      <c r="E798" s="7" t="s">
        <v>3364</v>
      </c>
      <c r="F798" s="4" t="s">
        <v>4759</v>
      </c>
      <c r="G798" s="12" t="str">
        <f>IF(AND(Tabela1[[#This Row],[Data nascimento]]&gt;=$J$2,Tabela1[[#This Row],[Data nascimento]]&lt;=$I$2),"INFANTIL A",H798)</f>
        <v>JUVENIL</v>
      </c>
      <c r="H798" s="3" t="str">
        <f>IF(AND(Tabela1[[#This Row],[Data nascimento]]&gt;=$L$2,Tabela1[[#This Row],[Data nascimento]]&lt;=$K$2),"INFANTIL B",I798)</f>
        <v>JUVENIL</v>
      </c>
      <c r="I798" s="9" t="str">
        <f>IF(AND(Tabela1[[#This Row],[Data nascimento]]&gt;=$N$2,Tabela1[[#This Row],[Data nascimento]]&lt;=$M$2),"INICIADO",J798)</f>
        <v>JUVENIL</v>
      </c>
      <c r="J798" s="9" t="str">
        <f>IF(AND(Tabela1[[#This Row],[Data nascimento]]&gt;=$P$2,Tabela1[[#This Row],[Data nascimento]]&lt;=$O$2),"JUVENIL","JÚNIOR")</f>
        <v>JUVENIL</v>
      </c>
    </row>
    <row r="799" spans="1:10" ht="15" x14ac:dyDescent="0.4">
      <c r="A799" s="13" t="s">
        <v>3365</v>
      </c>
      <c r="B799" s="2" t="s">
        <v>3366</v>
      </c>
      <c r="C799" s="4" t="s">
        <v>21</v>
      </c>
      <c r="D799" s="11">
        <v>40106</v>
      </c>
      <c r="E799" s="7" t="s">
        <v>3367</v>
      </c>
      <c r="F799" s="4" t="s">
        <v>4759</v>
      </c>
      <c r="G799" s="12" t="str">
        <f>IF(AND(Tabela1[[#This Row],[Data nascimento]]&gt;=$J$2,Tabela1[[#This Row],[Data nascimento]]&lt;=$I$2),"INFANTIL A",H799)</f>
        <v>JUVENIL</v>
      </c>
      <c r="H799" s="3" t="str">
        <f>IF(AND(Tabela1[[#This Row],[Data nascimento]]&gt;=$L$2,Tabela1[[#This Row],[Data nascimento]]&lt;=$K$2),"INFANTIL B",I799)</f>
        <v>JUVENIL</v>
      </c>
      <c r="I799" s="9" t="str">
        <f>IF(AND(Tabela1[[#This Row],[Data nascimento]]&gt;=$N$2,Tabela1[[#This Row],[Data nascimento]]&lt;=$M$2),"INICIADO",J799)</f>
        <v>JUVENIL</v>
      </c>
      <c r="J799" s="9" t="str">
        <f>IF(AND(Tabela1[[#This Row],[Data nascimento]]&gt;=$P$2,Tabela1[[#This Row],[Data nascimento]]&lt;=$O$2),"JUVENIL","JÚNIOR")</f>
        <v>JUVENIL</v>
      </c>
    </row>
    <row r="800" spans="1:10" ht="15" x14ac:dyDescent="0.4">
      <c r="A800" s="13" t="s">
        <v>3368</v>
      </c>
      <c r="B800" s="2" t="s">
        <v>3369</v>
      </c>
      <c r="C800" s="4" t="s">
        <v>21</v>
      </c>
      <c r="D800" s="11">
        <v>39787</v>
      </c>
      <c r="E800" s="7" t="s">
        <v>3370</v>
      </c>
      <c r="F800" s="4" t="s">
        <v>4759</v>
      </c>
      <c r="G800" s="12" t="str">
        <f>IF(AND(Tabela1[[#This Row],[Data nascimento]]&gt;=$J$2,Tabela1[[#This Row],[Data nascimento]]&lt;=$I$2),"INFANTIL A",H800)</f>
        <v>JUVENIL</v>
      </c>
      <c r="H800" s="3" t="str">
        <f>IF(AND(Tabela1[[#This Row],[Data nascimento]]&gt;=$L$2,Tabela1[[#This Row],[Data nascimento]]&lt;=$K$2),"INFANTIL B",I800)</f>
        <v>JUVENIL</v>
      </c>
      <c r="I800" s="9" t="str">
        <f>IF(AND(Tabela1[[#This Row],[Data nascimento]]&gt;=$N$2,Tabela1[[#This Row],[Data nascimento]]&lt;=$M$2),"INICIADO",J800)</f>
        <v>JUVENIL</v>
      </c>
      <c r="J800" s="9" t="str">
        <f>IF(AND(Tabela1[[#This Row],[Data nascimento]]&gt;=$P$2,Tabela1[[#This Row],[Data nascimento]]&lt;=$O$2),"JUVENIL","JÚNIOR")</f>
        <v>JUVENIL</v>
      </c>
    </row>
    <row r="801" spans="1:10" ht="15" x14ac:dyDescent="0.4">
      <c r="A801" s="13" t="s">
        <v>3371</v>
      </c>
      <c r="B801" s="2" t="s">
        <v>3372</v>
      </c>
      <c r="C801" s="4" t="s">
        <v>8</v>
      </c>
      <c r="D801" s="11">
        <v>39805</v>
      </c>
      <c r="E801" s="7" t="s">
        <v>3373</v>
      </c>
      <c r="F801" s="4" t="s">
        <v>4759</v>
      </c>
      <c r="G801" s="12" t="str">
        <f>IF(AND(Tabela1[[#This Row],[Data nascimento]]&gt;=$J$2,Tabela1[[#This Row],[Data nascimento]]&lt;=$I$2),"INFANTIL A",H801)</f>
        <v>JUVENIL</v>
      </c>
      <c r="H801" s="3" t="str">
        <f>IF(AND(Tabela1[[#This Row],[Data nascimento]]&gt;=$L$2,Tabela1[[#This Row],[Data nascimento]]&lt;=$K$2),"INFANTIL B",I801)</f>
        <v>JUVENIL</v>
      </c>
      <c r="I801" s="9" t="str">
        <f>IF(AND(Tabela1[[#This Row],[Data nascimento]]&gt;=$N$2,Tabela1[[#This Row],[Data nascimento]]&lt;=$M$2),"INICIADO",J801)</f>
        <v>JUVENIL</v>
      </c>
      <c r="J801" s="9" t="str">
        <f>IF(AND(Tabela1[[#This Row],[Data nascimento]]&gt;=$P$2,Tabela1[[#This Row],[Data nascimento]]&lt;=$O$2),"JUVENIL","JÚNIOR")</f>
        <v>JUVENIL</v>
      </c>
    </row>
    <row r="802" spans="1:10" ht="15" x14ac:dyDescent="0.4">
      <c r="A802" s="13" t="s">
        <v>3374</v>
      </c>
      <c r="B802" s="2" t="s">
        <v>3375</v>
      </c>
      <c r="C802" s="4" t="s">
        <v>21</v>
      </c>
      <c r="D802" s="11">
        <v>39616</v>
      </c>
      <c r="E802" s="7" t="s">
        <v>3376</v>
      </c>
      <c r="F802" s="4" t="s">
        <v>4759</v>
      </c>
      <c r="G802" s="12" t="str">
        <f>IF(AND(Tabela1[[#This Row],[Data nascimento]]&gt;=$J$2,Tabela1[[#This Row],[Data nascimento]]&lt;=$I$2),"INFANTIL A",H802)</f>
        <v>JUVENIL</v>
      </c>
      <c r="H802" s="3" t="str">
        <f>IF(AND(Tabela1[[#This Row],[Data nascimento]]&gt;=$L$2,Tabela1[[#This Row],[Data nascimento]]&lt;=$K$2),"INFANTIL B",I802)</f>
        <v>JUVENIL</v>
      </c>
      <c r="I802" s="9" t="str">
        <f>IF(AND(Tabela1[[#This Row],[Data nascimento]]&gt;=$N$2,Tabela1[[#This Row],[Data nascimento]]&lt;=$M$2),"INICIADO",J802)</f>
        <v>JUVENIL</v>
      </c>
      <c r="J802" s="9" t="str">
        <f>IF(AND(Tabela1[[#This Row],[Data nascimento]]&gt;=$P$2,Tabela1[[#This Row],[Data nascimento]]&lt;=$O$2),"JUVENIL","JÚNIOR")</f>
        <v>JUVENIL</v>
      </c>
    </row>
    <row r="803" spans="1:10" ht="15" x14ac:dyDescent="0.4">
      <c r="A803" s="13" t="s">
        <v>3377</v>
      </c>
      <c r="B803" s="2" t="s">
        <v>3378</v>
      </c>
      <c r="C803" s="4" t="s">
        <v>21</v>
      </c>
      <c r="D803" s="11">
        <v>39675</v>
      </c>
      <c r="E803" s="7" t="s">
        <v>3379</v>
      </c>
      <c r="F803" s="4" t="s">
        <v>4759</v>
      </c>
      <c r="G803" s="12" t="str">
        <f>IF(AND(Tabela1[[#This Row],[Data nascimento]]&gt;=$J$2,Tabela1[[#This Row],[Data nascimento]]&lt;=$I$2),"INFANTIL A",H803)</f>
        <v>JUVENIL</v>
      </c>
      <c r="H803" s="3" t="str">
        <f>IF(AND(Tabela1[[#This Row],[Data nascimento]]&gt;=$L$2,Tabela1[[#This Row],[Data nascimento]]&lt;=$K$2),"INFANTIL B",I803)</f>
        <v>JUVENIL</v>
      </c>
      <c r="I803" s="9" t="str">
        <f>IF(AND(Tabela1[[#This Row],[Data nascimento]]&gt;=$N$2,Tabela1[[#This Row],[Data nascimento]]&lt;=$M$2),"INICIADO",J803)</f>
        <v>JUVENIL</v>
      </c>
      <c r="J803" s="9" t="str">
        <f>IF(AND(Tabela1[[#This Row],[Data nascimento]]&gt;=$P$2,Tabela1[[#This Row],[Data nascimento]]&lt;=$O$2),"JUVENIL","JÚNIOR")</f>
        <v>JUVENIL</v>
      </c>
    </row>
    <row r="804" spans="1:10" ht="15" x14ac:dyDescent="0.4">
      <c r="A804" s="13" t="s">
        <v>3380</v>
      </c>
      <c r="B804" s="2" t="s">
        <v>3381</v>
      </c>
      <c r="C804" s="4" t="s">
        <v>8</v>
      </c>
      <c r="D804" s="11">
        <v>39658</v>
      </c>
      <c r="E804" s="7" t="s">
        <v>3382</v>
      </c>
      <c r="F804" s="4" t="s">
        <v>4759</v>
      </c>
      <c r="G804" s="12" t="str">
        <f>IF(AND(Tabela1[[#This Row],[Data nascimento]]&gt;=$J$2,Tabela1[[#This Row],[Data nascimento]]&lt;=$I$2),"INFANTIL A",H804)</f>
        <v>JUVENIL</v>
      </c>
      <c r="H804" s="3" t="str">
        <f>IF(AND(Tabela1[[#This Row],[Data nascimento]]&gt;=$L$2,Tabela1[[#This Row],[Data nascimento]]&lt;=$K$2),"INFANTIL B",I804)</f>
        <v>JUVENIL</v>
      </c>
      <c r="I804" s="9" t="str">
        <f>IF(AND(Tabela1[[#This Row],[Data nascimento]]&gt;=$N$2,Tabela1[[#This Row],[Data nascimento]]&lt;=$M$2),"INICIADO",J804)</f>
        <v>JUVENIL</v>
      </c>
      <c r="J804" s="9" t="str">
        <f>IF(AND(Tabela1[[#This Row],[Data nascimento]]&gt;=$P$2,Tabela1[[#This Row],[Data nascimento]]&lt;=$O$2),"JUVENIL","JÚNIOR")</f>
        <v>JUVENIL</v>
      </c>
    </row>
    <row r="805" spans="1:10" ht="15" x14ac:dyDescent="0.4">
      <c r="A805" s="13" t="s">
        <v>3383</v>
      </c>
      <c r="B805" s="2" t="s">
        <v>3384</v>
      </c>
      <c r="C805" s="4" t="s">
        <v>8</v>
      </c>
      <c r="D805" s="11">
        <v>39799</v>
      </c>
      <c r="E805" s="7" t="s">
        <v>3385</v>
      </c>
      <c r="F805" s="4" t="s">
        <v>4759</v>
      </c>
      <c r="G805" s="12" t="str">
        <f>IF(AND(Tabela1[[#This Row],[Data nascimento]]&gt;=$J$2,Tabela1[[#This Row],[Data nascimento]]&lt;=$I$2),"INFANTIL A",H805)</f>
        <v>JUVENIL</v>
      </c>
      <c r="H805" s="3" t="str">
        <f>IF(AND(Tabela1[[#This Row],[Data nascimento]]&gt;=$L$2,Tabela1[[#This Row],[Data nascimento]]&lt;=$K$2),"INFANTIL B",I805)</f>
        <v>JUVENIL</v>
      </c>
      <c r="I805" s="9" t="str">
        <f>IF(AND(Tabela1[[#This Row],[Data nascimento]]&gt;=$N$2,Tabela1[[#This Row],[Data nascimento]]&lt;=$M$2),"INICIADO",J805)</f>
        <v>JUVENIL</v>
      </c>
      <c r="J805" s="9" t="str">
        <f>IF(AND(Tabela1[[#This Row],[Data nascimento]]&gt;=$P$2,Tabela1[[#This Row],[Data nascimento]]&lt;=$O$2),"JUVENIL","JÚNIOR")</f>
        <v>JUVENIL</v>
      </c>
    </row>
    <row r="806" spans="1:10" ht="15" x14ac:dyDescent="0.4">
      <c r="A806" s="13" t="s">
        <v>3386</v>
      </c>
      <c r="B806" s="2" t="s">
        <v>3387</v>
      </c>
      <c r="C806" s="4" t="s">
        <v>21</v>
      </c>
      <c r="D806" s="11">
        <v>39565</v>
      </c>
      <c r="E806" s="7" t="s">
        <v>3388</v>
      </c>
      <c r="F806" s="4" t="s">
        <v>4759</v>
      </c>
      <c r="G806" s="12" t="str">
        <f>IF(AND(Tabela1[[#This Row],[Data nascimento]]&gt;=$J$2,Tabela1[[#This Row],[Data nascimento]]&lt;=$I$2),"INFANTIL A",H806)</f>
        <v>JUVENIL</v>
      </c>
      <c r="H806" s="3" t="str">
        <f>IF(AND(Tabela1[[#This Row],[Data nascimento]]&gt;=$L$2,Tabela1[[#This Row],[Data nascimento]]&lt;=$K$2),"INFANTIL B",I806)</f>
        <v>JUVENIL</v>
      </c>
      <c r="I806" s="9" t="str">
        <f>IF(AND(Tabela1[[#This Row],[Data nascimento]]&gt;=$N$2,Tabela1[[#This Row],[Data nascimento]]&lt;=$M$2),"INICIADO",J806)</f>
        <v>JUVENIL</v>
      </c>
      <c r="J806" s="9" t="str">
        <f>IF(AND(Tabela1[[#This Row],[Data nascimento]]&gt;=$P$2,Tabela1[[#This Row],[Data nascimento]]&lt;=$O$2),"JUVENIL","JÚNIOR")</f>
        <v>JUVENIL</v>
      </c>
    </row>
    <row r="807" spans="1:10" ht="15" x14ac:dyDescent="0.4">
      <c r="A807" s="13" t="s">
        <v>3389</v>
      </c>
      <c r="B807" s="2" t="s">
        <v>3390</v>
      </c>
      <c r="C807" s="4" t="s">
        <v>8</v>
      </c>
      <c r="D807" s="11">
        <v>39495</v>
      </c>
      <c r="E807" s="7" t="s">
        <v>3391</v>
      </c>
      <c r="F807" s="4" t="s">
        <v>4759</v>
      </c>
      <c r="G807" s="12" t="str">
        <f>IF(AND(Tabela1[[#This Row],[Data nascimento]]&gt;=$J$2,Tabela1[[#This Row],[Data nascimento]]&lt;=$I$2),"INFANTIL A",H807)</f>
        <v>JUVENIL</v>
      </c>
      <c r="H807" s="3" t="str">
        <f>IF(AND(Tabela1[[#This Row],[Data nascimento]]&gt;=$L$2,Tabela1[[#This Row],[Data nascimento]]&lt;=$K$2),"INFANTIL B",I807)</f>
        <v>JUVENIL</v>
      </c>
      <c r="I807" s="9" t="str">
        <f>IF(AND(Tabela1[[#This Row],[Data nascimento]]&gt;=$N$2,Tabela1[[#This Row],[Data nascimento]]&lt;=$M$2),"INICIADO",J807)</f>
        <v>JUVENIL</v>
      </c>
      <c r="J807" s="9" t="str">
        <f>IF(AND(Tabela1[[#This Row],[Data nascimento]]&gt;=$P$2,Tabela1[[#This Row],[Data nascimento]]&lt;=$O$2),"JUVENIL","JÚNIOR")</f>
        <v>JUVENIL</v>
      </c>
    </row>
    <row r="808" spans="1:10" ht="15" x14ac:dyDescent="0.4">
      <c r="A808" s="13" t="s">
        <v>3392</v>
      </c>
      <c r="B808" s="2" t="s">
        <v>3393</v>
      </c>
      <c r="C808" s="4" t="s">
        <v>8</v>
      </c>
      <c r="D808" s="11">
        <v>39749</v>
      </c>
      <c r="E808" s="7" t="s">
        <v>3394</v>
      </c>
      <c r="F808" s="4" t="s">
        <v>4759</v>
      </c>
      <c r="G808" s="12" t="str">
        <f>IF(AND(Tabela1[[#This Row],[Data nascimento]]&gt;=$J$2,Tabela1[[#This Row],[Data nascimento]]&lt;=$I$2),"INFANTIL A",H808)</f>
        <v>JUVENIL</v>
      </c>
      <c r="H808" s="3" t="str">
        <f>IF(AND(Tabela1[[#This Row],[Data nascimento]]&gt;=$L$2,Tabela1[[#This Row],[Data nascimento]]&lt;=$K$2),"INFANTIL B",I808)</f>
        <v>JUVENIL</v>
      </c>
      <c r="I808" s="9" t="str">
        <f>IF(AND(Tabela1[[#This Row],[Data nascimento]]&gt;=$N$2,Tabela1[[#This Row],[Data nascimento]]&lt;=$M$2),"INICIADO",J808)</f>
        <v>JUVENIL</v>
      </c>
      <c r="J808" s="9" t="str">
        <f>IF(AND(Tabela1[[#This Row],[Data nascimento]]&gt;=$P$2,Tabela1[[#This Row],[Data nascimento]]&lt;=$O$2),"JUVENIL","JÚNIOR")</f>
        <v>JUVENIL</v>
      </c>
    </row>
    <row r="809" spans="1:10" ht="15" x14ac:dyDescent="0.4">
      <c r="A809" s="13" t="s">
        <v>3395</v>
      </c>
      <c r="B809" s="2" t="s">
        <v>3396</v>
      </c>
      <c r="C809" s="4" t="s">
        <v>21</v>
      </c>
      <c r="D809" s="11">
        <v>39621</v>
      </c>
      <c r="E809" s="7" t="s">
        <v>3397</v>
      </c>
      <c r="F809" s="4" t="s">
        <v>4759</v>
      </c>
      <c r="G809" s="12" t="str">
        <f>IF(AND(Tabela1[[#This Row],[Data nascimento]]&gt;=$J$2,Tabela1[[#This Row],[Data nascimento]]&lt;=$I$2),"INFANTIL A",H809)</f>
        <v>JUVENIL</v>
      </c>
      <c r="H809" s="3" t="str">
        <f>IF(AND(Tabela1[[#This Row],[Data nascimento]]&gt;=$L$2,Tabela1[[#This Row],[Data nascimento]]&lt;=$K$2),"INFANTIL B",I809)</f>
        <v>JUVENIL</v>
      </c>
      <c r="I809" s="9" t="str">
        <f>IF(AND(Tabela1[[#This Row],[Data nascimento]]&gt;=$N$2,Tabela1[[#This Row],[Data nascimento]]&lt;=$M$2),"INICIADO",J809)</f>
        <v>JUVENIL</v>
      </c>
      <c r="J809" s="9" t="str">
        <f>IF(AND(Tabela1[[#This Row],[Data nascimento]]&gt;=$P$2,Tabela1[[#This Row],[Data nascimento]]&lt;=$O$2),"JUVENIL","JÚNIOR")</f>
        <v>JUVENIL</v>
      </c>
    </row>
    <row r="810" spans="1:10" ht="15" x14ac:dyDescent="0.4">
      <c r="A810" s="13" t="s">
        <v>3398</v>
      </c>
      <c r="B810" s="2" t="s">
        <v>3399</v>
      </c>
      <c r="C810" s="4" t="s">
        <v>8</v>
      </c>
      <c r="D810" s="11">
        <v>39768</v>
      </c>
      <c r="E810" s="7" t="s">
        <v>3400</v>
      </c>
      <c r="F810" s="4" t="s">
        <v>4759</v>
      </c>
      <c r="G810" s="12" t="str">
        <f>IF(AND(Tabela1[[#This Row],[Data nascimento]]&gt;=$J$2,Tabela1[[#This Row],[Data nascimento]]&lt;=$I$2),"INFANTIL A",H810)</f>
        <v>JUVENIL</v>
      </c>
      <c r="H810" s="3" t="str">
        <f>IF(AND(Tabela1[[#This Row],[Data nascimento]]&gt;=$L$2,Tabela1[[#This Row],[Data nascimento]]&lt;=$K$2),"INFANTIL B",I810)</f>
        <v>JUVENIL</v>
      </c>
      <c r="I810" s="9" t="str">
        <f>IF(AND(Tabela1[[#This Row],[Data nascimento]]&gt;=$N$2,Tabela1[[#This Row],[Data nascimento]]&lt;=$M$2),"INICIADO",J810)</f>
        <v>JUVENIL</v>
      </c>
      <c r="J810" s="9" t="str">
        <f>IF(AND(Tabela1[[#This Row],[Data nascimento]]&gt;=$P$2,Tabela1[[#This Row],[Data nascimento]]&lt;=$O$2),"JUVENIL","JÚNIOR")</f>
        <v>JUVENIL</v>
      </c>
    </row>
    <row r="811" spans="1:10" ht="15" x14ac:dyDescent="0.4">
      <c r="A811" s="13" t="s">
        <v>3401</v>
      </c>
      <c r="B811" s="2" t="s">
        <v>3402</v>
      </c>
      <c r="C811" s="4" t="s">
        <v>8</v>
      </c>
      <c r="D811" s="11">
        <v>39580</v>
      </c>
      <c r="E811" s="7" t="s">
        <v>3403</v>
      </c>
      <c r="F811" s="4" t="s">
        <v>4759</v>
      </c>
      <c r="G811" s="12" t="str">
        <f>IF(AND(Tabela1[[#This Row],[Data nascimento]]&gt;=$J$2,Tabela1[[#This Row],[Data nascimento]]&lt;=$I$2),"INFANTIL A",H811)</f>
        <v>JUVENIL</v>
      </c>
      <c r="H811" s="3" t="str">
        <f>IF(AND(Tabela1[[#This Row],[Data nascimento]]&gt;=$L$2,Tabela1[[#This Row],[Data nascimento]]&lt;=$K$2),"INFANTIL B",I811)</f>
        <v>JUVENIL</v>
      </c>
      <c r="I811" s="9" t="str">
        <f>IF(AND(Tabela1[[#This Row],[Data nascimento]]&gt;=$N$2,Tabela1[[#This Row],[Data nascimento]]&lt;=$M$2),"INICIADO",J811)</f>
        <v>JUVENIL</v>
      </c>
      <c r="J811" s="9" t="str">
        <f>IF(AND(Tabela1[[#This Row],[Data nascimento]]&gt;=$P$2,Tabela1[[#This Row],[Data nascimento]]&lt;=$O$2),"JUVENIL","JÚNIOR")</f>
        <v>JUVENIL</v>
      </c>
    </row>
    <row r="812" spans="1:10" ht="15" x14ac:dyDescent="0.4">
      <c r="A812" s="13" t="s">
        <v>3404</v>
      </c>
      <c r="B812" s="2" t="s">
        <v>3405</v>
      </c>
      <c r="C812" s="4" t="s">
        <v>21</v>
      </c>
      <c r="D812" s="11">
        <v>39608</v>
      </c>
      <c r="E812" s="7" t="s">
        <v>3406</v>
      </c>
      <c r="F812" s="4" t="s">
        <v>4758</v>
      </c>
      <c r="G812" s="12" t="str">
        <f>IF(AND(Tabela1[[#This Row],[Data nascimento]]&gt;=$J$2,Tabela1[[#This Row],[Data nascimento]]&lt;=$I$2),"INFANTIL A",H812)</f>
        <v>JUVENIL</v>
      </c>
      <c r="H812" s="3" t="str">
        <f>IF(AND(Tabela1[[#This Row],[Data nascimento]]&gt;=$L$2,Tabela1[[#This Row],[Data nascimento]]&lt;=$K$2),"INFANTIL B",I812)</f>
        <v>JUVENIL</v>
      </c>
      <c r="I812" s="9" t="str">
        <f>IF(AND(Tabela1[[#This Row],[Data nascimento]]&gt;=$N$2,Tabela1[[#This Row],[Data nascimento]]&lt;=$M$2),"INICIADO",J812)</f>
        <v>JUVENIL</v>
      </c>
      <c r="J812" s="9" t="str">
        <f>IF(AND(Tabela1[[#This Row],[Data nascimento]]&gt;=$P$2,Tabela1[[#This Row],[Data nascimento]]&lt;=$O$2),"JUVENIL","JÚNIOR")</f>
        <v>JUVENIL</v>
      </c>
    </row>
    <row r="813" spans="1:10" ht="15" x14ac:dyDescent="0.4">
      <c r="A813" s="13" t="s">
        <v>3407</v>
      </c>
      <c r="B813" s="2" t="s">
        <v>3408</v>
      </c>
      <c r="C813" s="4" t="s">
        <v>21</v>
      </c>
      <c r="D813" s="11">
        <v>39637</v>
      </c>
      <c r="E813" s="7" t="s">
        <v>3409</v>
      </c>
      <c r="F813" s="4" t="s">
        <v>4760</v>
      </c>
      <c r="G813" s="12" t="str">
        <f>IF(AND(Tabela1[[#This Row],[Data nascimento]]&gt;=$J$2,Tabela1[[#This Row],[Data nascimento]]&lt;=$I$2),"INFANTIL A",H813)</f>
        <v>JUVENIL</v>
      </c>
      <c r="H813" s="3" t="str">
        <f>IF(AND(Tabela1[[#This Row],[Data nascimento]]&gt;=$L$2,Tabela1[[#This Row],[Data nascimento]]&lt;=$K$2),"INFANTIL B",I813)</f>
        <v>JUVENIL</v>
      </c>
      <c r="I813" s="9" t="str">
        <f>IF(AND(Tabela1[[#This Row],[Data nascimento]]&gt;=$N$2,Tabela1[[#This Row],[Data nascimento]]&lt;=$M$2),"INICIADO",J813)</f>
        <v>JUVENIL</v>
      </c>
      <c r="J813" s="9" t="str">
        <f>IF(AND(Tabela1[[#This Row],[Data nascimento]]&gt;=$P$2,Tabela1[[#This Row],[Data nascimento]]&lt;=$O$2),"JUVENIL","JÚNIOR")</f>
        <v>JUVENIL</v>
      </c>
    </row>
    <row r="814" spans="1:10" ht="15" x14ac:dyDescent="0.4">
      <c r="A814" s="13" t="s">
        <v>3410</v>
      </c>
      <c r="B814" s="2" t="s">
        <v>3411</v>
      </c>
      <c r="C814" s="4" t="s">
        <v>8</v>
      </c>
      <c r="D814" s="11">
        <v>39692</v>
      </c>
      <c r="E814" s="7" t="s">
        <v>3412</v>
      </c>
      <c r="F814" s="4" t="s">
        <v>4760</v>
      </c>
      <c r="G814" s="12" t="str">
        <f>IF(AND(Tabela1[[#This Row],[Data nascimento]]&gt;=$J$2,Tabela1[[#This Row],[Data nascimento]]&lt;=$I$2),"INFANTIL A",H814)</f>
        <v>JUVENIL</v>
      </c>
      <c r="H814" s="3" t="str">
        <f>IF(AND(Tabela1[[#This Row],[Data nascimento]]&gt;=$L$2,Tabela1[[#This Row],[Data nascimento]]&lt;=$K$2),"INFANTIL B",I814)</f>
        <v>JUVENIL</v>
      </c>
      <c r="I814" s="9" t="str">
        <f>IF(AND(Tabela1[[#This Row],[Data nascimento]]&gt;=$N$2,Tabela1[[#This Row],[Data nascimento]]&lt;=$M$2),"INICIADO",J814)</f>
        <v>JUVENIL</v>
      </c>
      <c r="J814" s="9" t="str">
        <f>IF(AND(Tabela1[[#This Row],[Data nascimento]]&gt;=$P$2,Tabela1[[#This Row],[Data nascimento]]&lt;=$O$2),"JUVENIL","JÚNIOR")</f>
        <v>JUVENIL</v>
      </c>
    </row>
    <row r="815" spans="1:10" ht="15" x14ac:dyDescent="0.4">
      <c r="A815" s="13" t="s">
        <v>3413</v>
      </c>
      <c r="B815" s="2" t="s">
        <v>3414</v>
      </c>
      <c r="C815" s="4" t="s">
        <v>21</v>
      </c>
      <c r="D815" s="11">
        <v>39477</v>
      </c>
      <c r="E815" s="7" t="s">
        <v>3415</v>
      </c>
      <c r="F815" s="4" t="s">
        <v>4760</v>
      </c>
      <c r="G815" s="12" t="str">
        <f>IF(AND(Tabela1[[#This Row],[Data nascimento]]&gt;=$J$2,Tabela1[[#This Row],[Data nascimento]]&lt;=$I$2),"INFANTIL A",H815)</f>
        <v>JUVENIL</v>
      </c>
      <c r="H815" s="3" t="str">
        <f>IF(AND(Tabela1[[#This Row],[Data nascimento]]&gt;=$L$2,Tabela1[[#This Row],[Data nascimento]]&lt;=$K$2),"INFANTIL B",I815)</f>
        <v>JUVENIL</v>
      </c>
      <c r="I815" s="9" t="str">
        <f>IF(AND(Tabela1[[#This Row],[Data nascimento]]&gt;=$N$2,Tabela1[[#This Row],[Data nascimento]]&lt;=$M$2),"INICIADO",J815)</f>
        <v>JUVENIL</v>
      </c>
      <c r="J815" s="9" t="str">
        <f>IF(AND(Tabela1[[#This Row],[Data nascimento]]&gt;=$P$2,Tabela1[[#This Row],[Data nascimento]]&lt;=$O$2),"JUVENIL","JÚNIOR")</f>
        <v>JUVENIL</v>
      </c>
    </row>
    <row r="816" spans="1:10" ht="15" x14ac:dyDescent="0.4">
      <c r="A816" s="13" t="s">
        <v>3416</v>
      </c>
      <c r="B816" s="2" t="s">
        <v>3417</v>
      </c>
      <c r="C816" s="4" t="s">
        <v>21</v>
      </c>
      <c r="D816" s="11">
        <v>39476</v>
      </c>
      <c r="E816" s="7" t="s">
        <v>3418</v>
      </c>
      <c r="F816" s="4" t="s">
        <v>4760</v>
      </c>
      <c r="G816" s="12" t="str">
        <f>IF(AND(Tabela1[[#This Row],[Data nascimento]]&gt;=$J$2,Tabela1[[#This Row],[Data nascimento]]&lt;=$I$2),"INFANTIL A",H816)</f>
        <v>JUVENIL</v>
      </c>
      <c r="H816" s="3" t="str">
        <f>IF(AND(Tabela1[[#This Row],[Data nascimento]]&gt;=$L$2,Tabela1[[#This Row],[Data nascimento]]&lt;=$K$2),"INFANTIL B",I816)</f>
        <v>JUVENIL</v>
      </c>
      <c r="I816" s="9" t="str">
        <f>IF(AND(Tabela1[[#This Row],[Data nascimento]]&gt;=$N$2,Tabela1[[#This Row],[Data nascimento]]&lt;=$M$2),"INICIADO",J816)</f>
        <v>JUVENIL</v>
      </c>
      <c r="J816" s="9" t="str">
        <f>IF(AND(Tabela1[[#This Row],[Data nascimento]]&gt;=$P$2,Tabela1[[#This Row],[Data nascimento]]&lt;=$O$2),"JUVENIL","JÚNIOR")</f>
        <v>JUVENIL</v>
      </c>
    </row>
    <row r="817" spans="1:10" ht="15" x14ac:dyDescent="0.4">
      <c r="A817" s="13" t="s">
        <v>3419</v>
      </c>
      <c r="B817" s="2" t="s">
        <v>3420</v>
      </c>
      <c r="C817" s="4" t="s">
        <v>21</v>
      </c>
      <c r="D817" s="11">
        <v>39701</v>
      </c>
      <c r="E817" s="7" t="s">
        <v>3421</v>
      </c>
      <c r="F817" s="4" t="s">
        <v>4760</v>
      </c>
      <c r="G817" s="12" t="str">
        <f>IF(AND(Tabela1[[#This Row],[Data nascimento]]&gt;=$J$2,Tabela1[[#This Row],[Data nascimento]]&lt;=$I$2),"INFANTIL A",H817)</f>
        <v>JUVENIL</v>
      </c>
      <c r="H817" s="3" t="str">
        <f>IF(AND(Tabela1[[#This Row],[Data nascimento]]&gt;=$L$2,Tabela1[[#This Row],[Data nascimento]]&lt;=$K$2),"INFANTIL B",I817)</f>
        <v>JUVENIL</v>
      </c>
      <c r="I817" s="9" t="str">
        <f>IF(AND(Tabela1[[#This Row],[Data nascimento]]&gt;=$N$2,Tabela1[[#This Row],[Data nascimento]]&lt;=$M$2),"INICIADO",J817)</f>
        <v>JUVENIL</v>
      </c>
      <c r="J817" s="9" t="str">
        <f>IF(AND(Tabela1[[#This Row],[Data nascimento]]&gt;=$P$2,Tabela1[[#This Row],[Data nascimento]]&lt;=$O$2),"JUVENIL","JÚNIOR")</f>
        <v>JUVENIL</v>
      </c>
    </row>
    <row r="818" spans="1:10" ht="15" x14ac:dyDescent="0.4">
      <c r="A818" s="13" t="s">
        <v>3422</v>
      </c>
      <c r="B818" s="2" t="s">
        <v>3423</v>
      </c>
      <c r="C818" s="4" t="s">
        <v>8</v>
      </c>
      <c r="D818" s="11">
        <v>39794</v>
      </c>
      <c r="E818" s="7" t="s">
        <v>3424</v>
      </c>
      <c r="F818" s="4" t="s">
        <v>4760</v>
      </c>
      <c r="G818" s="12" t="str">
        <f>IF(AND(Tabela1[[#This Row],[Data nascimento]]&gt;=$J$2,Tabela1[[#This Row],[Data nascimento]]&lt;=$I$2),"INFANTIL A",H818)</f>
        <v>JUVENIL</v>
      </c>
      <c r="H818" s="3" t="str">
        <f>IF(AND(Tabela1[[#This Row],[Data nascimento]]&gt;=$L$2,Tabela1[[#This Row],[Data nascimento]]&lt;=$K$2),"INFANTIL B",I818)</f>
        <v>JUVENIL</v>
      </c>
      <c r="I818" s="9" t="str">
        <f>IF(AND(Tabela1[[#This Row],[Data nascimento]]&gt;=$N$2,Tabela1[[#This Row],[Data nascimento]]&lt;=$M$2),"INICIADO",J818)</f>
        <v>JUVENIL</v>
      </c>
      <c r="J818" s="9" t="str">
        <f>IF(AND(Tabela1[[#This Row],[Data nascimento]]&gt;=$P$2,Tabela1[[#This Row],[Data nascimento]]&lt;=$O$2),"JUVENIL","JÚNIOR")</f>
        <v>JUVENIL</v>
      </c>
    </row>
    <row r="819" spans="1:10" ht="15" x14ac:dyDescent="0.4">
      <c r="A819" s="13" t="s">
        <v>3425</v>
      </c>
      <c r="B819" s="2" t="s">
        <v>3426</v>
      </c>
      <c r="C819" s="4" t="s">
        <v>21</v>
      </c>
      <c r="D819" s="11">
        <v>39725</v>
      </c>
      <c r="E819" s="7" t="s">
        <v>3427</v>
      </c>
      <c r="F819" s="4" t="s">
        <v>4760</v>
      </c>
      <c r="G819" s="12" t="str">
        <f>IF(AND(Tabela1[[#This Row],[Data nascimento]]&gt;=$J$2,Tabela1[[#This Row],[Data nascimento]]&lt;=$I$2),"INFANTIL A",H819)</f>
        <v>JUVENIL</v>
      </c>
      <c r="H819" s="3" t="str">
        <f>IF(AND(Tabela1[[#This Row],[Data nascimento]]&gt;=$L$2,Tabela1[[#This Row],[Data nascimento]]&lt;=$K$2),"INFANTIL B",I819)</f>
        <v>JUVENIL</v>
      </c>
      <c r="I819" s="9" t="str">
        <f>IF(AND(Tabela1[[#This Row],[Data nascimento]]&gt;=$N$2,Tabela1[[#This Row],[Data nascimento]]&lt;=$M$2),"INICIADO",J819)</f>
        <v>JUVENIL</v>
      </c>
      <c r="J819" s="9" t="str">
        <f>IF(AND(Tabela1[[#This Row],[Data nascimento]]&gt;=$P$2,Tabela1[[#This Row],[Data nascimento]]&lt;=$O$2),"JUVENIL","JÚNIOR")</f>
        <v>JUVENIL</v>
      </c>
    </row>
    <row r="820" spans="1:10" ht="15" x14ac:dyDescent="0.4">
      <c r="A820" s="13" t="s">
        <v>3428</v>
      </c>
      <c r="B820" s="2" t="s">
        <v>3429</v>
      </c>
      <c r="C820" s="4" t="s">
        <v>21</v>
      </c>
      <c r="D820" s="11">
        <v>39581</v>
      </c>
      <c r="E820" s="7" t="s">
        <v>3430</v>
      </c>
      <c r="F820" s="4" t="s">
        <v>4760</v>
      </c>
      <c r="G820" s="12" t="str">
        <f>IF(AND(Tabela1[[#This Row],[Data nascimento]]&gt;=$J$2,Tabela1[[#This Row],[Data nascimento]]&lt;=$I$2),"INFANTIL A",H820)</f>
        <v>JUVENIL</v>
      </c>
      <c r="H820" s="3" t="str">
        <f>IF(AND(Tabela1[[#This Row],[Data nascimento]]&gt;=$L$2,Tabela1[[#This Row],[Data nascimento]]&lt;=$K$2),"INFANTIL B",I820)</f>
        <v>JUVENIL</v>
      </c>
      <c r="I820" s="9" t="str">
        <f>IF(AND(Tabela1[[#This Row],[Data nascimento]]&gt;=$N$2,Tabela1[[#This Row],[Data nascimento]]&lt;=$M$2),"INICIADO",J820)</f>
        <v>JUVENIL</v>
      </c>
      <c r="J820" s="9" t="str">
        <f>IF(AND(Tabela1[[#This Row],[Data nascimento]]&gt;=$P$2,Tabela1[[#This Row],[Data nascimento]]&lt;=$O$2),"JUVENIL","JÚNIOR")</f>
        <v>JUVENIL</v>
      </c>
    </row>
    <row r="821" spans="1:10" ht="15" x14ac:dyDescent="0.4">
      <c r="A821" s="13" t="s">
        <v>3431</v>
      </c>
      <c r="B821" s="2" t="s">
        <v>3432</v>
      </c>
      <c r="C821" s="4" t="s">
        <v>21</v>
      </c>
      <c r="D821" s="11">
        <v>39507</v>
      </c>
      <c r="E821" s="7" t="s">
        <v>3433</v>
      </c>
      <c r="F821" s="4" t="s">
        <v>4760</v>
      </c>
      <c r="G821" s="12" t="str">
        <f>IF(AND(Tabela1[[#This Row],[Data nascimento]]&gt;=$J$2,Tabela1[[#This Row],[Data nascimento]]&lt;=$I$2),"INFANTIL A",H821)</f>
        <v>JUVENIL</v>
      </c>
      <c r="H821" s="3" t="str">
        <f>IF(AND(Tabela1[[#This Row],[Data nascimento]]&gt;=$L$2,Tabela1[[#This Row],[Data nascimento]]&lt;=$K$2),"INFANTIL B",I821)</f>
        <v>JUVENIL</v>
      </c>
      <c r="I821" s="9" t="str">
        <f>IF(AND(Tabela1[[#This Row],[Data nascimento]]&gt;=$N$2,Tabela1[[#This Row],[Data nascimento]]&lt;=$M$2),"INICIADO",J821)</f>
        <v>JUVENIL</v>
      </c>
      <c r="J821" s="9" t="str">
        <f>IF(AND(Tabela1[[#This Row],[Data nascimento]]&gt;=$P$2,Tabela1[[#This Row],[Data nascimento]]&lt;=$O$2),"JUVENIL","JÚNIOR")</f>
        <v>JUVENIL</v>
      </c>
    </row>
    <row r="822" spans="1:10" ht="15" x14ac:dyDescent="0.4">
      <c r="A822" s="13" t="s">
        <v>3434</v>
      </c>
      <c r="B822" s="2" t="s">
        <v>3435</v>
      </c>
      <c r="C822" s="4" t="s">
        <v>21</v>
      </c>
      <c r="D822" s="11">
        <v>39508</v>
      </c>
      <c r="E822" s="7" t="s">
        <v>3436</v>
      </c>
      <c r="F822" s="4" t="s">
        <v>4760</v>
      </c>
      <c r="G822" s="12" t="str">
        <f>IF(AND(Tabela1[[#This Row],[Data nascimento]]&gt;=$J$2,Tabela1[[#This Row],[Data nascimento]]&lt;=$I$2),"INFANTIL A",H822)</f>
        <v>JUVENIL</v>
      </c>
      <c r="H822" s="3" t="str">
        <f>IF(AND(Tabela1[[#This Row],[Data nascimento]]&gt;=$L$2,Tabela1[[#This Row],[Data nascimento]]&lt;=$K$2),"INFANTIL B",I822)</f>
        <v>JUVENIL</v>
      </c>
      <c r="I822" s="9" t="str">
        <f>IF(AND(Tabela1[[#This Row],[Data nascimento]]&gt;=$N$2,Tabela1[[#This Row],[Data nascimento]]&lt;=$M$2),"INICIADO",J822)</f>
        <v>JUVENIL</v>
      </c>
      <c r="J822" s="9" t="str">
        <f>IF(AND(Tabela1[[#This Row],[Data nascimento]]&gt;=$P$2,Tabela1[[#This Row],[Data nascimento]]&lt;=$O$2),"JUVENIL","JÚNIOR")</f>
        <v>JUVENIL</v>
      </c>
    </row>
    <row r="823" spans="1:10" ht="15" x14ac:dyDescent="0.4">
      <c r="A823" s="13" t="s">
        <v>3437</v>
      </c>
      <c r="B823" s="2" t="s">
        <v>3438</v>
      </c>
      <c r="C823" s="4" t="s">
        <v>21</v>
      </c>
      <c r="D823" s="11">
        <v>39538</v>
      </c>
      <c r="E823" s="7" t="s">
        <v>3439</v>
      </c>
      <c r="F823" s="4" t="s">
        <v>4760</v>
      </c>
      <c r="G823" s="12" t="str">
        <f>IF(AND(Tabela1[[#This Row],[Data nascimento]]&gt;=$J$2,Tabela1[[#This Row],[Data nascimento]]&lt;=$I$2),"INFANTIL A",H823)</f>
        <v>JUVENIL</v>
      </c>
      <c r="H823" s="3" t="str">
        <f>IF(AND(Tabela1[[#This Row],[Data nascimento]]&gt;=$L$2,Tabela1[[#This Row],[Data nascimento]]&lt;=$K$2),"INFANTIL B",I823)</f>
        <v>JUVENIL</v>
      </c>
      <c r="I823" s="9" t="str">
        <f>IF(AND(Tabela1[[#This Row],[Data nascimento]]&gt;=$N$2,Tabela1[[#This Row],[Data nascimento]]&lt;=$M$2),"INICIADO",J823)</f>
        <v>JUVENIL</v>
      </c>
      <c r="J823" s="9" t="str">
        <f>IF(AND(Tabela1[[#This Row],[Data nascimento]]&gt;=$P$2,Tabela1[[#This Row],[Data nascimento]]&lt;=$O$2),"JUVENIL","JÚNIOR")</f>
        <v>JUVENIL</v>
      </c>
    </row>
    <row r="824" spans="1:10" ht="15" x14ac:dyDescent="0.4">
      <c r="A824" s="13" t="s">
        <v>3440</v>
      </c>
      <c r="B824" s="2" t="s">
        <v>3441</v>
      </c>
      <c r="C824" s="4" t="s">
        <v>21</v>
      </c>
      <c r="D824" s="11">
        <v>39615</v>
      </c>
      <c r="E824" s="7" t="s">
        <v>3442</v>
      </c>
      <c r="F824" s="4" t="s">
        <v>4760</v>
      </c>
      <c r="G824" s="12" t="str">
        <f>IF(AND(Tabela1[[#This Row],[Data nascimento]]&gt;=$J$2,Tabela1[[#This Row],[Data nascimento]]&lt;=$I$2),"INFANTIL A",H824)</f>
        <v>JUVENIL</v>
      </c>
      <c r="H824" s="3" t="str">
        <f>IF(AND(Tabela1[[#This Row],[Data nascimento]]&gt;=$L$2,Tabela1[[#This Row],[Data nascimento]]&lt;=$K$2),"INFANTIL B",I824)</f>
        <v>JUVENIL</v>
      </c>
      <c r="I824" s="9" t="str">
        <f>IF(AND(Tabela1[[#This Row],[Data nascimento]]&gt;=$N$2,Tabela1[[#This Row],[Data nascimento]]&lt;=$M$2),"INICIADO",J824)</f>
        <v>JUVENIL</v>
      </c>
      <c r="J824" s="9" t="str">
        <f>IF(AND(Tabela1[[#This Row],[Data nascimento]]&gt;=$P$2,Tabela1[[#This Row],[Data nascimento]]&lt;=$O$2),"JUVENIL","JÚNIOR")</f>
        <v>JUVENIL</v>
      </c>
    </row>
    <row r="825" spans="1:10" ht="15" x14ac:dyDescent="0.4">
      <c r="A825" s="13" t="s">
        <v>3443</v>
      </c>
      <c r="B825" s="2" t="s">
        <v>3444</v>
      </c>
      <c r="C825" s="4" t="s">
        <v>21</v>
      </c>
      <c r="D825" s="11">
        <v>39519</v>
      </c>
      <c r="E825" s="7" t="s">
        <v>3445</v>
      </c>
      <c r="F825" s="4" t="s">
        <v>4760</v>
      </c>
      <c r="G825" s="12" t="str">
        <f>IF(AND(Tabela1[[#This Row],[Data nascimento]]&gt;=$J$2,Tabela1[[#This Row],[Data nascimento]]&lt;=$I$2),"INFANTIL A",H825)</f>
        <v>JUVENIL</v>
      </c>
      <c r="H825" s="3" t="str">
        <f>IF(AND(Tabela1[[#This Row],[Data nascimento]]&gt;=$L$2,Tabela1[[#This Row],[Data nascimento]]&lt;=$K$2),"INFANTIL B",I825)</f>
        <v>JUVENIL</v>
      </c>
      <c r="I825" s="9" t="str">
        <f>IF(AND(Tabela1[[#This Row],[Data nascimento]]&gt;=$N$2,Tabela1[[#This Row],[Data nascimento]]&lt;=$M$2),"INICIADO",J825)</f>
        <v>JUVENIL</v>
      </c>
      <c r="J825" s="9" t="str">
        <f>IF(AND(Tabela1[[#This Row],[Data nascimento]]&gt;=$P$2,Tabela1[[#This Row],[Data nascimento]]&lt;=$O$2),"JUVENIL","JÚNIOR")</f>
        <v>JUVENIL</v>
      </c>
    </row>
    <row r="826" spans="1:10" ht="15" x14ac:dyDescent="0.4">
      <c r="A826" s="13" t="s">
        <v>3446</v>
      </c>
      <c r="B826" s="2" t="s">
        <v>3447</v>
      </c>
      <c r="C826" s="4" t="s">
        <v>21</v>
      </c>
      <c r="D826" s="11">
        <v>39550</v>
      </c>
      <c r="E826" s="7" t="s">
        <v>3448</v>
      </c>
      <c r="F826" s="4" t="s">
        <v>4760</v>
      </c>
      <c r="G826" s="12" t="str">
        <f>IF(AND(Tabela1[[#This Row],[Data nascimento]]&gt;=$J$2,Tabela1[[#This Row],[Data nascimento]]&lt;=$I$2),"INFANTIL A",H826)</f>
        <v>JUVENIL</v>
      </c>
      <c r="H826" s="3" t="str">
        <f>IF(AND(Tabela1[[#This Row],[Data nascimento]]&gt;=$L$2,Tabela1[[#This Row],[Data nascimento]]&lt;=$K$2),"INFANTIL B",I826)</f>
        <v>JUVENIL</v>
      </c>
      <c r="I826" s="9" t="str">
        <f>IF(AND(Tabela1[[#This Row],[Data nascimento]]&gt;=$N$2,Tabela1[[#This Row],[Data nascimento]]&lt;=$M$2),"INICIADO",J826)</f>
        <v>JUVENIL</v>
      </c>
      <c r="J826" s="9" t="str">
        <f>IF(AND(Tabela1[[#This Row],[Data nascimento]]&gt;=$P$2,Tabela1[[#This Row],[Data nascimento]]&lt;=$O$2),"JUVENIL","JÚNIOR")</f>
        <v>JUVENIL</v>
      </c>
    </row>
    <row r="827" spans="1:10" ht="15" x14ac:dyDescent="0.4">
      <c r="A827" s="13" t="s">
        <v>3449</v>
      </c>
      <c r="B827" s="2" t="s">
        <v>3450</v>
      </c>
      <c r="C827" s="4" t="s">
        <v>8</v>
      </c>
      <c r="D827" s="11">
        <v>39642</v>
      </c>
      <c r="E827" s="7" t="s">
        <v>3451</v>
      </c>
      <c r="F827" s="4" t="s">
        <v>4760</v>
      </c>
      <c r="G827" s="12" t="str">
        <f>IF(AND(Tabela1[[#This Row],[Data nascimento]]&gt;=$J$2,Tabela1[[#This Row],[Data nascimento]]&lt;=$I$2),"INFANTIL A",H827)</f>
        <v>JUVENIL</v>
      </c>
      <c r="H827" s="3" t="str">
        <f>IF(AND(Tabela1[[#This Row],[Data nascimento]]&gt;=$L$2,Tabela1[[#This Row],[Data nascimento]]&lt;=$K$2),"INFANTIL B",I827)</f>
        <v>JUVENIL</v>
      </c>
      <c r="I827" s="9" t="str">
        <f>IF(AND(Tabela1[[#This Row],[Data nascimento]]&gt;=$N$2,Tabela1[[#This Row],[Data nascimento]]&lt;=$M$2),"INICIADO",J827)</f>
        <v>JUVENIL</v>
      </c>
      <c r="J827" s="9" t="str">
        <f>IF(AND(Tabela1[[#This Row],[Data nascimento]]&gt;=$P$2,Tabela1[[#This Row],[Data nascimento]]&lt;=$O$2),"JUVENIL","JÚNIOR")</f>
        <v>JUVENIL</v>
      </c>
    </row>
    <row r="828" spans="1:10" ht="15" x14ac:dyDescent="0.4">
      <c r="A828" s="13" t="s">
        <v>3452</v>
      </c>
      <c r="B828" s="2" t="s">
        <v>3453</v>
      </c>
      <c r="C828" s="4" t="s">
        <v>8</v>
      </c>
      <c r="D828" s="11">
        <v>39436</v>
      </c>
      <c r="E828" s="7" t="s">
        <v>3454</v>
      </c>
      <c r="F828" s="4" t="s">
        <v>4760</v>
      </c>
      <c r="G828" s="12" t="str">
        <f>IF(AND(Tabela1[[#This Row],[Data nascimento]]&gt;=$J$2,Tabela1[[#This Row],[Data nascimento]]&lt;=$I$2),"INFANTIL A",H828)</f>
        <v>JÚNIOR</v>
      </c>
      <c r="H828" s="3" t="str">
        <f>IF(AND(Tabela1[[#This Row],[Data nascimento]]&gt;=$L$2,Tabela1[[#This Row],[Data nascimento]]&lt;=$K$2),"INFANTIL B",I828)</f>
        <v>JÚNIOR</v>
      </c>
      <c r="I828" s="9" t="str">
        <f>IF(AND(Tabela1[[#This Row],[Data nascimento]]&gt;=$N$2,Tabela1[[#This Row],[Data nascimento]]&lt;=$M$2),"INICIADO",J828)</f>
        <v>JÚNIOR</v>
      </c>
      <c r="J828" s="9" t="str">
        <f>IF(AND(Tabela1[[#This Row],[Data nascimento]]&gt;=$P$2,Tabela1[[#This Row],[Data nascimento]]&lt;=$O$2),"JUVENIL","JÚNIOR")</f>
        <v>JÚNIOR</v>
      </c>
    </row>
    <row r="829" spans="1:10" ht="15" x14ac:dyDescent="0.4">
      <c r="A829" s="13" t="s">
        <v>3455</v>
      </c>
      <c r="B829" s="2" t="s">
        <v>3456</v>
      </c>
      <c r="C829" s="4" t="s">
        <v>21</v>
      </c>
      <c r="D829" s="11">
        <v>39805</v>
      </c>
      <c r="E829" s="7" t="s">
        <v>3457</v>
      </c>
      <c r="F829" s="4" t="s">
        <v>4760</v>
      </c>
      <c r="G829" s="12" t="str">
        <f>IF(AND(Tabela1[[#This Row],[Data nascimento]]&gt;=$J$2,Tabela1[[#This Row],[Data nascimento]]&lt;=$I$2),"INFANTIL A",H829)</f>
        <v>JUVENIL</v>
      </c>
      <c r="H829" s="3" t="str">
        <f>IF(AND(Tabela1[[#This Row],[Data nascimento]]&gt;=$L$2,Tabela1[[#This Row],[Data nascimento]]&lt;=$K$2),"INFANTIL B",I829)</f>
        <v>JUVENIL</v>
      </c>
      <c r="I829" s="9" t="str">
        <f>IF(AND(Tabela1[[#This Row],[Data nascimento]]&gt;=$N$2,Tabela1[[#This Row],[Data nascimento]]&lt;=$M$2),"INICIADO",J829)</f>
        <v>JUVENIL</v>
      </c>
      <c r="J829" s="9" t="str">
        <f>IF(AND(Tabela1[[#This Row],[Data nascimento]]&gt;=$P$2,Tabela1[[#This Row],[Data nascimento]]&lt;=$O$2),"JUVENIL","JÚNIOR")</f>
        <v>JUVENIL</v>
      </c>
    </row>
    <row r="830" spans="1:10" ht="15" x14ac:dyDescent="0.4">
      <c r="A830" s="13" t="s">
        <v>3458</v>
      </c>
      <c r="B830" s="2" t="s">
        <v>3459</v>
      </c>
      <c r="C830" s="4" t="s">
        <v>21</v>
      </c>
      <c r="D830" s="11">
        <v>39536</v>
      </c>
      <c r="E830" s="7" t="s">
        <v>3460</v>
      </c>
      <c r="F830" s="4" t="s">
        <v>4759</v>
      </c>
      <c r="G830" s="12" t="str">
        <f>IF(AND(Tabela1[[#This Row],[Data nascimento]]&gt;=$J$2,Tabela1[[#This Row],[Data nascimento]]&lt;=$I$2),"INFANTIL A",H830)</f>
        <v>JUVENIL</v>
      </c>
      <c r="H830" s="3" t="str">
        <f>IF(AND(Tabela1[[#This Row],[Data nascimento]]&gt;=$L$2,Tabela1[[#This Row],[Data nascimento]]&lt;=$K$2),"INFANTIL B",I830)</f>
        <v>JUVENIL</v>
      </c>
      <c r="I830" s="9" t="str">
        <f>IF(AND(Tabela1[[#This Row],[Data nascimento]]&gt;=$N$2,Tabela1[[#This Row],[Data nascimento]]&lt;=$M$2),"INICIADO",J830)</f>
        <v>JUVENIL</v>
      </c>
      <c r="J830" s="9" t="str">
        <f>IF(AND(Tabela1[[#This Row],[Data nascimento]]&gt;=$P$2,Tabela1[[#This Row],[Data nascimento]]&lt;=$O$2),"JUVENIL","JÚNIOR")</f>
        <v>JUVENIL</v>
      </c>
    </row>
    <row r="831" spans="1:10" ht="15" x14ac:dyDescent="0.4">
      <c r="A831" s="13" t="s">
        <v>3461</v>
      </c>
      <c r="B831" s="2" t="s">
        <v>3462</v>
      </c>
      <c r="C831" s="4" t="s">
        <v>8</v>
      </c>
      <c r="D831" s="11">
        <v>39720</v>
      </c>
      <c r="E831" s="7" t="s">
        <v>3463</v>
      </c>
      <c r="F831" s="4" t="s">
        <v>4759</v>
      </c>
      <c r="G831" s="12" t="str">
        <f>IF(AND(Tabela1[[#This Row],[Data nascimento]]&gt;=$J$2,Tabela1[[#This Row],[Data nascimento]]&lt;=$I$2),"INFANTIL A",H831)</f>
        <v>JUVENIL</v>
      </c>
      <c r="H831" s="3" t="str">
        <f>IF(AND(Tabela1[[#This Row],[Data nascimento]]&gt;=$L$2,Tabela1[[#This Row],[Data nascimento]]&lt;=$K$2),"INFANTIL B",I831)</f>
        <v>JUVENIL</v>
      </c>
      <c r="I831" s="9" t="str">
        <f>IF(AND(Tabela1[[#This Row],[Data nascimento]]&gt;=$N$2,Tabela1[[#This Row],[Data nascimento]]&lt;=$M$2),"INICIADO",J831)</f>
        <v>JUVENIL</v>
      </c>
      <c r="J831" s="9" t="str">
        <f>IF(AND(Tabela1[[#This Row],[Data nascimento]]&gt;=$P$2,Tabela1[[#This Row],[Data nascimento]]&lt;=$O$2),"JUVENIL","JÚNIOR")</f>
        <v>JUVENIL</v>
      </c>
    </row>
    <row r="832" spans="1:10" ht="15" x14ac:dyDescent="0.4">
      <c r="A832" s="13" t="s">
        <v>3464</v>
      </c>
      <c r="B832" s="2" t="s">
        <v>3465</v>
      </c>
      <c r="C832" s="4" t="s">
        <v>21</v>
      </c>
      <c r="D832" s="11">
        <v>39613</v>
      </c>
      <c r="E832" s="7" t="s">
        <v>3466</v>
      </c>
      <c r="F832" s="4" t="s">
        <v>4758</v>
      </c>
      <c r="G832" s="12" t="str">
        <f>IF(AND(Tabela1[[#This Row],[Data nascimento]]&gt;=$J$2,Tabela1[[#This Row],[Data nascimento]]&lt;=$I$2),"INFANTIL A",H832)</f>
        <v>JUVENIL</v>
      </c>
      <c r="H832" s="3" t="str">
        <f>IF(AND(Tabela1[[#This Row],[Data nascimento]]&gt;=$L$2,Tabela1[[#This Row],[Data nascimento]]&lt;=$K$2),"INFANTIL B",I832)</f>
        <v>JUVENIL</v>
      </c>
      <c r="I832" s="9" t="str">
        <f>IF(AND(Tabela1[[#This Row],[Data nascimento]]&gt;=$N$2,Tabela1[[#This Row],[Data nascimento]]&lt;=$M$2),"INICIADO",J832)</f>
        <v>JUVENIL</v>
      </c>
      <c r="J832" s="9" t="str">
        <f>IF(AND(Tabela1[[#This Row],[Data nascimento]]&gt;=$P$2,Tabela1[[#This Row],[Data nascimento]]&lt;=$O$2),"JUVENIL","JÚNIOR")</f>
        <v>JUVENIL</v>
      </c>
    </row>
    <row r="833" spans="1:10" ht="15" x14ac:dyDescent="0.4">
      <c r="A833" s="13" t="s">
        <v>3467</v>
      </c>
      <c r="B833" s="2" t="s">
        <v>3468</v>
      </c>
      <c r="C833" s="4" t="s">
        <v>21</v>
      </c>
      <c r="D833" s="11">
        <v>39367</v>
      </c>
      <c r="E833" s="7" t="s">
        <v>3469</v>
      </c>
      <c r="F833" s="4" t="s">
        <v>4758</v>
      </c>
      <c r="G833" s="12" t="str">
        <f>IF(AND(Tabela1[[#This Row],[Data nascimento]]&gt;=$J$2,Tabela1[[#This Row],[Data nascimento]]&lt;=$I$2),"INFANTIL A",H833)</f>
        <v>JÚNIOR</v>
      </c>
      <c r="H833" s="3" t="str">
        <f>IF(AND(Tabela1[[#This Row],[Data nascimento]]&gt;=$L$2,Tabela1[[#This Row],[Data nascimento]]&lt;=$K$2),"INFANTIL B",I833)</f>
        <v>JÚNIOR</v>
      </c>
      <c r="I833" s="9" t="str">
        <f>IF(AND(Tabela1[[#This Row],[Data nascimento]]&gt;=$N$2,Tabela1[[#This Row],[Data nascimento]]&lt;=$M$2),"INICIADO",J833)</f>
        <v>JÚNIOR</v>
      </c>
      <c r="J833" s="9" t="str">
        <f>IF(AND(Tabela1[[#This Row],[Data nascimento]]&gt;=$P$2,Tabela1[[#This Row],[Data nascimento]]&lt;=$O$2),"JUVENIL","JÚNIOR")</f>
        <v>JÚNIOR</v>
      </c>
    </row>
    <row r="834" spans="1:10" ht="15" x14ac:dyDescent="0.4">
      <c r="A834" s="13" t="s">
        <v>3470</v>
      </c>
      <c r="B834" s="2" t="s">
        <v>3471</v>
      </c>
      <c r="C834" s="4" t="s">
        <v>21</v>
      </c>
      <c r="D834" s="11">
        <v>39742</v>
      </c>
      <c r="E834" s="7" t="s">
        <v>3472</v>
      </c>
      <c r="F834" s="4" t="s">
        <v>4758</v>
      </c>
      <c r="G834" s="12" t="str">
        <f>IF(AND(Tabela1[[#This Row],[Data nascimento]]&gt;=$J$2,Tabela1[[#This Row],[Data nascimento]]&lt;=$I$2),"INFANTIL A",H834)</f>
        <v>JUVENIL</v>
      </c>
      <c r="H834" s="3" t="str">
        <f>IF(AND(Tabela1[[#This Row],[Data nascimento]]&gt;=$L$2,Tabela1[[#This Row],[Data nascimento]]&lt;=$K$2),"INFANTIL B",I834)</f>
        <v>JUVENIL</v>
      </c>
      <c r="I834" s="9" t="str">
        <f>IF(AND(Tabela1[[#This Row],[Data nascimento]]&gt;=$N$2,Tabela1[[#This Row],[Data nascimento]]&lt;=$M$2),"INICIADO",J834)</f>
        <v>JUVENIL</v>
      </c>
      <c r="J834" s="9" t="str">
        <f>IF(AND(Tabela1[[#This Row],[Data nascimento]]&gt;=$P$2,Tabela1[[#This Row],[Data nascimento]]&lt;=$O$2),"JUVENIL","JÚNIOR")</f>
        <v>JUVENIL</v>
      </c>
    </row>
    <row r="835" spans="1:10" ht="15" x14ac:dyDescent="0.4">
      <c r="A835" s="13" t="s">
        <v>3473</v>
      </c>
      <c r="B835" s="2" t="s">
        <v>3474</v>
      </c>
      <c r="C835" s="4" t="s">
        <v>8</v>
      </c>
      <c r="D835" s="11">
        <v>39739</v>
      </c>
      <c r="E835" s="7" t="s">
        <v>3475</v>
      </c>
      <c r="F835" s="4" t="s">
        <v>4758</v>
      </c>
      <c r="G835" s="12" t="str">
        <f>IF(AND(Tabela1[[#This Row],[Data nascimento]]&gt;=$J$2,Tabela1[[#This Row],[Data nascimento]]&lt;=$I$2),"INFANTIL A",H835)</f>
        <v>JUVENIL</v>
      </c>
      <c r="H835" s="3" t="str">
        <f>IF(AND(Tabela1[[#This Row],[Data nascimento]]&gt;=$L$2,Tabela1[[#This Row],[Data nascimento]]&lt;=$K$2),"INFANTIL B",I835)</f>
        <v>JUVENIL</v>
      </c>
      <c r="I835" s="9" t="str">
        <f>IF(AND(Tabela1[[#This Row],[Data nascimento]]&gt;=$N$2,Tabela1[[#This Row],[Data nascimento]]&lt;=$M$2),"INICIADO",J835)</f>
        <v>JUVENIL</v>
      </c>
      <c r="J835" s="9" t="str">
        <f>IF(AND(Tabela1[[#This Row],[Data nascimento]]&gt;=$P$2,Tabela1[[#This Row],[Data nascimento]]&lt;=$O$2),"JUVENIL","JÚNIOR")</f>
        <v>JUVENIL</v>
      </c>
    </row>
    <row r="836" spans="1:10" ht="15" x14ac:dyDescent="0.4">
      <c r="A836" s="13" t="s">
        <v>3476</v>
      </c>
      <c r="B836" s="2" t="s">
        <v>3477</v>
      </c>
      <c r="C836" s="4" t="s">
        <v>21</v>
      </c>
      <c r="D836" s="11">
        <v>39519</v>
      </c>
      <c r="E836" s="7" t="s">
        <v>3478</v>
      </c>
      <c r="F836" s="4" t="s">
        <v>4758</v>
      </c>
      <c r="G836" s="12" t="str">
        <f>IF(AND(Tabela1[[#This Row],[Data nascimento]]&gt;=$J$2,Tabela1[[#This Row],[Data nascimento]]&lt;=$I$2),"INFANTIL A",H836)</f>
        <v>JUVENIL</v>
      </c>
      <c r="H836" s="3" t="str">
        <f>IF(AND(Tabela1[[#This Row],[Data nascimento]]&gt;=$L$2,Tabela1[[#This Row],[Data nascimento]]&lt;=$K$2),"INFANTIL B",I836)</f>
        <v>JUVENIL</v>
      </c>
      <c r="I836" s="9" t="str">
        <f>IF(AND(Tabela1[[#This Row],[Data nascimento]]&gt;=$N$2,Tabela1[[#This Row],[Data nascimento]]&lt;=$M$2),"INICIADO",J836)</f>
        <v>JUVENIL</v>
      </c>
      <c r="J836" s="9" t="str">
        <f>IF(AND(Tabela1[[#This Row],[Data nascimento]]&gt;=$P$2,Tabela1[[#This Row],[Data nascimento]]&lt;=$O$2),"JUVENIL","JÚNIOR")</f>
        <v>JUVENIL</v>
      </c>
    </row>
    <row r="837" spans="1:10" ht="15" x14ac:dyDescent="0.4">
      <c r="A837" s="13" t="s">
        <v>3479</v>
      </c>
      <c r="B837" s="2" t="s">
        <v>3480</v>
      </c>
      <c r="C837" s="4" t="s">
        <v>21</v>
      </c>
      <c r="D837" s="11">
        <v>39814</v>
      </c>
      <c r="E837" s="7" t="s">
        <v>3481</v>
      </c>
      <c r="F837" s="4" t="s">
        <v>4758</v>
      </c>
      <c r="G837" s="12" t="str">
        <f>IF(AND(Tabela1[[#This Row],[Data nascimento]]&gt;=$J$2,Tabela1[[#This Row],[Data nascimento]]&lt;=$I$2),"INFANTIL A",H837)</f>
        <v>JUVENIL</v>
      </c>
      <c r="H837" s="3" t="str">
        <f>IF(AND(Tabela1[[#This Row],[Data nascimento]]&gt;=$L$2,Tabela1[[#This Row],[Data nascimento]]&lt;=$K$2),"INFANTIL B",I837)</f>
        <v>JUVENIL</v>
      </c>
      <c r="I837" s="9" t="str">
        <f>IF(AND(Tabela1[[#This Row],[Data nascimento]]&gt;=$N$2,Tabela1[[#This Row],[Data nascimento]]&lt;=$M$2),"INICIADO",J837)</f>
        <v>JUVENIL</v>
      </c>
      <c r="J837" s="9" t="str">
        <f>IF(AND(Tabela1[[#This Row],[Data nascimento]]&gt;=$P$2,Tabela1[[#This Row],[Data nascimento]]&lt;=$O$2),"JUVENIL","JÚNIOR")</f>
        <v>JUVENIL</v>
      </c>
    </row>
    <row r="838" spans="1:10" ht="15" x14ac:dyDescent="0.4">
      <c r="A838" s="13" t="s">
        <v>3482</v>
      </c>
      <c r="B838" s="2" t="s">
        <v>3483</v>
      </c>
      <c r="C838" s="4" t="s">
        <v>21</v>
      </c>
      <c r="D838" s="11">
        <v>39794</v>
      </c>
      <c r="E838" s="7" t="s">
        <v>3484</v>
      </c>
      <c r="F838" s="4" t="s">
        <v>4758</v>
      </c>
      <c r="G838" s="12" t="str">
        <f>IF(AND(Tabela1[[#This Row],[Data nascimento]]&gt;=$J$2,Tabela1[[#This Row],[Data nascimento]]&lt;=$I$2),"INFANTIL A",H838)</f>
        <v>JUVENIL</v>
      </c>
      <c r="H838" s="3" t="str">
        <f>IF(AND(Tabela1[[#This Row],[Data nascimento]]&gt;=$L$2,Tabela1[[#This Row],[Data nascimento]]&lt;=$K$2),"INFANTIL B",I838)</f>
        <v>JUVENIL</v>
      </c>
      <c r="I838" s="9" t="str">
        <f>IF(AND(Tabela1[[#This Row],[Data nascimento]]&gt;=$N$2,Tabela1[[#This Row],[Data nascimento]]&lt;=$M$2),"INICIADO",J838)</f>
        <v>JUVENIL</v>
      </c>
      <c r="J838" s="9" t="str">
        <f>IF(AND(Tabela1[[#This Row],[Data nascimento]]&gt;=$P$2,Tabela1[[#This Row],[Data nascimento]]&lt;=$O$2),"JUVENIL","JÚNIOR")</f>
        <v>JUVENIL</v>
      </c>
    </row>
    <row r="839" spans="1:10" ht="15" x14ac:dyDescent="0.4">
      <c r="A839" s="13" t="s">
        <v>3485</v>
      </c>
      <c r="B839" s="2" t="s">
        <v>3486</v>
      </c>
      <c r="C839" s="4" t="s">
        <v>21</v>
      </c>
      <c r="D839" s="11">
        <v>39511</v>
      </c>
      <c r="E839" s="7" t="s">
        <v>3487</v>
      </c>
      <c r="F839" s="4" t="s">
        <v>4758</v>
      </c>
      <c r="G839" s="12" t="str">
        <f>IF(AND(Tabela1[[#This Row],[Data nascimento]]&gt;=$J$2,Tabela1[[#This Row],[Data nascimento]]&lt;=$I$2),"INFANTIL A",H839)</f>
        <v>JUVENIL</v>
      </c>
      <c r="H839" s="3" t="str">
        <f>IF(AND(Tabela1[[#This Row],[Data nascimento]]&gt;=$L$2,Tabela1[[#This Row],[Data nascimento]]&lt;=$K$2),"INFANTIL B",I839)</f>
        <v>JUVENIL</v>
      </c>
      <c r="I839" s="9" t="str">
        <f>IF(AND(Tabela1[[#This Row],[Data nascimento]]&gt;=$N$2,Tabela1[[#This Row],[Data nascimento]]&lt;=$M$2),"INICIADO",J839)</f>
        <v>JUVENIL</v>
      </c>
      <c r="J839" s="9" t="str">
        <f>IF(AND(Tabela1[[#This Row],[Data nascimento]]&gt;=$P$2,Tabela1[[#This Row],[Data nascimento]]&lt;=$O$2),"JUVENIL","JÚNIOR")</f>
        <v>JUVENIL</v>
      </c>
    </row>
    <row r="840" spans="1:10" ht="15" x14ac:dyDescent="0.4">
      <c r="A840" s="13" t="s">
        <v>3488</v>
      </c>
      <c r="B840" s="2" t="s">
        <v>3489</v>
      </c>
      <c r="C840" s="4" t="s">
        <v>8</v>
      </c>
      <c r="D840" s="11">
        <v>39669</v>
      </c>
      <c r="E840" s="7" t="s">
        <v>3490</v>
      </c>
      <c r="F840" s="4" t="s">
        <v>4757</v>
      </c>
      <c r="G840" s="12" t="str">
        <f>IF(AND(Tabela1[[#This Row],[Data nascimento]]&gt;=$J$2,Tabela1[[#This Row],[Data nascimento]]&lt;=$I$2),"INFANTIL A",H840)</f>
        <v>JUVENIL</v>
      </c>
      <c r="H840" s="3" t="str">
        <f>IF(AND(Tabela1[[#This Row],[Data nascimento]]&gt;=$L$2,Tabela1[[#This Row],[Data nascimento]]&lt;=$K$2),"INFANTIL B",I840)</f>
        <v>JUVENIL</v>
      </c>
      <c r="I840" s="9" t="str">
        <f>IF(AND(Tabela1[[#This Row],[Data nascimento]]&gt;=$N$2,Tabela1[[#This Row],[Data nascimento]]&lt;=$M$2),"INICIADO",J840)</f>
        <v>JUVENIL</v>
      </c>
      <c r="J840" s="9" t="str">
        <f>IF(AND(Tabela1[[#This Row],[Data nascimento]]&gt;=$P$2,Tabela1[[#This Row],[Data nascimento]]&lt;=$O$2),"JUVENIL","JÚNIOR")</f>
        <v>JUVENIL</v>
      </c>
    </row>
    <row r="841" spans="1:10" ht="15" x14ac:dyDescent="0.4">
      <c r="A841" s="13" t="s">
        <v>3491</v>
      </c>
      <c r="B841" s="2" t="s">
        <v>3492</v>
      </c>
      <c r="C841" s="4" t="s">
        <v>8</v>
      </c>
      <c r="D841" s="11">
        <v>39758</v>
      </c>
      <c r="E841" s="7" t="s">
        <v>3493</v>
      </c>
      <c r="F841" s="4" t="s">
        <v>4757</v>
      </c>
      <c r="G841" s="12" t="str">
        <f>IF(AND(Tabela1[[#This Row],[Data nascimento]]&gt;=$J$2,Tabela1[[#This Row],[Data nascimento]]&lt;=$I$2),"INFANTIL A",H841)</f>
        <v>JUVENIL</v>
      </c>
      <c r="H841" s="3" t="str">
        <f>IF(AND(Tabela1[[#This Row],[Data nascimento]]&gt;=$L$2,Tabela1[[#This Row],[Data nascimento]]&lt;=$K$2),"INFANTIL B",I841)</f>
        <v>JUVENIL</v>
      </c>
      <c r="I841" s="9" t="str">
        <f>IF(AND(Tabela1[[#This Row],[Data nascimento]]&gt;=$N$2,Tabela1[[#This Row],[Data nascimento]]&lt;=$M$2),"INICIADO",J841)</f>
        <v>JUVENIL</v>
      </c>
      <c r="J841" s="9" t="str">
        <f>IF(AND(Tabela1[[#This Row],[Data nascimento]]&gt;=$P$2,Tabela1[[#This Row],[Data nascimento]]&lt;=$O$2),"JUVENIL","JÚNIOR")</f>
        <v>JUVENIL</v>
      </c>
    </row>
    <row r="842" spans="1:10" ht="15" x14ac:dyDescent="0.4">
      <c r="A842" s="13" t="s">
        <v>3494</v>
      </c>
      <c r="B842" s="2" t="s">
        <v>3495</v>
      </c>
      <c r="C842" s="4" t="s">
        <v>8</v>
      </c>
      <c r="D842" s="11">
        <v>39449</v>
      </c>
      <c r="E842" s="7" t="s">
        <v>3496</v>
      </c>
      <c r="F842" s="4" t="s">
        <v>4757</v>
      </c>
      <c r="G842" s="12" t="str">
        <f>IF(AND(Tabela1[[#This Row],[Data nascimento]]&gt;=$J$2,Tabela1[[#This Row],[Data nascimento]]&lt;=$I$2),"INFANTIL A",H842)</f>
        <v>JUVENIL</v>
      </c>
      <c r="H842" s="3" t="str">
        <f>IF(AND(Tabela1[[#This Row],[Data nascimento]]&gt;=$L$2,Tabela1[[#This Row],[Data nascimento]]&lt;=$K$2),"INFANTIL B",I842)</f>
        <v>JUVENIL</v>
      </c>
      <c r="I842" s="9" t="str">
        <f>IF(AND(Tabela1[[#This Row],[Data nascimento]]&gt;=$N$2,Tabela1[[#This Row],[Data nascimento]]&lt;=$M$2),"INICIADO",J842)</f>
        <v>JUVENIL</v>
      </c>
      <c r="J842" s="9" t="str">
        <f>IF(AND(Tabela1[[#This Row],[Data nascimento]]&gt;=$P$2,Tabela1[[#This Row],[Data nascimento]]&lt;=$O$2),"JUVENIL","JÚNIOR")</f>
        <v>JUVENIL</v>
      </c>
    </row>
    <row r="843" spans="1:10" ht="15" x14ac:dyDescent="0.4">
      <c r="A843" s="13" t="s">
        <v>3497</v>
      </c>
      <c r="B843" s="2" t="s">
        <v>3498</v>
      </c>
      <c r="C843" s="4" t="s">
        <v>8</v>
      </c>
      <c r="D843" s="11">
        <v>39783</v>
      </c>
      <c r="E843" s="7" t="s">
        <v>3499</v>
      </c>
      <c r="F843" s="4" t="s">
        <v>4757</v>
      </c>
      <c r="G843" s="12" t="str">
        <f>IF(AND(Tabela1[[#This Row],[Data nascimento]]&gt;=$J$2,Tabela1[[#This Row],[Data nascimento]]&lt;=$I$2),"INFANTIL A",H843)</f>
        <v>JUVENIL</v>
      </c>
      <c r="H843" s="3" t="str">
        <f>IF(AND(Tabela1[[#This Row],[Data nascimento]]&gt;=$L$2,Tabela1[[#This Row],[Data nascimento]]&lt;=$K$2),"INFANTIL B",I843)</f>
        <v>JUVENIL</v>
      </c>
      <c r="I843" s="9" t="str">
        <f>IF(AND(Tabela1[[#This Row],[Data nascimento]]&gt;=$N$2,Tabela1[[#This Row],[Data nascimento]]&lt;=$M$2),"INICIADO",J843)</f>
        <v>JUVENIL</v>
      </c>
      <c r="J843" s="9" t="str">
        <f>IF(AND(Tabela1[[#This Row],[Data nascimento]]&gt;=$P$2,Tabela1[[#This Row],[Data nascimento]]&lt;=$O$2),"JUVENIL","JÚNIOR")</f>
        <v>JUVENIL</v>
      </c>
    </row>
    <row r="844" spans="1:10" ht="15" x14ac:dyDescent="0.4">
      <c r="A844" s="13" t="s">
        <v>3500</v>
      </c>
      <c r="B844" s="2" t="s">
        <v>3501</v>
      </c>
      <c r="C844" s="4" t="s">
        <v>8</v>
      </c>
      <c r="D844" s="11">
        <v>39496</v>
      </c>
      <c r="E844" s="7" t="s">
        <v>3502</v>
      </c>
      <c r="F844" s="4" t="s">
        <v>4757</v>
      </c>
      <c r="G844" s="12" t="str">
        <f>IF(AND(Tabela1[[#This Row],[Data nascimento]]&gt;=$J$2,Tabela1[[#This Row],[Data nascimento]]&lt;=$I$2),"INFANTIL A",H844)</f>
        <v>JUVENIL</v>
      </c>
      <c r="H844" s="3" t="str">
        <f>IF(AND(Tabela1[[#This Row],[Data nascimento]]&gt;=$L$2,Tabela1[[#This Row],[Data nascimento]]&lt;=$K$2),"INFANTIL B",I844)</f>
        <v>JUVENIL</v>
      </c>
      <c r="I844" s="9" t="str">
        <f>IF(AND(Tabela1[[#This Row],[Data nascimento]]&gt;=$N$2,Tabela1[[#This Row],[Data nascimento]]&lt;=$M$2),"INICIADO",J844)</f>
        <v>JUVENIL</v>
      </c>
      <c r="J844" s="9" t="str">
        <f>IF(AND(Tabela1[[#This Row],[Data nascimento]]&gt;=$P$2,Tabela1[[#This Row],[Data nascimento]]&lt;=$O$2),"JUVENIL","JÚNIOR")</f>
        <v>JUVENIL</v>
      </c>
    </row>
    <row r="845" spans="1:10" ht="15" x14ac:dyDescent="0.4">
      <c r="A845" s="13" t="s">
        <v>3503</v>
      </c>
      <c r="B845" s="2" t="s">
        <v>3504</v>
      </c>
      <c r="C845" s="4" t="s">
        <v>21</v>
      </c>
      <c r="D845" s="11">
        <v>39645</v>
      </c>
      <c r="E845" s="7" t="s">
        <v>3505</v>
      </c>
      <c r="F845" s="4" t="s">
        <v>4757</v>
      </c>
      <c r="G845" s="12" t="str">
        <f>IF(AND(Tabela1[[#This Row],[Data nascimento]]&gt;=$J$2,Tabela1[[#This Row],[Data nascimento]]&lt;=$I$2),"INFANTIL A",H845)</f>
        <v>JUVENIL</v>
      </c>
      <c r="H845" s="3" t="str">
        <f>IF(AND(Tabela1[[#This Row],[Data nascimento]]&gt;=$L$2,Tabela1[[#This Row],[Data nascimento]]&lt;=$K$2),"INFANTIL B",I845)</f>
        <v>JUVENIL</v>
      </c>
      <c r="I845" s="9" t="str">
        <f>IF(AND(Tabela1[[#This Row],[Data nascimento]]&gt;=$N$2,Tabela1[[#This Row],[Data nascimento]]&lt;=$M$2),"INICIADO",J845)</f>
        <v>JUVENIL</v>
      </c>
      <c r="J845" s="9" t="str">
        <f>IF(AND(Tabela1[[#This Row],[Data nascimento]]&gt;=$P$2,Tabela1[[#This Row],[Data nascimento]]&lt;=$O$2),"JUVENIL","JÚNIOR")</f>
        <v>JUVENIL</v>
      </c>
    </row>
    <row r="846" spans="1:10" ht="15" x14ac:dyDescent="0.4">
      <c r="A846" s="13" t="s">
        <v>3506</v>
      </c>
      <c r="B846" s="2" t="s">
        <v>3507</v>
      </c>
      <c r="C846" s="4" t="s">
        <v>21</v>
      </c>
      <c r="D846" s="11">
        <v>39783</v>
      </c>
      <c r="E846" s="7" t="s">
        <v>3508</v>
      </c>
      <c r="F846" s="4" t="s">
        <v>4760</v>
      </c>
      <c r="G846" s="12" t="str">
        <f>IF(AND(Tabela1[[#This Row],[Data nascimento]]&gt;=$J$2,Tabela1[[#This Row],[Data nascimento]]&lt;=$I$2),"INFANTIL A",H846)</f>
        <v>JUVENIL</v>
      </c>
      <c r="H846" s="3" t="str">
        <f>IF(AND(Tabela1[[#This Row],[Data nascimento]]&gt;=$L$2,Tabela1[[#This Row],[Data nascimento]]&lt;=$K$2),"INFANTIL B",I846)</f>
        <v>JUVENIL</v>
      </c>
      <c r="I846" s="9" t="str">
        <f>IF(AND(Tabela1[[#This Row],[Data nascimento]]&gt;=$N$2,Tabela1[[#This Row],[Data nascimento]]&lt;=$M$2),"INICIADO",J846)</f>
        <v>JUVENIL</v>
      </c>
      <c r="J846" s="9" t="str">
        <f>IF(AND(Tabela1[[#This Row],[Data nascimento]]&gt;=$P$2,Tabela1[[#This Row],[Data nascimento]]&lt;=$O$2),"JUVENIL","JÚNIOR")</f>
        <v>JUVENIL</v>
      </c>
    </row>
    <row r="847" spans="1:10" ht="15" x14ac:dyDescent="0.4">
      <c r="A847" s="13" t="s">
        <v>3509</v>
      </c>
      <c r="B847" s="2" t="s">
        <v>3510</v>
      </c>
      <c r="C847" s="4" t="s">
        <v>21</v>
      </c>
      <c r="D847" s="11">
        <v>39709</v>
      </c>
      <c r="E847" s="7" t="s">
        <v>3511</v>
      </c>
      <c r="F847" s="4" t="s">
        <v>4760</v>
      </c>
      <c r="G847" s="12" t="str">
        <f>IF(AND(Tabela1[[#This Row],[Data nascimento]]&gt;=$J$2,Tabela1[[#This Row],[Data nascimento]]&lt;=$I$2),"INFANTIL A",H847)</f>
        <v>JUVENIL</v>
      </c>
      <c r="H847" s="3" t="str">
        <f>IF(AND(Tabela1[[#This Row],[Data nascimento]]&gt;=$L$2,Tabela1[[#This Row],[Data nascimento]]&lt;=$K$2),"INFANTIL B",I847)</f>
        <v>JUVENIL</v>
      </c>
      <c r="I847" s="9" t="str">
        <f>IF(AND(Tabela1[[#This Row],[Data nascimento]]&gt;=$N$2,Tabela1[[#This Row],[Data nascimento]]&lt;=$M$2),"INICIADO",J847)</f>
        <v>JUVENIL</v>
      </c>
      <c r="J847" s="9" t="str">
        <f>IF(AND(Tabela1[[#This Row],[Data nascimento]]&gt;=$P$2,Tabela1[[#This Row],[Data nascimento]]&lt;=$O$2),"JUVENIL","JÚNIOR")</f>
        <v>JUVENIL</v>
      </c>
    </row>
    <row r="848" spans="1:10" ht="15" x14ac:dyDescent="0.4">
      <c r="A848" s="13" t="s">
        <v>3512</v>
      </c>
      <c r="B848" s="2" t="s">
        <v>3513</v>
      </c>
      <c r="C848" s="4" t="s">
        <v>21</v>
      </c>
      <c r="D848" s="11">
        <v>39587</v>
      </c>
      <c r="E848" s="7" t="s">
        <v>3514</v>
      </c>
      <c r="F848" s="4" t="s">
        <v>4760</v>
      </c>
      <c r="G848" s="12" t="str">
        <f>IF(AND(Tabela1[[#This Row],[Data nascimento]]&gt;=$J$2,Tabela1[[#This Row],[Data nascimento]]&lt;=$I$2),"INFANTIL A",H848)</f>
        <v>JUVENIL</v>
      </c>
      <c r="H848" s="3" t="str">
        <f>IF(AND(Tabela1[[#This Row],[Data nascimento]]&gt;=$L$2,Tabela1[[#This Row],[Data nascimento]]&lt;=$K$2),"INFANTIL B",I848)</f>
        <v>JUVENIL</v>
      </c>
      <c r="I848" s="9" t="str">
        <f>IF(AND(Tabela1[[#This Row],[Data nascimento]]&gt;=$N$2,Tabela1[[#This Row],[Data nascimento]]&lt;=$M$2),"INICIADO",J848)</f>
        <v>JUVENIL</v>
      </c>
      <c r="J848" s="9" t="str">
        <f>IF(AND(Tabela1[[#This Row],[Data nascimento]]&gt;=$P$2,Tabela1[[#This Row],[Data nascimento]]&lt;=$O$2),"JUVENIL","JÚNIOR")</f>
        <v>JUVENIL</v>
      </c>
    </row>
    <row r="849" spans="1:10" ht="15" x14ac:dyDescent="0.4">
      <c r="A849" s="13" t="s">
        <v>3515</v>
      </c>
      <c r="B849" s="2" t="s">
        <v>3516</v>
      </c>
      <c r="C849" s="4" t="s">
        <v>21</v>
      </c>
      <c r="D849" s="11">
        <v>39799</v>
      </c>
      <c r="E849" s="7" t="s">
        <v>3517</v>
      </c>
      <c r="F849" s="4" t="s">
        <v>4759</v>
      </c>
      <c r="G849" s="12" t="str">
        <f>IF(AND(Tabela1[[#This Row],[Data nascimento]]&gt;=$J$2,Tabela1[[#This Row],[Data nascimento]]&lt;=$I$2),"INFANTIL A",H849)</f>
        <v>JUVENIL</v>
      </c>
      <c r="H849" s="3" t="str">
        <f>IF(AND(Tabela1[[#This Row],[Data nascimento]]&gt;=$L$2,Tabela1[[#This Row],[Data nascimento]]&lt;=$K$2),"INFANTIL B",I849)</f>
        <v>JUVENIL</v>
      </c>
      <c r="I849" s="9" t="str">
        <f>IF(AND(Tabela1[[#This Row],[Data nascimento]]&gt;=$N$2,Tabela1[[#This Row],[Data nascimento]]&lt;=$M$2),"INICIADO",J849)</f>
        <v>JUVENIL</v>
      </c>
      <c r="J849" s="9" t="str">
        <f>IF(AND(Tabela1[[#This Row],[Data nascimento]]&gt;=$P$2,Tabela1[[#This Row],[Data nascimento]]&lt;=$O$2),"JUVENIL","JÚNIOR")</f>
        <v>JUVENIL</v>
      </c>
    </row>
    <row r="850" spans="1:10" ht="15" x14ac:dyDescent="0.4">
      <c r="A850" s="13" t="s">
        <v>3518</v>
      </c>
      <c r="B850" s="2" t="s">
        <v>3519</v>
      </c>
      <c r="C850" s="4" t="s">
        <v>8</v>
      </c>
      <c r="D850" s="11">
        <v>39800</v>
      </c>
      <c r="E850" s="7" t="s">
        <v>3520</v>
      </c>
      <c r="F850" s="4" t="s">
        <v>4757</v>
      </c>
      <c r="G850" s="12" t="str">
        <f>IF(AND(Tabela1[[#This Row],[Data nascimento]]&gt;=$J$2,Tabela1[[#This Row],[Data nascimento]]&lt;=$I$2),"INFANTIL A",H850)</f>
        <v>JUVENIL</v>
      </c>
      <c r="H850" s="3" t="str">
        <f>IF(AND(Tabela1[[#This Row],[Data nascimento]]&gt;=$L$2,Tabela1[[#This Row],[Data nascimento]]&lt;=$K$2),"INFANTIL B",I850)</f>
        <v>JUVENIL</v>
      </c>
      <c r="I850" s="9" t="str">
        <f>IF(AND(Tabela1[[#This Row],[Data nascimento]]&gt;=$N$2,Tabela1[[#This Row],[Data nascimento]]&lt;=$M$2),"INICIADO",J850)</f>
        <v>JUVENIL</v>
      </c>
      <c r="J850" s="9" t="str">
        <f>IF(AND(Tabela1[[#This Row],[Data nascimento]]&gt;=$P$2,Tabela1[[#This Row],[Data nascimento]]&lt;=$O$2),"JUVENIL","JÚNIOR")</f>
        <v>JUVENIL</v>
      </c>
    </row>
    <row r="851" spans="1:10" ht="15" x14ac:dyDescent="0.4">
      <c r="A851" s="13" t="s">
        <v>3521</v>
      </c>
      <c r="B851" s="2" t="s">
        <v>3522</v>
      </c>
      <c r="C851" s="4" t="s">
        <v>8</v>
      </c>
      <c r="D851" s="11">
        <v>39502</v>
      </c>
      <c r="E851" s="7" t="s">
        <v>3523</v>
      </c>
      <c r="F851" s="4" t="s">
        <v>4757</v>
      </c>
      <c r="G851" s="12" t="str">
        <f>IF(AND(Tabela1[[#This Row],[Data nascimento]]&gt;=$J$2,Tabela1[[#This Row],[Data nascimento]]&lt;=$I$2),"INFANTIL A",H851)</f>
        <v>JUVENIL</v>
      </c>
      <c r="H851" s="3" t="str">
        <f>IF(AND(Tabela1[[#This Row],[Data nascimento]]&gt;=$L$2,Tabela1[[#This Row],[Data nascimento]]&lt;=$K$2),"INFANTIL B",I851)</f>
        <v>JUVENIL</v>
      </c>
      <c r="I851" s="9" t="str">
        <f>IF(AND(Tabela1[[#This Row],[Data nascimento]]&gt;=$N$2,Tabela1[[#This Row],[Data nascimento]]&lt;=$M$2),"INICIADO",J851)</f>
        <v>JUVENIL</v>
      </c>
      <c r="J851" s="9" t="str">
        <f>IF(AND(Tabela1[[#This Row],[Data nascimento]]&gt;=$P$2,Tabela1[[#This Row],[Data nascimento]]&lt;=$O$2),"JUVENIL","JÚNIOR")</f>
        <v>JUVENIL</v>
      </c>
    </row>
    <row r="852" spans="1:10" ht="15" x14ac:dyDescent="0.4">
      <c r="A852" s="13" t="s">
        <v>3524</v>
      </c>
      <c r="B852" s="2" t="s">
        <v>3525</v>
      </c>
      <c r="C852" s="4" t="s">
        <v>21</v>
      </c>
      <c r="D852" s="11">
        <v>39391</v>
      </c>
      <c r="E852" s="7" t="s">
        <v>3526</v>
      </c>
      <c r="F852" s="4" t="s">
        <v>4759</v>
      </c>
      <c r="G852" s="12" t="str">
        <f>IF(AND(Tabela1[[#This Row],[Data nascimento]]&gt;=$J$2,Tabela1[[#This Row],[Data nascimento]]&lt;=$I$2),"INFANTIL A",H852)</f>
        <v>JÚNIOR</v>
      </c>
      <c r="H852" s="3" t="str">
        <f>IF(AND(Tabela1[[#This Row],[Data nascimento]]&gt;=$L$2,Tabela1[[#This Row],[Data nascimento]]&lt;=$K$2),"INFANTIL B",I852)</f>
        <v>JÚNIOR</v>
      </c>
      <c r="I852" s="9" t="str">
        <f>IF(AND(Tabela1[[#This Row],[Data nascimento]]&gt;=$N$2,Tabela1[[#This Row],[Data nascimento]]&lt;=$M$2),"INICIADO",J852)</f>
        <v>JÚNIOR</v>
      </c>
      <c r="J852" s="9" t="str">
        <f>IF(AND(Tabela1[[#This Row],[Data nascimento]]&gt;=$P$2,Tabela1[[#This Row],[Data nascimento]]&lt;=$O$2),"JUVENIL","JÚNIOR")</f>
        <v>JÚNIOR</v>
      </c>
    </row>
    <row r="853" spans="1:10" ht="15" x14ac:dyDescent="0.4">
      <c r="A853" s="13" t="s">
        <v>3527</v>
      </c>
      <c r="B853" s="2" t="s">
        <v>3528</v>
      </c>
      <c r="C853" s="4" t="s">
        <v>21</v>
      </c>
      <c r="D853" s="11">
        <v>39560</v>
      </c>
      <c r="E853" s="7" t="s">
        <v>3529</v>
      </c>
      <c r="F853" s="4" t="s">
        <v>4759</v>
      </c>
      <c r="G853" s="12" t="str">
        <f>IF(AND(Tabela1[[#This Row],[Data nascimento]]&gt;=$J$2,Tabela1[[#This Row],[Data nascimento]]&lt;=$I$2),"INFANTIL A",H853)</f>
        <v>JUVENIL</v>
      </c>
      <c r="H853" s="3" t="str">
        <f>IF(AND(Tabela1[[#This Row],[Data nascimento]]&gt;=$L$2,Tabela1[[#This Row],[Data nascimento]]&lt;=$K$2),"INFANTIL B",I853)</f>
        <v>JUVENIL</v>
      </c>
      <c r="I853" s="9" t="str">
        <f>IF(AND(Tabela1[[#This Row],[Data nascimento]]&gt;=$N$2,Tabela1[[#This Row],[Data nascimento]]&lt;=$M$2),"INICIADO",J853)</f>
        <v>JUVENIL</v>
      </c>
      <c r="J853" s="9" t="str">
        <f>IF(AND(Tabela1[[#This Row],[Data nascimento]]&gt;=$P$2,Tabela1[[#This Row],[Data nascimento]]&lt;=$O$2),"JUVENIL","JÚNIOR")</f>
        <v>JUVENIL</v>
      </c>
    </row>
    <row r="854" spans="1:10" ht="15" x14ac:dyDescent="0.4">
      <c r="A854" s="13" t="s">
        <v>3530</v>
      </c>
      <c r="B854" s="2" t="s">
        <v>3531</v>
      </c>
      <c r="C854" s="4" t="s">
        <v>8</v>
      </c>
      <c r="D854" s="11">
        <v>39490</v>
      </c>
      <c r="E854" s="7" t="s">
        <v>3532</v>
      </c>
      <c r="F854" s="4" t="s">
        <v>4761</v>
      </c>
      <c r="G854" s="12" t="str">
        <f>IF(AND(Tabela1[[#This Row],[Data nascimento]]&gt;=$J$2,Tabela1[[#This Row],[Data nascimento]]&lt;=$I$2),"INFANTIL A",H854)</f>
        <v>JUVENIL</v>
      </c>
      <c r="H854" s="3" t="str">
        <f>IF(AND(Tabela1[[#This Row],[Data nascimento]]&gt;=$L$2,Tabela1[[#This Row],[Data nascimento]]&lt;=$K$2),"INFANTIL B",I854)</f>
        <v>JUVENIL</v>
      </c>
      <c r="I854" s="9" t="str">
        <f>IF(AND(Tabela1[[#This Row],[Data nascimento]]&gt;=$N$2,Tabela1[[#This Row],[Data nascimento]]&lt;=$M$2),"INICIADO",J854)</f>
        <v>JUVENIL</v>
      </c>
      <c r="J854" s="9" t="str">
        <f>IF(AND(Tabela1[[#This Row],[Data nascimento]]&gt;=$P$2,Tabela1[[#This Row],[Data nascimento]]&lt;=$O$2),"JUVENIL","JÚNIOR")</f>
        <v>JUVENIL</v>
      </c>
    </row>
    <row r="855" spans="1:10" ht="15" x14ac:dyDescent="0.4">
      <c r="A855" s="13" t="s">
        <v>3533</v>
      </c>
      <c r="B855" s="2" t="s">
        <v>3534</v>
      </c>
      <c r="C855" s="4" t="s">
        <v>8</v>
      </c>
      <c r="D855" s="11">
        <v>39532</v>
      </c>
      <c r="E855" s="7" t="s">
        <v>3535</v>
      </c>
      <c r="F855" s="4" t="s">
        <v>4761</v>
      </c>
      <c r="G855" s="12" t="str">
        <f>IF(AND(Tabela1[[#This Row],[Data nascimento]]&gt;=$J$2,Tabela1[[#This Row],[Data nascimento]]&lt;=$I$2),"INFANTIL A",H855)</f>
        <v>JUVENIL</v>
      </c>
      <c r="H855" s="3" t="str">
        <f>IF(AND(Tabela1[[#This Row],[Data nascimento]]&gt;=$L$2,Tabela1[[#This Row],[Data nascimento]]&lt;=$K$2),"INFANTIL B",I855)</f>
        <v>JUVENIL</v>
      </c>
      <c r="I855" s="9" t="str">
        <f>IF(AND(Tabela1[[#This Row],[Data nascimento]]&gt;=$N$2,Tabela1[[#This Row],[Data nascimento]]&lt;=$M$2),"INICIADO",J855)</f>
        <v>JUVENIL</v>
      </c>
      <c r="J855" s="9" t="str">
        <f>IF(AND(Tabela1[[#This Row],[Data nascimento]]&gt;=$P$2,Tabela1[[#This Row],[Data nascimento]]&lt;=$O$2),"JUVENIL","JÚNIOR")</f>
        <v>JUVENIL</v>
      </c>
    </row>
    <row r="856" spans="1:10" ht="15" x14ac:dyDescent="0.4">
      <c r="A856" s="13" t="s">
        <v>3536</v>
      </c>
      <c r="B856" s="2" t="s">
        <v>3537</v>
      </c>
      <c r="C856" s="4" t="s">
        <v>8</v>
      </c>
      <c r="D856" s="11">
        <v>39538</v>
      </c>
      <c r="E856" s="7" t="s">
        <v>3538</v>
      </c>
      <c r="F856" s="4" t="s">
        <v>4761</v>
      </c>
      <c r="G856" s="12" t="str">
        <f>IF(AND(Tabela1[[#This Row],[Data nascimento]]&gt;=$J$2,Tabela1[[#This Row],[Data nascimento]]&lt;=$I$2),"INFANTIL A",H856)</f>
        <v>JUVENIL</v>
      </c>
      <c r="H856" s="3" t="str">
        <f>IF(AND(Tabela1[[#This Row],[Data nascimento]]&gt;=$L$2,Tabela1[[#This Row],[Data nascimento]]&lt;=$K$2),"INFANTIL B",I856)</f>
        <v>JUVENIL</v>
      </c>
      <c r="I856" s="9" t="str">
        <f>IF(AND(Tabela1[[#This Row],[Data nascimento]]&gt;=$N$2,Tabela1[[#This Row],[Data nascimento]]&lt;=$M$2),"INICIADO",J856)</f>
        <v>JUVENIL</v>
      </c>
      <c r="J856" s="9" t="str">
        <f>IF(AND(Tabela1[[#This Row],[Data nascimento]]&gt;=$P$2,Tabela1[[#This Row],[Data nascimento]]&lt;=$O$2),"JUVENIL","JÚNIOR")</f>
        <v>JUVENIL</v>
      </c>
    </row>
    <row r="857" spans="1:10" ht="15" x14ac:dyDescent="0.4">
      <c r="A857" s="13" t="s">
        <v>3539</v>
      </c>
      <c r="B857" s="2" t="s">
        <v>3540</v>
      </c>
      <c r="C857" s="4" t="s">
        <v>8</v>
      </c>
      <c r="D857" s="11">
        <v>39675</v>
      </c>
      <c r="E857" s="7" t="s">
        <v>3541</v>
      </c>
      <c r="F857" s="4" t="s">
        <v>4761</v>
      </c>
      <c r="G857" s="12" t="str">
        <f>IF(AND(Tabela1[[#This Row],[Data nascimento]]&gt;=$J$2,Tabela1[[#This Row],[Data nascimento]]&lt;=$I$2),"INFANTIL A",H857)</f>
        <v>JUVENIL</v>
      </c>
      <c r="H857" s="3" t="str">
        <f>IF(AND(Tabela1[[#This Row],[Data nascimento]]&gt;=$L$2,Tabela1[[#This Row],[Data nascimento]]&lt;=$K$2),"INFANTIL B",I857)</f>
        <v>JUVENIL</v>
      </c>
      <c r="I857" s="9" t="str">
        <f>IF(AND(Tabela1[[#This Row],[Data nascimento]]&gt;=$N$2,Tabela1[[#This Row],[Data nascimento]]&lt;=$M$2),"INICIADO",J857)</f>
        <v>JUVENIL</v>
      </c>
      <c r="J857" s="9" t="str">
        <f>IF(AND(Tabela1[[#This Row],[Data nascimento]]&gt;=$P$2,Tabela1[[#This Row],[Data nascimento]]&lt;=$O$2),"JUVENIL","JÚNIOR")</f>
        <v>JUVENIL</v>
      </c>
    </row>
    <row r="858" spans="1:10" ht="15" x14ac:dyDescent="0.4">
      <c r="A858" s="13" t="s">
        <v>3542</v>
      </c>
      <c r="B858" s="2" t="s">
        <v>3543</v>
      </c>
      <c r="C858" s="4" t="s">
        <v>8</v>
      </c>
      <c r="D858" s="11">
        <v>39569</v>
      </c>
      <c r="E858" s="7" t="s">
        <v>3544</v>
      </c>
      <c r="F858" s="4" t="s">
        <v>4761</v>
      </c>
      <c r="G858" s="12" t="str">
        <f>IF(AND(Tabela1[[#This Row],[Data nascimento]]&gt;=$J$2,Tabela1[[#This Row],[Data nascimento]]&lt;=$I$2),"INFANTIL A",H858)</f>
        <v>JUVENIL</v>
      </c>
      <c r="H858" s="3" t="str">
        <f>IF(AND(Tabela1[[#This Row],[Data nascimento]]&gt;=$L$2,Tabela1[[#This Row],[Data nascimento]]&lt;=$K$2),"INFANTIL B",I858)</f>
        <v>JUVENIL</v>
      </c>
      <c r="I858" s="9" t="str">
        <f>IF(AND(Tabela1[[#This Row],[Data nascimento]]&gt;=$N$2,Tabela1[[#This Row],[Data nascimento]]&lt;=$M$2),"INICIADO",J858)</f>
        <v>JUVENIL</v>
      </c>
      <c r="J858" s="9" t="str">
        <f>IF(AND(Tabela1[[#This Row],[Data nascimento]]&gt;=$P$2,Tabela1[[#This Row],[Data nascimento]]&lt;=$O$2),"JUVENIL","JÚNIOR")</f>
        <v>JUVENIL</v>
      </c>
    </row>
    <row r="859" spans="1:10" ht="15" x14ac:dyDescent="0.4">
      <c r="A859" s="13" t="s">
        <v>3545</v>
      </c>
      <c r="B859" s="2" t="s">
        <v>3546</v>
      </c>
      <c r="C859" s="4" t="s">
        <v>21</v>
      </c>
      <c r="D859" s="11">
        <v>39681</v>
      </c>
      <c r="E859" s="7" t="s">
        <v>3547</v>
      </c>
      <c r="F859" s="4" t="s">
        <v>4761</v>
      </c>
      <c r="G859" s="12" t="str">
        <f>IF(AND(Tabela1[[#This Row],[Data nascimento]]&gt;=$J$2,Tabela1[[#This Row],[Data nascimento]]&lt;=$I$2),"INFANTIL A",H859)</f>
        <v>JUVENIL</v>
      </c>
      <c r="H859" s="3" t="str">
        <f>IF(AND(Tabela1[[#This Row],[Data nascimento]]&gt;=$L$2,Tabela1[[#This Row],[Data nascimento]]&lt;=$K$2),"INFANTIL B",I859)</f>
        <v>JUVENIL</v>
      </c>
      <c r="I859" s="9" t="str">
        <f>IF(AND(Tabela1[[#This Row],[Data nascimento]]&gt;=$N$2,Tabela1[[#This Row],[Data nascimento]]&lt;=$M$2),"INICIADO",J859)</f>
        <v>JUVENIL</v>
      </c>
      <c r="J859" s="9" t="str">
        <f>IF(AND(Tabela1[[#This Row],[Data nascimento]]&gt;=$P$2,Tabela1[[#This Row],[Data nascimento]]&lt;=$O$2),"JUVENIL","JÚNIOR")</f>
        <v>JUVENIL</v>
      </c>
    </row>
    <row r="860" spans="1:10" ht="15" x14ac:dyDescent="0.4">
      <c r="A860" s="13" t="s">
        <v>3548</v>
      </c>
      <c r="B860" s="2" t="s">
        <v>3549</v>
      </c>
      <c r="C860" s="4" t="s">
        <v>8</v>
      </c>
      <c r="D860" s="11">
        <v>39480</v>
      </c>
      <c r="E860" s="7" t="s">
        <v>3550</v>
      </c>
      <c r="F860" s="4" t="s">
        <v>4761</v>
      </c>
      <c r="G860" s="12" t="str">
        <f>IF(AND(Tabela1[[#This Row],[Data nascimento]]&gt;=$J$2,Tabela1[[#This Row],[Data nascimento]]&lt;=$I$2),"INFANTIL A",H860)</f>
        <v>JUVENIL</v>
      </c>
      <c r="H860" s="3" t="str">
        <f>IF(AND(Tabela1[[#This Row],[Data nascimento]]&gt;=$L$2,Tabela1[[#This Row],[Data nascimento]]&lt;=$K$2),"INFANTIL B",I860)</f>
        <v>JUVENIL</v>
      </c>
      <c r="I860" s="9" t="str">
        <f>IF(AND(Tabela1[[#This Row],[Data nascimento]]&gt;=$N$2,Tabela1[[#This Row],[Data nascimento]]&lt;=$M$2),"INICIADO",J860)</f>
        <v>JUVENIL</v>
      </c>
      <c r="J860" s="9" t="str">
        <f>IF(AND(Tabela1[[#This Row],[Data nascimento]]&gt;=$P$2,Tabela1[[#This Row],[Data nascimento]]&lt;=$O$2),"JUVENIL","JÚNIOR")</f>
        <v>JUVENIL</v>
      </c>
    </row>
    <row r="861" spans="1:10" ht="15" x14ac:dyDescent="0.4">
      <c r="A861" s="13" t="s">
        <v>3551</v>
      </c>
      <c r="B861" s="2" t="s">
        <v>3552</v>
      </c>
      <c r="C861" s="4" t="s">
        <v>8</v>
      </c>
      <c r="D861" s="11">
        <v>39281</v>
      </c>
      <c r="E861" s="7" t="s">
        <v>3553</v>
      </c>
      <c r="F861" s="4" t="s">
        <v>4761</v>
      </c>
      <c r="G861" s="12" t="str">
        <f>IF(AND(Tabela1[[#This Row],[Data nascimento]]&gt;=$J$2,Tabela1[[#This Row],[Data nascimento]]&lt;=$I$2),"INFANTIL A",H861)</f>
        <v>JÚNIOR</v>
      </c>
      <c r="H861" s="3" t="str">
        <f>IF(AND(Tabela1[[#This Row],[Data nascimento]]&gt;=$L$2,Tabela1[[#This Row],[Data nascimento]]&lt;=$K$2),"INFANTIL B",I861)</f>
        <v>JÚNIOR</v>
      </c>
      <c r="I861" s="9" t="str">
        <f>IF(AND(Tabela1[[#This Row],[Data nascimento]]&gt;=$N$2,Tabela1[[#This Row],[Data nascimento]]&lt;=$M$2),"INICIADO",J861)</f>
        <v>JÚNIOR</v>
      </c>
      <c r="J861" s="9" t="str">
        <f>IF(AND(Tabela1[[#This Row],[Data nascimento]]&gt;=$P$2,Tabela1[[#This Row],[Data nascimento]]&lt;=$O$2),"JUVENIL","JÚNIOR")</f>
        <v>JÚNIOR</v>
      </c>
    </row>
    <row r="862" spans="1:10" ht="15" x14ac:dyDescent="0.4">
      <c r="A862" s="13" t="s">
        <v>3554</v>
      </c>
      <c r="B862" s="2" t="s">
        <v>3555</v>
      </c>
      <c r="C862" s="4" t="s">
        <v>8</v>
      </c>
      <c r="D862" s="11">
        <v>39490</v>
      </c>
      <c r="E862" s="7" t="s">
        <v>3556</v>
      </c>
      <c r="F862" s="4" t="s">
        <v>4761</v>
      </c>
      <c r="G862" s="12" t="str">
        <f>IF(AND(Tabela1[[#This Row],[Data nascimento]]&gt;=$J$2,Tabela1[[#This Row],[Data nascimento]]&lt;=$I$2),"INFANTIL A",H862)</f>
        <v>JUVENIL</v>
      </c>
      <c r="H862" s="3" t="str">
        <f>IF(AND(Tabela1[[#This Row],[Data nascimento]]&gt;=$L$2,Tabela1[[#This Row],[Data nascimento]]&lt;=$K$2),"INFANTIL B",I862)</f>
        <v>JUVENIL</v>
      </c>
      <c r="I862" s="9" t="str">
        <f>IF(AND(Tabela1[[#This Row],[Data nascimento]]&gt;=$N$2,Tabela1[[#This Row],[Data nascimento]]&lt;=$M$2),"INICIADO",J862)</f>
        <v>JUVENIL</v>
      </c>
      <c r="J862" s="9" t="str">
        <f>IF(AND(Tabela1[[#This Row],[Data nascimento]]&gt;=$P$2,Tabela1[[#This Row],[Data nascimento]]&lt;=$O$2),"JUVENIL","JÚNIOR")</f>
        <v>JUVENIL</v>
      </c>
    </row>
    <row r="863" spans="1:10" ht="15" x14ac:dyDescent="0.4">
      <c r="A863" s="13" t="s">
        <v>3557</v>
      </c>
      <c r="B863" s="2" t="s">
        <v>3558</v>
      </c>
      <c r="C863" s="4" t="s">
        <v>8</v>
      </c>
      <c r="D863" s="11">
        <v>39624</v>
      </c>
      <c r="E863" s="7" t="s">
        <v>3559</v>
      </c>
      <c r="F863" s="4" t="s">
        <v>4761</v>
      </c>
      <c r="G863" s="12" t="str">
        <f>IF(AND(Tabela1[[#This Row],[Data nascimento]]&gt;=$J$2,Tabela1[[#This Row],[Data nascimento]]&lt;=$I$2),"INFANTIL A",H863)</f>
        <v>JUVENIL</v>
      </c>
      <c r="H863" s="3" t="str">
        <f>IF(AND(Tabela1[[#This Row],[Data nascimento]]&gt;=$L$2,Tabela1[[#This Row],[Data nascimento]]&lt;=$K$2),"INFANTIL B",I863)</f>
        <v>JUVENIL</v>
      </c>
      <c r="I863" s="9" t="str">
        <f>IF(AND(Tabela1[[#This Row],[Data nascimento]]&gt;=$N$2,Tabela1[[#This Row],[Data nascimento]]&lt;=$M$2),"INICIADO",J863)</f>
        <v>JUVENIL</v>
      </c>
      <c r="J863" s="9" t="str">
        <f>IF(AND(Tabela1[[#This Row],[Data nascimento]]&gt;=$P$2,Tabela1[[#This Row],[Data nascimento]]&lt;=$O$2),"JUVENIL","JÚNIOR")</f>
        <v>JUVENIL</v>
      </c>
    </row>
    <row r="864" spans="1:10" ht="15" x14ac:dyDescent="0.4">
      <c r="A864" s="13" t="s">
        <v>3560</v>
      </c>
      <c r="B864" s="2" t="s">
        <v>3561</v>
      </c>
      <c r="C864" s="4" t="s">
        <v>8</v>
      </c>
      <c r="D864" s="11">
        <v>39396</v>
      </c>
      <c r="E864" s="7" t="s">
        <v>3562</v>
      </c>
      <c r="F864" s="4" t="s">
        <v>4761</v>
      </c>
      <c r="G864" s="12" t="str">
        <f>IF(AND(Tabela1[[#This Row],[Data nascimento]]&gt;=$J$2,Tabela1[[#This Row],[Data nascimento]]&lt;=$I$2),"INFANTIL A",H864)</f>
        <v>JÚNIOR</v>
      </c>
      <c r="H864" s="3" t="str">
        <f>IF(AND(Tabela1[[#This Row],[Data nascimento]]&gt;=$L$2,Tabela1[[#This Row],[Data nascimento]]&lt;=$K$2),"INFANTIL B",I864)</f>
        <v>JÚNIOR</v>
      </c>
      <c r="I864" s="9" t="str">
        <f>IF(AND(Tabela1[[#This Row],[Data nascimento]]&gt;=$N$2,Tabela1[[#This Row],[Data nascimento]]&lt;=$M$2),"INICIADO",J864)</f>
        <v>JÚNIOR</v>
      </c>
      <c r="J864" s="9" t="str">
        <f>IF(AND(Tabela1[[#This Row],[Data nascimento]]&gt;=$P$2,Tabela1[[#This Row],[Data nascimento]]&lt;=$O$2),"JUVENIL","JÚNIOR")</f>
        <v>JÚNIOR</v>
      </c>
    </row>
    <row r="865" spans="1:10" ht="15" x14ac:dyDescent="0.4">
      <c r="A865" s="13" t="s">
        <v>3563</v>
      </c>
      <c r="B865" s="2" t="s">
        <v>3564</v>
      </c>
      <c r="C865" s="4" t="s">
        <v>21</v>
      </c>
      <c r="D865" s="11">
        <v>39531</v>
      </c>
      <c r="E865" s="7" t="s">
        <v>3565</v>
      </c>
      <c r="F865" s="4" t="s">
        <v>4761</v>
      </c>
      <c r="G865" s="12" t="str">
        <f>IF(AND(Tabela1[[#This Row],[Data nascimento]]&gt;=$J$2,Tabela1[[#This Row],[Data nascimento]]&lt;=$I$2),"INFANTIL A",H865)</f>
        <v>JUVENIL</v>
      </c>
      <c r="H865" s="3" t="str">
        <f>IF(AND(Tabela1[[#This Row],[Data nascimento]]&gt;=$L$2,Tabela1[[#This Row],[Data nascimento]]&lt;=$K$2),"INFANTIL B",I865)</f>
        <v>JUVENIL</v>
      </c>
      <c r="I865" s="9" t="str">
        <f>IF(AND(Tabela1[[#This Row],[Data nascimento]]&gt;=$N$2,Tabela1[[#This Row],[Data nascimento]]&lt;=$M$2),"INICIADO",J865)</f>
        <v>JUVENIL</v>
      </c>
      <c r="J865" s="9" t="str">
        <f>IF(AND(Tabela1[[#This Row],[Data nascimento]]&gt;=$P$2,Tabela1[[#This Row],[Data nascimento]]&lt;=$O$2),"JUVENIL","JÚNIOR")</f>
        <v>JUVENIL</v>
      </c>
    </row>
    <row r="866" spans="1:10" ht="15" x14ac:dyDescent="0.4">
      <c r="A866" s="13" t="s">
        <v>3566</v>
      </c>
      <c r="B866" s="2" t="s">
        <v>3567</v>
      </c>
      <c r="C866" s="4" t="s">
        <v>21</v>
      </c>
      <c r="D866" s="11">
        <v>39122</v>
      </c>
      <c r="E866" s="7" t="s">
        <v>3568</v>
      </c>
      <c r="F866" s="4" t="s">
        <v>4761</v>
      </c>
      <c r="G866" s="12" t="str">
        <f>IF(AND(Tabela1[[#This Row],[Data nascimento]]&gt;=$J$2,Tabela1[[#This Row],[Data nascimento]]&lt;=$I$2),"INFANTIL A",H866)</f>
        <v>JÚNIOR</v>
      </c>
      <c r="H866" s="3" t="str">
        <f>IF(AND(Tabela1[[#This Row],[Data nascimento]]&gt;=$L$2,Tabela1[[#This Row],[Data nascimento]]&lt;=$K$2),"INFANTIL B",I866)</f>
        <v>JÚNIOR</v>
      </c>
      <c r="I866" s="9" t="str">
        <f>IF(AND(Tabela1[[#This Row],[Data nascimento]]&gt;=$N$2,Tabela1[[#This Row],[Data nascimento]]&lt;=$M$2),"INICIADO",J866)</f>
        <v>JÚNIOR</v>
      </c>
      <c r="J866" s="9" t="str">
        <f>IF(AND(Tabela1[[#This Row],[Data nascimento]]&gt;=$P$2,Tabela1[[#This Row],[Data nascimento]]&lt;=$O$2),"JUVENIL","JÚNIOR")</f>
        <v>JÚNIOR</v>
      </c>
    </row>
    <row r="867" spans="1:10" ht="15" x14ac:dyDescent="0.4">
      <c r="A867" s="13" t="s">
        <v>3569</v>
      </c>
      <c r="B867" s="2" t="s">
        <v>3570</v>
      </c>
      <c r="C867" s="4" t="s">
        <v>21</v>
      </c>
      <c r="D867" s="11">
        <v>39549</v>
      </c>
      <c r="E867" s="7" t="s">
        <v>3571</v>
      </c>
      <c r="F867" s="4" t="s">
        <v>4761</v>
      </c>
      <c r="G867" s="12" t="str">
        <f>IF(AND(Tabela1[[#This Row],[Data nascimento]]&gt;=$J$2,Tabela1[[#This Row],[Data nascimento]]&lt;=$I$2),"INFANTIL A",H867)</f>
        <v>JUVENIL</v>
      </c>
      <c r="H867" s="3" t="str">
        <f>IF(AND(Tabela1[[#This Row],[Data nascimento]]&gt;=$L$2,Tabela1[[#This Row],[Data nascimento]]&lt;=$K$2),"INFANTIL B",I867)</f>
        <v>JUVENIL</v>
      </c>
      <c r="I867" s="9" t="str">
        <f>IF(AND(Tabela1[[#This Row],[Data nascimento]]&gt;=$N$2,Tabela1[[#This Row],[Data nascimento]]&lt;=$M$2),"INICIADO",J867)</f>
        <v>JUVENIL</v>
      </c>
      <c r="J867" s="9" t="str">
        <f>IF(AND(Tabela1[[#This Row],[Data nascimento]]&gt;=$P$2,Tabela1[[#This Row],[Data nascimento]]&lt;=$O$2),"JUVENIL","JÚNIOR")</f>
        <v>JUVENIL</v>
      </c>
    </row>
    <row r="868" spans="1:10" ht="15" x14ac:dyDescent="0.4">
      <c r="A868" s="13" t="s">
        <v>3572</v>
      </c>
      <c r="B868" s="2" t="s">
        <v>3573</v>
      </c>
      <c r="C868" s="4" t="s">
        <v>21</v>
      </c>
      <c r="D868" s="11">
        <v>39358</v>
      </c>
      <c r="E868" s="7" t="s">
        <v>3574</v>
      </c>
      <c r="F868" s="4" t="s">
        <v>4761</v>
      </c>
      <c r="G868" s="12" t="str">
        <f>IF(AND(Tabela1[[#This Row],[Data nascimento]]&gt;=$J$2,Tabela1[[#This Row],[Data nascimento]]&lt;=$I$2),"INFANTIL A",H868)</f>
        <v>JÚNIOR</v>
      </c>
      <c r="H868" s="3" t="str">
        <f>IF(AND(Tabela1[[#This Row],[Data nascimento]]&gt;=$L$2,Tabela1[[#This Row],[Data nascimento]]&lt;=$K$2),"INFANTIL B",I868)</f>
        <v>JÚNIOR</v>
      </c>
      <c r="I868" s="9" t="str">
        <f>IF(AND(Tabela1[[#This Row],[Data nascimento]]&gt;=$N$2,Tabela1[[#This Row],[Data nascimento]]&lt;=$M$2),"INICIADO",J868)</f>
        <v>JÚNIOR</v>
      </c>
      <c r="J868" s="9" t="str">
        <f>IF(AND(Tabela1[[#This Row],[Data nascimento]]&gt;=$P$2,Tabela1[[#This Row],[Data nascimento]]&lt;=$O$2),"JUVENIL","JÚNIOR")</f>
        <v>JÚNIOR</v>
      </c>
    </row>
    <row r="869" spans="1:10" ht="15" x14ac:dyDescent="0.4">
      <c r="A869" s="13" t="s">
        <v>3575</v>
      </c>
      <c r="B869" s="2" t="s">
        <v>3576</v>
      </c>
      <c r="C869" s="4" t="s">
        <v>21</v>
      </c>
      <c r="D869" s="11">
        <v>39431</v>
      </c>
      <c r="E869" s="7" t="s">
        <v>3577</v>
      </c>
      <c r="F869" s="4" t="s">
        <v>4761</v>
      </c>
      <c r="G869" s="12" t="str">
        <f>IF(AND(Tabela1[[#This Row],[Data nascimento]]&gt;=$J$2,Tabela1[[#This Row],[Data nascimento]]&lt;=$I$2),"INFANTIL A",H869)</f>
        <v>JÚNIOR</v>
      </c>
      <c r="H869" s="3" t="str">
        <f>IF(AND(Tabela1[[#This Row],[Data nascimento]]&gt;=$L$2,Tabela1[[#This Row],[Data nascimento]]&lt;=$K$2),"INFANTIL B",I869)</f>
        <v>JÚNIOR</v>
      </c>
      <c r="I869" s="9" t="str">
        <f>IF(AND(Tabela1[[#This Row],[Data nascimento]]&gt;=$N$2,Tabela1[[#This Row],[Data nascimento]]&lt;=$M$2),"INICIADO",J869)</f>
        <v>JÚNIOR</v>
      </c>
      <c r="J869" s="9" t="str">
        <f>IF(AND(Tabela1[[#This Row],[Data nascimento]]&gt;=$P$2,Tabela1[[#This Row],[Data nascimento]]&lt;=$O$2),"JUVENIL","JÚNIOR")</f>
        <v>JÚNIOR</v>
      </c>
    </row>
    <row r="870" spans="1:10" ht="15" x14ac:dyDescent="0.4">
      <c r="A870" s="13" t="s">
        <v>3578</v>
      </c>
      <c r="B870" s="2" t="s">
        <v>3579</v>
      </c>
      <c r="C870" s="4" t="s">
        <v>21</v>
      </c>
      <c r="D870" s="11">
        <v>39778</v>
      </c>
      <c r="E870" s="7" t="s">
        <v>3580</v>
      </c>
      <c r="F870" s="4" t="s">
        <v>4761</v>
      </c>
      <c r="G870" s="12" t="str">
        <f>IF(AND(Tabela1[[#This Row],[Data nascimento]]&gt;=$J$2,Tabela1[[#This Row],[Data nascimento]]&lt;=$I$2),"INFANTIL A",H870)</f>
        <v>JUVENIL</v>
      </c>
      <c r="H870" s="3" t="str">
        <f>IF(AND(Tabela1[[#This Row],[Data nascimento]]&gt;=$L$2,Tabela1[[#This Row],[Data nascimento]]&lt;=$K$2),"INFANTIL B",I870)</f>
        <v>JUVENIL</v>
      </c>
      <c r="I870" s="9" t="str">
        <f>IF(AND(Tabela1[[#This Row],[Data nascimento]]&gt;=$N$2,Tabela1[[#This Row],[Data nascimento]]&lt;=$M$2),"INICIADO",J870)</f>
        <v>JUVENIL</v>
      </c>
      <c r="J870" s="9" t="str">
        <f>IF(AND(Tabela1[[#This Row],[Data nascimento]]&gt;=$P$2,Tabela1[[#This Row],[Data nascimento]]&lt;=$O$2),"JUVENIL","JÚNIOR")</f>
        <v>JUVENIL</v>
      </c>
    </row>
    <row r="871" spans="1:10" ht="15" x14ac:dyDescent="0.4">
      <c r="A871" s="13" t="s">
        <v>3581</v>
      </c>
      <c r="B871" s="2" t="s">
        <v>3582</v>
      </c>
      <c r="C871" s="4" t="s">
        <v>21</v>
      </c>
      <c r="D871" s="11">
        <v>39321</v>
      </c>
      <c r="E871" s="7" t="s">
        <v>3583</v>
      </c>
      <c r="F871" s="4" t="s">
        <v>4761</v>
      </c>
      <c r="G871" s="12" t="str">
        <f>IF(AND(Tabela1[[#This Row],[Data nascimento]]&gt;=$J$2,Tabela1[[#This Row],[Data nascimento]]&lt;=$I$2),"INFANTIL A",H871)</f>
        <v>JÚNIOR</v>
      </c>
      <c r="H871" s="3" t="str">
        <f>IF(AND(Tabela1[[#This Row],[Data nascimento]]&gt;=$L$2,Tabela1[[#This Row],[Data nascimento]]&lt;=$K$2),"INFANTIL B",I871)</f>
        <v>JÚNIOR</v>
      </c>
      <c r="I871" s="9" t="str">
        <f>IF(AND(Tabela1[[#This Row],[Data nascimento]]&gt;=$N$2,Tabela1[[#This Row],[Data nascimento]]&lt;=$M$2),"INICIADO",J871)</f>
        <v>JÚNIOR</v>
      </c>
      <c r="J871" s="9" t="str">
        <f>IF(AND(Tabela1[[#This Row],[Data nascimento]]&gt;=$P$2,Tabela1[[#This Row],[Data nascimento]]&lt;=$O$2),"JUVENIL","JÚNIOR")</f>
        <v>JÚNIOR</v>
      </c>
    </row>
    <row r="872" spans="1:10" ht="15" x14ac:dyDescent="0.4">
      <c r="A872" s="13" t="s">
        <v>3584</v>
      </c>
      <c r="B872" s="2" t="s">
        <v>3585</v>
      </c>
      <c r="C872" s="4" t="s">
        <v>21</v>
      </c>
      <c r="D872" s="11">
        <v>39725</v>
      </c>
      <c r="E872" s="7" t="s">
        <v>3586</v>
      </c>
      <c r="F872" s="4" t="s">
        <v>4761</v>
      </c>
      <c r="G872" s="12" t="str">
        <f>IF(AND(Tabela1[[#This Row],[Data nascimento]]&gt;=$J$2,Tabela1[[#This Row],[Data nascimento]]&lt;=$I$2),"INFANTIL A",H872)</f>
        <v>JUVENIL</v>
      </c>
      <c r="H872" s="3" t="str">
        <f>IF(AND(Tabela1[[#This Row],[Data nascimento]]&gt;=$L$2,Tabela1[[#This Row],[Data nascimento]]&lt;=$K$2),"INFANTIL B",I872)</f>
        <v>JUVENIL</v>
      </c>
      <c r="I872" s="9" t="str">
        <f>IF(AND(Tabela1[[#This Row],[Data nascimento]]&gt;=$N$2,Tabela1[[#This Row],[Data nascimento]]&lt;=$M$2),"INICIADO",J872)</f>
        <v>JUVENIL</v>
      </c>
      <c r="J872" s="9" t="str">
        <f>IF(AND(Tabela1[[#This Row],[Data nascimento]]&gt;=$P$2,Tabela1[[#This Row],[Data nascimento]]&lt;=$O$2),"JUVENIL","JÚNIOR")</f>
        <v>JUVENIL</v>
      </c>
    </row>
    <row r="873" spans="1:10" ht="15" x14ac:dyDescent="0.4">
      <c r="A873" s="13" t="s">
        <v>3587</v>
      </c>
      <c r="B873" s="2" t="s">
        <v>3588</v>
      </c>
      <c r="C873" s="4" t="s">
        <v>21</v>
      </c>
      <c r="D873" s="11">
        <v>39406</v>
      </c>
      <c r="E873" s="7" t="s">
        <v>3589</v>
      </c>
      <c r="F873" s="4" t="s">
        <v>4762</v>
      </c>
      <c r="G873" s="12" t="str">
        <f>IF(AND(Tabela1[[#This Row],[Data nascimento]]&gt;=$J$2,Tabela1[[#This Row],[Data nascimento]]&lt;=$I$2),"INFANTIL A",H873)</f>
        <v>JÚNIOR</v>
      </c>
      <c r="H873" s="3" t="str">
        <f>IF(AND(Tabela1[[#This Row],[Data nascimento]]&gt;=$L$2,Tabela1[[#This Row],[Data nascimento]]&lt;=$K$2),"INFANTIL B",I873)</f>
        <v>JÚNIOR</v>
      </c>
      <c r="I873" s="9" t="str">
        <f>IF(AND(Tabela1[[#This Row],[Data nascimento]]&gt;=$N$2,Tabela1[[#This Row],[Data nascimento]]&lt;=$M$2),"INICIADO",J873)</f>
        <v>JÚNIOR</v>
      </c>
      <c r="J873" s="9" t="str">
        <f>IF(AND(Tabela1[[#This Row],[Data nascimento]]&gt;=$P$2,Tabela1[[#This Row],[Data nascimento]]&lt;=$O$2),"JUVENIL","JÚNIOR")</f>
        <v>JÚNIOR</v>
      </c>
    </row>
    <row r="874" spans="1:10" ht="15" x14ac:dyDescent="0.4">
      <c r="A874" s="13" t="s">
        <v>3590</v>
      </c>
      <c r="B874" s="2" t="s">
        <v>3591</v>
      </c>
      <c r="C874" s="4" t="s">
        <v>8</v>
      </c>
      <c r="D874" s="11">
        <v>39481</v>
      </c>
      <c r="E874" s="7" t="s">
        <v>3592</v>
      </c>
      <c r="F874" s="4" t="s">
        <v>4762</v>
      </c>
      <c r="G874" s="12" t="str">
        <f>IF(AND(Tabela1[[#This Row],[Data nascimento]]&gt;=$J$2,Tabela1[[#This Row],[Data nascimento]]&lt;=$I$2),"INFANTIL A",H874)</f>
        <v>JUVENIL</v>
      </c>
      <c r="H874" s="3" t="str">
        <f>IF(AND(Tabela1[[#This Row],[Data nascimento]]&gt;=$L$2,Tabela1[[#This Row],[Data nascimento]]&lt;=$K$2),"INFANTIL B",I874)</f>
        <v>JUVENIL</v>
      </c>
      <c r="I874" s="9" t="str">
        <f>IF(AND(Tabela1[[#This Row],[Data nascimento]]&gt;=$N$2,Tabela1[[#This Row],[Data nascimento]]&lt;=$M$2),"INICIADO",J874)</f>
        <v>JUVENIL</v>
      </c>
      <c r="J874" s="9" t="str">
        <f>IF(AND(Tabela1[[#This Row],[Data nascimento]]&gt;=$P$2,Tabela1[[#This Row],[Data nascimento]]&lt;=$O$2),"JUVENIL","JÚNIOR")</f>
        <v>JUVENIL</v>
      </c>
    </row>
    <row r="875" spans="1:10" ht="15" x14ac:dyDescent="0.4">
      <c r="A875" s="13" t="s">
        <v>3593</v>
      </c>
      <c r="B875" s="2" t="s">
        <v>3594</v>
      </c>
      <c r="C875" s="4" t="s">
        <v>21</v>
      </c>
      <c r="D875" s="11">
        <v>39766</v>
      </c>
      <c r="E875" s="7" t="s">
        <v>3595</v>
      </c>
      <c r="F875" s="4" t="s">
        <v>4762</v>
      </c>
      <c r="G875" s="12" t="str">
        <f>IF(AND(Tabela1[[#This Row],[Data nascimento]]&gt;=$J$2,Tabela1[[#This Row],[Data nascimento]]&lt;=$I$2),"INFANTIL A",H875)</f>
        <v>JUVENIL</v>
      </c>
      <c r="H875" s="3" t="str">
        <f>IF(AND(Tabela1[[#This Row],[Data nascimento]]&gt;=$L$2,Tabela1[[#This Row],[Data nascimento]]&lt;=$K$2),"INFANTIL B",I875)</f>
        <v>JUVENIL</v>
      </c>
      <c r="I875" s="9" t="str">
        <f>IF(AND(Tabela1[[#This Row],[Data nascimento]]&gt;=$N$2,Tabela1[[#This Row],[Data nascimento]]&lt;=$M$2),"INICIADO",J875)</f>
        <v>JUVENIL</v>
      </c>
      <c r="J875" s="9" t="str">
        <f>IF(AND(Tabela1[[#This Row],[Data nascimento]]&gt;=$P$2,Tabela1[[#This Row],[Data nascimento]]&lt;=$O$2),"JUVENIL","JÚNIOR")</f>
        <v>JUVENIL</v>
      </c>
    </row>
    <row r="876" spans="1:10" ht="15" x14ac:dyDescent="0.4">
      <c r="A876" s="13" t="s">
        <v>3596</v>
      </c>
      <c r="B876" s="2" t="s">
        <v>3597</v>
      </c>
      <c r="C876" s="4" t="s">
        <v>8</v>
      </c>
      <c r="D876" s="11">
        <v>39584</v>
      </c>
      <c r="E876" s="7" t="s">
        <v>3598</v>
      </c>
      <c r="F876" s="4" t="s">
        <v>4762</v>
      </c>
      <c r="G876" s="12" t="str">
        <f>IF(AND(Tabela1[[#This Row],[Data nascimento]]&gt;=$J$2,Tabela1[[#This Row],[Data nascimento]]&lt;=$I$2),"INFANTIL A",H876)</f>
        <v>JUVENIL</v>
      </c>
      <c r="H876" s="3" t="str">
        <f>IF(AND(Tabela1[[#This Row],[Data nascimento]]&gt;=$L$2,Tabela1[[#This Row],[Data nascimento]]&lt;=$K$2),"INFANTIL B",I876)</f>
        <v>JUVENIL</v>
      </c>
      <c r="I876" s="9" t="str">
        <f>IF(AND(Tabela1[[#This Row],[Data nascimento]]&gt;=$N$2,Tabela1[[#This Row],[Data nascimento]]&lt;=$M$2),"INICIADO",J876)</f>
        <v>JUVENIL</v>
      </c>
      <c r="J876" s="9" t="str">
        <f>IF(AND(Tabela1[[#This Row],[Data nascimento]]&gt;=$P$2,Tabela1[[#This Row],[Data nascimento]]&lt;=$O$2),"JUVENIL","JÚNIOR")</f>
        <v>JUVENIL</v>
      </c>
    </row>
    <row r="877" spans="1:10" ht="15" x14ac:dyDescent="0.4">
      <c r="A877" s="13" t="s">
        <v>3599</v>
      </c>
      <c r="B877" s="2" t="s">
        <v>3600</v>
      </c>
      <c r="C877" s="4" t="s">
        <v>21</v>
      </c>
      <c r="D877" s="11">
        <v>39933</v>
      </c>
      <c r="E877" s="7" t="s">
        <v>3601</v>
      </c>
      <c r="F877" s="4" t="s">
        <v>4762</v>
      </c>
      <c r="G877" s="12" t="str">
        <f>IF(AND(Tabela1[[#This Row],[Data nascimento]]&gt;=$J$2,Tabela1[[#This Row],[Data nascimento]]&lt;=$I$2),"INFANTIL A",H877)</f>
        <v>JUVENIL</v>
      </c>
      <c r="H877" s="3" t="str">
        <f>IF(AND(Tabela1[[#This Row],[Data nascimento]]&gt;=$L$2,Tabela1[[#This Row],[Data nascimento]]&lt;=$K$2),"INFANTIL B",I877)</f>
        <v>JUVENIL</v>
      </c>
      <c r="I877" s="9" t="str">
        <f>IF(AND(Tabela1[[#This Row],[Data nascimento]]&gt;=$N$2,Tabela1[[#This Row],[Data nascimento]]&lt;=$M$2),"INICIADO",J877)</f>
        <v>JUVENIL</v>
      </c>
      <c r="J877" s="9" t="str">
        <f>IF(AND(Tabela1[[#This Row],[Data nascimento]]&gt;=$P$2,Tabela1[[#This Row],[Data nascimento]]&lt;=$O$2),"JUVENIL","JÚNIOR")</f>
        <v>JUVENIL</v>
      </c>
    </row>
    <row r="878" spans="1:10" ht="15" x14ac:dyDescent="0.4">
      <c r="A878" s="13" t="s">
        <v>3602</v>
      </c>
      <c r="B878" s="2" t="s">
        <v>3603</v>
      </c>
      <c r="C878" s="4" t="s">
        <v>21</v>
      </c>
      <c r="D878" s="11">
        <v>39489</v>
      </c>
      <c r="E878" s="7" t="s">
        <v>3604</v>
      </c>
      <c r="F878" s="4" t="s">
        <v>4762</v>
      </c>
      <c r="G878" s="12" t="str">
        <f>IF(AND(Tabela1[[#This Row],[Data nascimento]]&gt;=$J$2,Tabela1[[#This Row],[Data nascimento]]&lt;=$I$2),"INFANTIL A",H878)</f>
        <v>JUVENIL</v>
      </c>
      <c r="H878" s="3" t="str">
        <f>IF(AND(Tabela1[[#This Row],[Data nascimento]]&gt;=$L$2,Tabela1[[#This Row],[Data nascimento]]&lt;=$K$2),"INFANTIL B",I878)</f>
        <v>JUVENIL</v>
      </c>
      <c r="I878" s="9" t="str">
        <f>IF(AND(Tabela1[[#This Row],[Data nascimento]]&gt;=$N$2,Tabela1[[#This Row],[Data nascimento]]&lt;=$M$2),"INICIADO",J878)</f>
        <v>JUVENIL</v>
      </c>
      <c r="J878" s="9" t="str">
        <f>IF(AND(Tabela1[[#This Row],[Data nascimento]]&gt;=$P$2,Tabela1[[#This Row],[Data nascimento]]&lt;=$O$2),"JUVENIL","JÚNIOR")</f>
        <v>JUVENIL</v>
      </c>
    </row>
    <row r="879" spans="1:10" ht="15" x14ac:dyDescent="0.4">
      <c r="A879" s="13" t="s">
        <v>3605</v>
      </c>
      <c r="B879" s="2" t="s">
        <v>3606</v>
      </c>
      <c r="C879" s="4" t="s">
        <v>8</v>
      </c>
      <c r="D879" s="11">
        <v>39344</v>
      </c>
      <c r="E879" s="7" t="s">
        <v>3607</v>
      </c>
      <c r="F879" s="4" t="s">
        <v>4762</v>
      </c>
      <c r="G879" s="12" t="str">
        <f>IF(AND(Tabela1[[#This Row],[Data nascimento]]&gt;=$J$2,Tabela1[[#This Row],[Data nascimento]]&lt;=$I$2),"INFANTIL A",H879)</f>
        <v>JÚNIOR</v>
      </c>
      <c r="H879" s="3" t="str">
        <f>IF(AND(Tabela1[[#This Row],[Data nascimento]]&gt;=$L$2,Tabela1[[#This Row],[Data nascimento]]&lt;=$K$2),"INFANTIL B",I879)</f>
        <v>JÚNIOR</v>
      </c>
      <c r="I879" s="9" t="str">
        <f>IF(AND(Tabela1[[#This Row],[Data nascimento]]&gt;=$N$2,Tabela1[[#This Row],[Data nascimento]]&lt;=$M$2),"INICIADO",J879)</f>
        <v>JÚNIOR</v>
      </c>
      <c r="J879" s="9" t="str">
        <f>IF(AND(Tabela1[[#This Row],[Data nascimento]]&gt;=$P$2,Tabela1[[#This Row],[Data nascimento]]&lt;=$O$2),"JUVENIL","JÚNIOR")</f>
        <v>JÚNIOR</v>
      </c>
    </row>
    <row r="880" spans="1:10" ht="15" x14ac:dyDescent="0.4">
      <c r="A880" s="13" t="s">
        <v>3608</v>
      </c>
      <c r="B880" s="2" t="s">
        <v>3609</v>
      </c>
      <c r="C880" s="4" t="s">
        <v>21</v>
      </c>
      <c r="D880" s="11">
        <v>39577</v>
      </c>
      <c r="E880" s="7" t="s">
        <v>3610</v>
      </c>
      <c r="F880" s="4" t="s">
        <v>4762</v>
      </c>
      <c r="G880" s="12" t="str">
        <f>IF(AND(Tabela1[[#This Row],[Data nascimento]]&gt;=$J$2,Tabela1[[#This Row],[Data nascimento]]&lt;=$I$2),"INFANTIL A",H880)</f>
        <v>JUVENIL</v>
      </c>
      <c r="H880" s="3" t="str">
        <f>IF(AND(Tabela1[[#This Row],[Data nascimento]]&gt;=$L$2,Tabela1[[#This Row],[Data nascimento]]&lt;=$K$2),"INFANTIL B",I880)</f>
        <v>JUVENIL</v>
      </c>
      <c r="I880" s="9" t="str">
        <f>IF(AND(Tabela1[[#This Row],[Data nascimento]]&gt;=$N$2,Tabela1[[#This Row],[Data nascimento]]&lt;=$M$2),"INICIADO",J880)</f>
        <v>JUVENIL</v>
      </c>
      <c r="J880" s="9" t="str">
        <f>IF(AND(Tabela1[[#This Row],[Data nascimento]]&gt;=$P$2,Tabela1[[#This Row],[Data nascimento]]&lt;=$O$2),"JUVENIL","JÚNIOR")</f>
        <v>JUVENIL</v>
      </c>
    </row>
    <row r="881" spans="1:10" ht="15" x14ac:dyDescent="0.4">
      <c r="A881" s="13" t="s">
        <v>3611</v>
      </c>
      <c r="B881" s="2" t="s">
        <v>3612</v>
      </c>
      <c r="C881" s="4" t="s">
        <v>21</v>
      </c>
      <c r="D881" s="11">
        <v>39463</v>
      </c>
      <c r="E881" s="7" t="s">
        <v>3613</v>
      </c>
      <c r="F881" s="4" t="s">
        <v>4762</v>
      </c>
      <c r="G881" s="12" t="str">
        <f>IF(AND(Tabela1[[#This Row],[Data nascimento]]&gt;=$J$2,Tabela1[[#This Row],[Data nascimento]]&lt;=$I$2),"INFANTIL A",H881)</f>
        <v>JUVENIL</v>
      </c>
      <c r="H881" s="3" t="str">
        <f>IF(AND(Tabela1[[#This Row],[Data nascimento]]&gt;=$L$2,Tabela1[[#This Row],[Data nascimento]]&lt;=$K$2),"INFANTIL B",I881)</f>
        <v>JUVENIL</v>
      </c>
      <c r="I881" s="9" t="str">
        <f>IF(AND(Tabela1[[#This Row],[Data nascimento]]&gt;=$N$2,Tabela1[[#This Row],[Data nascimento]]&lt;=$M$2),"INICIADO",J881)</f>
        <v>JUVENIL</v>
      </c>
      <c r="J881" s="9" t="str">
        <f>IF(AND(Tabela1[[#This Row],[Data nascimento]]&gt;=$P$2,Tabela1[[#This Row],[Data nascimento]]&lt;=$O$2),"JUVENIL","JÚNIOR")</f>
        <v>JUVENIL</v>
      </c>
    </row>
    <row r="882" spans="1:10" ht="15" x14ac:dyDescent="0.4">
      <c r="A882" s="13" t="s">
        <v>3614</v>
      </c>
      <c r="B882" s="2" t="s">
        <v>3615</v>
      </c>
      <c r="C882" s="4" t="s">
        <v>21</v>
      </c>
      <c r="D882" s="11">
        <v>39617</v>
      </c>
      <c r="E882" s="7" t="s">
        <v>3616</v>
      </c>
      <c r="F882" s="4" t="s">
        <v>4762</v>
      </c>
      <c r="G882" s="12" t="str">
        <f>IF(AND(Tabela1[[#This Row],[Data nascimento]]&gt;=$J$2,Tabela1[[#This Row],[Data nascimento]]&lt;=$I$2),"INFANTIL A",H882)</f>
        <v>JUVENIL</v>
      </c>
      <c r="H882" s="3" t="str">
        <f>IF(AND(Tabela1[[#This Row],[Data nascimento]]&gt;=$L$2,Tabela1[[#This Row],[Data nascimento]]&lt;=$K$2),"INFANTIL B",I882)</f>
        <v>JUVENIL</v>
      </c>
      <c r="I882" s="9" t="str">
        <f>IF(AND(Tabela1[[#This Row],[Data nascimento]]&gt;=$N$2,Tabela1[[#This Row],[Data nascimento]]&lt;=$M$2),"INICIADO",J882)</f>
        <v>JUVENIL</v>
      </c>
      <c r="J882" s="9" t="str">
        <f>IF(AND(Tabela1[[#This Row],[Data nascimento]]&gt;=$P$2,Tabela1[[#This Row],[Data nascimento]]&lt;=$O$2),"JUVENIL","JÚNIOR")</f>
        <v>JUVENIL</v>
      </c>
    </row>
    <row r="883" spans="1:10" ht="15" x14ac:dyDescent="0.4">
      <c r="A883" s="13" t="s">
        <v>3617</v>
      </c>
      <c r="B883" s="2" t="s">
        <v>3618</v>
      </c>
      <c r="C883" s="4" t="s">
        <v>21</v>
      </c>
      <c r="D883" s="11">
        <v>39701</v>
      </c>
      <c r="E883" s="7" t="s">
        <v>3619</v>
      </c>
      <c r="F883" s="4" t="s">
        <v>4762</v>
      </c>
      <c r="G883" s="12" t="str">
        <f>IF(AND(Tabela1[[#This Row],[Data nascimento]]&gt;=$J$2,Tabela1[[#This Row],[Data nascimento]]&lt;=$I$2),"INFANTIL A",H883)</f>
        <v>JUVENIL</v>
      </c>
      <c r="H883" s="3" t="str">
        <f>IF(AND(Tabela1[[#This Row],[Data nascimento]]&gt;=$L$2,Tabela1[[#This Row],[Data nascimento]]&lt;=$K$2),"INFANTIL B",I883)</f>
        <v>JUVENIL</v>
      </c>
      <c r="I883" s="9" t="str">
        <f>IF(AND(Tabela1[[#This Row],[Data nascimento]]&gt;=$N$2,Tabela1[[#This Row],[Data nascimento]]&lt;=$M$2),"INICIADO",J883)</f>
        <v>JUVENIL</v>
      </c>
      <c r="J883" s="9" t="str">
        <f>IF(AND(Tabela1[[#This Row],[Data nascimento]]&gt;=$P$2,Tabela1[[#This Row],[Data nascimento]]&lt;=$O$2),"JUVENIL","JÚNIOR")</f>
        <v>JUVENIL</v>
      </c>
    </row>
    <row r="884" spans="1:10" ht="15" x14ac:dyDescent="0.4">
      <c r="A884" s="13" t="s">
        <v>3620</v>
      </c>
      <c r="B884" s="2" t="s">
        <v>3621</v>
      </c>
      <c r="C884" s="4" t="s">
        <v>21</v>
      </c>
      <c r="D884" s="11">
        <v>39665</v>
      </c>
      <c r="E884" s="7" t="s">
        <v>3622</v>
      </c>
      <c r="F884" s="4" t="s">
        <v>4762</v>
      </c>
      <c r="G884" s="12" t="str">
        <f>IF(AND(Tabela1[[#This Row],[Data nascimento]]&gt;=$J$2,Tabela1[[#This Row],[Data nascimento]]&lt;=$I$2),"INFANTIL A",H884)</f>
        <v>JUVENIL</v>
      </c>
      <c r="H884" s="3" t="str">
        <f>IF(AND(Tabela1[[#This Row],[Data nascimento]]&gt;=$L$2,Tabela1[[#This Row],[Data nascimento]]&lt;=$K$2),"INFANTIL B",I884)</f>
        <v>JUVENIL</v>
      </c>
      <c r="I884" s="9" t="str">
        <f>IF(AND(Tabela1[[#This Row],[Data nascimento]]&gt;=$N$2,Tabela1[[#This Row],[Data nascimento]]&lt;=$M$2),"INICIADO",J884)</f>
        <v>JUVENIL</v>
      </c>
      <c r="J884" s="9" t="str">
        <f>IF(AND(Tabela1[[#This Row],[Data nascimento]]&gt;=$P$2,Tabela1[[#This Row],[Data nascimento]]&lt;=$O$2),"JUVENIL","JÚNIOR")</f>
        <v>JUVENIL</v>
      </c>
    </row>
    <row r="885" spans="1:10" ht="15" x14ac:dyDescent="0.4">
      <c r="A885" s="13" t="s">
        <v>3623</v>
      </c>
      <c r="B885" s="2" t="s">
        <v>3624</v>
      </c>
      <c r="C885" s="4" t="s">
        <v>21</v>
      </c>
      <c r="D885" s="11">
        <v>39611</v>
      </c>
      <c r="E885" s="7" t="s">
        <v>3625</v>
      </c>
      <c r="F885" s="4" t="s">
        <v>4762</v>
      </c>
      <c r="G885" s="12" t="str">
        <f>IF(AND(Tabela1[[#This Row],[Data nascimento]]&gt;=$J$2,Tabela1[[#This Row],[Data nascimento]]&lt;=$I$2),"INFANTIL A",H885)</f>
        <v>JUVENIL</v>
      </c>
      <c r="H885" s="3" t="str">
        <f>IF(AND(Tabela1[[#This Row],[Data nascimento]]&gt;=$L$2,Tabela1[[#This Row],[Data nascimento]]&lt;=$K$2),"INFANTIL B",I885)</f>
        <v>JUVENIL</v>
      </c>
      <c r="I885" s="9" t="str">
        <f>IF(AND(Tabela1[[#This Row],[Data nascimento]]&gt;=$N$2,Tabela1[[#This Row],[Data nascimento]]&lt;=$M$2),"INICIADO",J885)</f>
        <v>JUVENIL</v>
      </c>
      <c r="J885" s="9" t="str">
        <f>IF(AND(Tabela1[[#This Row],[Data nascimento]]&gt;=$P$2,Tabela1[[#This Row],[Data nascimento]]&lt;=$O$2),"JUVENIL","JÚNIOR")</f>
        <v>JUVENIL</v>
      </c>
    </row>
    <row r="886" spans="1:10" ht="15" x14ac:dyDescent="0.4">
      <c r="A886" s="13" t="s">
        <v>3626</v>
      </c>
      <c r="B886" s="2" t="s">
        <v>3627</v>
      </c>
      <c r="C886" s="4" t="s">
        <v>21</v>
      </c>
      <c r="D886" s="11">
        <v>39783</v>
      </c>
      <c r="E886" s="7" t="s">
        <v>3628</v>
      </c>
      <c r="F886" s="4" t="s">
        <v>4762</v>
      </c>
      <c r="G886" s="12" t="str">
        <f>IF(AND(Tabela1[[#This Row],[Data nascimento]]&gt;=$J$2,Tabela1[[#This Row],[Data nascimento]]&lt;=$I$2),"INFANTIL A",H886)</f>
        <v>JUVENIL</v>
      </c>
      <c r="H886" s="3" t="str">
        <f>IF(AND(Tabela1[[#This Row],[Data nascimento]]&gt;=$L$2,Tabela1[[#This Row],[Data nascimento]]&lt;=$K$2),"INFANTIL B",I886)</f>
        <v>JUVENIL</v>
      </c>
      <c r="I886" s="9" t="str">
        <f>IF(AND(Tabela1[[#This Row],[Data nascimento]]&gt;=$N$2,Tabela1[[#This Row],[Data nascimento]]&lt;=$M$2),"INICIADO",J886)</f>
        <v>JUVENIL</v>
      </c>
      <c r="J886" s="9" t="str">
        <f>IF(AND(Tabela1[[#This Row],[Data nascimento]]&gt;=$P$2,Tabela1[[#This Row],[Data nascimento]]&lt;=$O$2),"JUVENIL","JÚNIOR")</f>
        <v>JUVENIL</v>
      </c>
    </row>
    <row r="887" spans="1:10" ht="15" x14ac:dyDescent="0.4">
      <c r="A887" s="13" t="s">
        <v>3629</v>
      </c>
      <c r="B887" s="2" t="s">
        <v>3630</v>
      </c>
      <c r="C887" s="4" t="s">
        <v>21</v>
      </c>
      <c r="D887" s="11">
        <v>39485</v>
      </c>
      <c r="E887" s="7" t="s">
        <v>3631</v>
      </c>
      <c r="F887" s="4" t="s">
        <v>4756</v>
      </c>
      <c r="G887" s="12" t="str">
        <f>IF(AND(Tabela1[[#This Row],[Data nascimento]]&gt;=$J$2,Tabela1[[#This Row],[Data nascimento]]&lt;=$I$2),"INFANTIL A",H887)</f>
        <v>JUVENIL</v>
      </c>
      <c r="H887" s="3" t="str">
        <f>IF(AND(Tabela1[[#This Row],[Data nascimento]]&gt;=$L$2,Tabela1[[#This Row],[Data nascimento]]&lt;=$K$2),"INFANTIL B",I887)</f>
        <v>JUVENIL</v>
      </c>
      <c r="I887" s="9" t="str">
        <f>IF(AND(Tabela1[[#This Row],[Data nascimento]]&gt;=$N$2,Tabela1[[#This Row],[Data nascimento]]&lt;=$M$2),"INICIADO",J887)</f>
        <v>JUVENIL</v>
      </c>
      <c r="J887" s="9" t="str">
        <f>IF(AND(Tabela1[[#This Row],[Data nascimento]]&gt;=$P$2,Tabela1[[#This Row],[Data nascimento]]&lt;=$O$2),"JUVENIL","JÚNIOR")</f>
        <v>JUVENIL</v>
      </c>
    </row>
    <row r="888" spans="1:10" ht="15" x14ac:dyDescent="0.4">
      <c r="A888" s="13" t="s">
        <v>3632</v>
      </c>
      <c r="B888" s="2" t="s">
        <v>3633</v>
      </c>
      <c r="C888" s="4" t="s">
        <v>21</v>
      </c>
      <c r="D888" s="11">
        <v>39798</v>
      </c>
      <c r="E888" s="7" t="s">
        <v>3634</v>
      </c>
      <c r="F888" s="4" t="s">
        <v>4763</v>
      </c>
      <c r="G888" s="12" t="str">
        <f>IF(AND(Tabela1[[#This Row],[Data nascimento]]&gt;=$J$2,Tabela1[[#This Row],[Data nascimento]]&lt;=$I$2),"INFANTIL A",H888)</f>
        <v>JUVENIL</v>
      </c>
      <c r="H888" s="3" t="str">
        <f>IF(AND(Tabela1[[#This Row],[Data nascimento]]&gt;=$L$2,Tabela1[[#This Row],[Data nascimento]]&lt;=$K$2),"INFANTIL B",I888)</f>
        <v>JUVENIL</v>
      </c>
      <c r="I888" s="9" t="str">
        <f>IF(AND(Tabela1[[#This Row],[Data nascimento]]&gt;=$N$2,Tabela1[[#This Row],[Data nascimento]]&lt;=$M$2),"INICIADO",J888)</f>
        <v>JUVENIL</v>
      </c>
      <c r="J888" s="9" t="str">
        <f>IF(AND(Tabela1[[#This Row],[Data nascimento]]&gt;=$P$2,Tabela1[[#This Row],[Data nascimento]]&lt;=$O$2),"JUVENIL","JÚNIOR")</f>
        <v>JUVENIL</v>
      </c>
    </row>
    <row r="889" spans="1:10" ht="15" x14ac:dyDescent="0.4">
      <c r="A889" s="13" t="s">
        <v>3635</v>
      </c>
      <c r="B889" s="2" t="s">
        <v>3636</v>
      </c>
      <c r="C889" s="4" t="s">
        <v>8</v>
      </c>
      <c r="D889" s="11">
        <v>39608</v>
      </c>
      <c r="E889" s="7" t="s">
        <v>3637</v>
      </c>
      <c r="F889" s="4" t="s">
        <v>4763</v>
      </c>
      <c r="G889" s="12" t="str">
        <f>IF(AND(Tabela1[[#This Row],[Data nascimento]]&gt;=$J$2,Tabela1[[#This Row],[Data nascimento]]&lt;=$I$2),"INFANTIL A",H889)</f>
        <v>JUVENIL</v>
      </c>
      <c r="H889" s="3" t="str">
        <f>IF(AND(Tabela1[[#This Row],[Data nascimento]]&gt;=$L$2,Tabela1[[#This Row],[Data nascimento]]&lt;=$K$2),"INFANTIL B",I889)</f>
        <v>JUVENIL</v>
      </c>
      <c r="I889" s="9" t="str">
        <f>IF(AND(Tabela1[[#This Row],[Data nascimento]]&gt;=$N$2,Tabela1[[#This Row],[Data nascimento]]&lt;=$M$2),"INICIADO",J889)</f>
        <v>JUVENIL</v>
      </c>
      <c r="J889" s="9" t="str">
        <f>IF(AND(Tabela1[[#This Row],[Data nascimento]]&gt;=$P$2,Tabela1[[#This Row],[Data nascimento]]&lt;=$O$2),"JUVENIL","JÚNIOR")</f>
        <v>JUVENIL</v>
      </c>
    </row>
    <row r="890" spans="1:10" ht="15" x14ac:dyDescent="0.4">
      <c r="A890" s="13" t="s">
        <v>3638</v>
      </c>
      <c r="B890" s="2" t="s">
        <v>3639</v>
      </c>
      <c r="C890" s="4" t="s">
        <v>21</v>
      </c>
      <c r="D890" s="11">
        <v>39621</v>
      </c>
      <c r="E890" s="7" t="s">
        <v>3640</v>
      </c>
      <c r="F890" s="4" t="s">
        <v>4763</v>
      </c>
      <c r="G890" s="12" t="str">
        <f>IF(AND(Tabela1[[#This Row],[Data nascimento]]&gt;=$J$2,Tabela1[[#This Row],[Data nascimento]]&lt;=$I$2),"INFANTIL A",H890)</f>
        <v>JUVENIL</v>
      </c>
      <c r="H890" s="3" t="str">
        <f>IF(AND(Tabela1[[#This Row],[Data nascimento]]&gt;=$L$2,Tabela1[[#This Row],[Data nascimento]]&lt;=$K$2),"INFANTIL B",I890)</f>
        <v>JUVENIL</v>
      </c>
      <c r="I890" s="9" t="str">
        <f>IF(AND(Tabela1[[#This Row],[Data nascimento]]&gt;=$N$2,Tabela1[[#This Row],[Data nascimento]]&lt;=$M$2),"INICIADO",J890)</f>
        <v>JUVENIL</v>
      </c>
      <c r="J890" s="9" t="str">
        <f>IF(AND(Tabela1[[#This Row],[Data nascimento]]&gt;=$P$2,Tabela1[[#This Row],[Data nascimento]]&lt;=$O$2),"JUVENIL","JÚNIOR")</f>
        <v>JUVENIL</v>
      </c>
    </row>
    <row r="891" spans="1:10" ht="15" x14ac:dyDescent="0.4">
      <c r="A891" s="13" t="s">
        <v>3641</v>
      </c>
      <c r="B891" s="2" t="s">
        <v>3642</v>
      </c>
      <c r="C891" s="4" t="s">
        <v>21</v>
      </c>
      <c r="D891" s="11">
        <v>39606</v>
      </c>
      <c r="E891" s="7" t="s">
        <v>3643</v>
      </c>
      <c r="F891" s="4" t="s">
        <v>4763</v>
      </c>
      <c r="G891" s="12" t="str">
        <f>IF(AND(Tabela1[[#This Row],[Data nascimento]]&gt;=$J$2,Tabela1[[#This Row],[Data nascimento]]&lt;=$I$2),"INFANTIL A",H891)</f>
        <v>JUVENIL</v>
      </c>
      <c r="H891" s="3" t="str">
        <f>IF(AND(Tabela1[[#This Row],[Data nascimento]]&gt;=$L$2,Tabela1[[#This Row],[Data nascimento]]&lt;=$K$2),"INFANTIL B",I891)</f>
        <v>JUVENIL</v>
      </c>
      <c r="I891" s="9" t="str">
        <f>IF(AND(Tabela1[[#This Row],[Data nascimento]]&gt;=$N$2,Tabela1[[#This Row],[Data nascimento]]&lt;=$M$2),"INICIADO",J891)</f>
        <v>JUVENIL</v>
      </c>
      <c r="J891" s="9" t="str">
        <f>IF(AND(Tabela1[[#This Row],[Data nascimento]]&gt;=$P$2,Tabela1[[#This Row],[Data nascimento]]&lt;=$O$2),"JUVENIL","JÚNIOR")</f>
        <v>JUVENIL</v>
      </c>
    </row>
    <row r="892" spans="1:10" ht="15" x14ac:dyDescent="0.4">
      <c r="A892" s="13" t="s">
        <v>3644</v>
      </c>
      <c r="B892" s="2" t="s">
        <v>3645</v>
      </c>
      <c r="C892" s="4" t="s">
        <v>21</v>
      </c>
      <c r="D892" s="11">
        <v>39729</v>
      </c>
      <c r="E892" s="7" t="s">
        <v>3646</v>
      </c>
      <c r="F892" s="4" t="s">
        <v>4763</v>
      </c>
      <c r="G892" s="12" t="str">
        <f>IF(AND(Tabela1[[#This Row],[Data nascimento]]&gt;=$J$2,Tabela1[[#This Row],[Data nascimento]]&lt;=$I$2),"INFANTIL A",H892)</f>
        <v>JUVENIL</v>
      </c>
      <c r="H892" s="3" t="str">
        <f>IF(AND(Tabela1[[#This Row],[Data nascimento]]&gt;=$L$2,Tabela1[[#This Row],[Data nascimento]]&lt;=$K$2),"INFANTIL B",I892)</f>
        <v>JUVENIL</v>
      </c>
      <c r="I892" s="9" t="str">
        <f>IF(AND(Tabela1[[#This Row],[Data nascimento]]&gt;=$N$2,Tabela1[[#This Row],[Data nascimento]]&lt;=$M$2),"INICIADO",J892)</f>
        <v>JUVENIL</v>
      </c>
      <c r="J892" s="9" t="str">
        <f>IF(AND(Tabela1[[#This Row],[Data nascimento]]&gt;=$P$2,Tabela1[[#This Row],[Data nascimento]]&lt;=$O$2),"JUVENIL","JÚNIOR")</f>
        <v>JUVENIL</v>
      </c>
    </row>
    <row r="893" spans="1:10" ht="15" x14ac:dyDescent="0.4">
      <c r="A893" s="13" t="s">
        <v>3647</v>
      </c>
      <c r="B893" s="2" t="s">
        <v>3648</v>
      </c>
      <c r="C893" s="4" t="s">
        <v>8</v>
      </c>
      <c r="D893" s="11">
        <v>39775</v>
      </c>
      <c r="E893" s="7" t="s">
        <v>3649</v>
      </c>
      <c r="F893" s="4" t="s">
        <v>4763</v>
      </c>
      <c r="G893" s="12" t="str">
        <f>IF(AND(Tabela1[[#This Row],[Data nascimento]]&gt;=$J$2,Tabela1[[#This Row],[Data nascimento]]&lt;=$I$2),"INFANTIL A",H893)</f>
        <v>JUVENIL</v>
      </c>
      <c r="H893" s="3" t="str">
        <f>IF(AND(Tabela1[[#This Row],[Data nascimento]]&gt;=$L$2,Tabela1[[#This Row],[Data nascimento]]&lt;=$K$2),"INFANTIL B",I893)</f>
        <v>JUVENIL</v>
      </c>
      <c r="I893" s="9" t="str">
        <f>IF(AND(Tabela1[[#This Row],[Data nascimento]]&gt;=$N$2,Tabela1[[#This Row],[Data nascimento]]&lt;=$M$2),"INICIADO",J893)</f>
        <v>JUVENIL</v>
      </c>
      <c r="J893" s="9" t="str">
        <f>IF(AND(Tabela1[[#This Row],[Data nascimento]]&gt;=$P$2,Tabela1[[#This Row],[Data nascimento]]&lt;=$O$2),"JUVENIL","JÚNIOR")</f>
        <v>JUVENIL</v>
      </c>
    </row>
    <row r="894" spans="1:10" ht="15" x14ac:dyDescent="0.4">
      <c r="A894" s="13" t="s">
        <v>3650</v>
      </c>
      <c r="B894" s="2" t="s">
        <v>3651</v>
      </c>
      <c r="C894" s="4" t="s">
        <v>8</v>
      </c>
      <c r="D894" s="11">
        <v>39571</v>
      </c>
      <c r="E894" s="7" t="s">
        <v>3652</v>
      </c>
      <c r="F894" s="4" t="s">
        <v>4764</v>
      </c>
      <c r="G894" s="12" t="str">
        <f>IF(AND(Tabela1[[#This Row],[Data nascimento]]&gt;=$J$2,Tabela1[[#This Row],[Data nascimento]]&lt;=$I$2),"INFANTIL A",H894)</f>
        <v>JUVENIL</v>
      </c>
      <c r="H894" s="3" t="str">
        <f>IF(AND(Tabela1[[#This Row],[Data nascimento]]&gt;=$L$2,Tabela1[[#This Row],[Data nascimento]]&lt;=$K$2),"INFANTIL B",I894)</f>
        <v>JUVENIL</v>
      </c>
      <c r="I894" s="9" t="str">
        <f>IF(AND(Tabela1[[#This Row],[Data nascimento]]&gt;=$N$2,Tabela1[[#This Row],[Data nascimento]]&lt;=$M$2),"INICIADO",J894)</f>
        <v>JUVENIL</v>
      </c>
      <c r="J894" s="9" t="str">
        <f>IF(AND(Tabela1[[#This Row],[Data nascimento]]&gt;=$P$2,Tabela1[[#This Row],[Data nascimento]]&lt;=$O$2),"JUVENIL","JÚNIOR")</f>
        <v>JUVENIL</v>
      </c>
    </row>
    <row r="895" spans="1:10" ht="15" x14ac:dyDescent="0.4">
      <c r="A895" s="13" t="s">
        <v>3653</v>
      </c>
      <c r="B895" s="2" t="s">
        <v>3654</v>
      </c>
      <c r="C895" s="4" t="s">
        <v>21</v>
      </c>
      <c r="D895" s="11">
        <v>39587</v>
      </c>
      <c r="E895" s="7" t="s">
        <v>3655</v>
      </c>
      <c r="F895" s="4" t="s">
        <v>4764</v>
      </c>
      <c r="G895" s="12" t="str">
        <f>IF(AND(Tabela1[[#This Row],[Data nascimento]]&gt;=$J$2,Tabela1[[#This Row],[Data nascimento]]&lt;=$I$2),"INFANTIL A",H895)</f>
        <v>JUVENIL</v>
      </c>
      <c r="H895" s="3" t="str">
        <f>IF(AND(Tabela1[[#This Row],[Data nascimento]]&gt;=$L$2,Tabela1[[#This Row],[Data nascimento]]&lt;=$K$2),"INFANTIL B",I895)</f>
        <v>JUVENIL</v>
      </c>
      <c r="I895" s="9" t="str">
        <f>IF(AND(Tabela1[[#This Row],[Data nascimento]]&gt;=$N$2,Tabela1[[#This Row],[Data nascimento]]&lt;=$M$2),"INICIADO",J895)</f>
        <v>JUVENIL</v>
      </c>
      <c r="J895" s="9" t="str">
        <f>IF(AND(Tabela1[[#This Row],[Data nascimento]]&gt;=$P$2,Tabela1[[#This Row],[Data nascimento]]&lt;=$O$2),"JUVENIL","JÚNIOR")</f>
        <v>JUVENIL</v>
      </c>
    </row>
    <row r="896" spans="1:10" ht="15" x14ac:dyDescent="0.4">
      <c r="A896" s="13" t="s">
        <v>3656</v>
      </c>
      <c r="B896" s="2" t="s">
        <v>3657</v>
      </c>
      <c r="C896" s="4" t="s">
        <v>21</v>
      </c>
      <c r="D896" s="11">
        <v>39484</v>
      </c>
      <c r="E896" s="7" t="s">
        <v>3658</v>
      </c>
      <c r="F896" s="4" t="s">
        <v>4764</v>
      </c>
      <c r="G896" s="12" t="str">
        <f>IF(AND(Tabela1[[#This Row],[Data nascimento]]&gt;=$J$2,Tabela1[[#This Row],[Data nascimento]]&lt;=$I$2),"INFANTIL A",H896)</f>
        <v>JUVENIL</v>
      </c>
      <c r="H896" s="3" t="str">
        <f>IF(AND(Tabela1[[#This Row],[Data nascimento]]&gt;=$L$2,Tabela1[[#This Row],[Data nascimento]]&lt;=$K$2),"INFANTIL B",I896)</f>
        <v>JUVENIL</v>
      </c>
      <c r="I896" s="9" t="str">
        <f>IF(AND(Tabela1[[#This Row],[Data nascimento]]&gt;=$N$2,Tabela1[[#This Row],[Data nascimento]]&lt;=$M$2),"INICIADO",J896)</f>
        <v>JUVENIL</v>
      </c>
      <c r="J896" s="9" t="str">
        <f>IF(AND(Tabela1[[#This Row],[Data nascimento]]&gt;=$P$2,Tabela1[[#This Row],[Data nascimento]]&lt;=$O$2),"JUVENIL","JÚNIOR")</f>
        <v>JUVENIL</v>
      </c>
    </row>
    <row r="897" spans="1:10" ht="15" x14ac:dyDescent="0.4">
      <c r="A897" s="13" t="s">
        <v>3659</v>
      </c>
      <c r="B897" s="2" t="s">
        <v>3660</v>
      </c>
      <c r="C897" s="4" t="s">
        <v>21</v>
      </c>
      <c r="D897" s="11">
        <v>39607</v>
      </c>
      <c r="E897" s="7" t="s">
        <v>3661</v>
      </c>
      <c r="F897" s="4" t="s">
        <v>4764</v>
      </c>
      <c r="G897" s="12" t="str">
        <f>IF(AND(Tabela1[[#This Row],[Data nascimento]]&gt;=$J$2,Tabela1[[#This Row],[Data nascimento]]&lt;=$I$2),"INFANTIL A",H897)</f>
        <v>JUVENIL</v>
      </c>
      <c r="H897" s="3" t="str">
        <f>IF(AND(Tabela1[[#This Row],[Data nascimento]]&gt;=$L$2,Tabela1[[#This Row],[Data nascimento]]&lt;=$K$2),"INFANTIL B",I897)</f>
        <v>JUVENIL</v>
      </c>
      <c r="I897" s="9" t="str">
        <f>IF(AND(Tabela1[[#This Row],[Data nascimento]]&gt;=$N$2,Tabela1[[#This Row],[Data nascimento]]&lt;=$M$2),"INICIADO",J897)</f>
        <v>JUVENIL</v>
      </c>
      <c r="J897" s="9" t="str">
        <f>IF(AND(Tabela1[[#This Row],[Data nascimento]]&gt;=$P$2,Tabela1[[#This Row],[Data nascimento]]&lt;=$O$2),"JUVENIL","JÚNIOR")</f>
        <v>JUVENIL</v>
      </c>
    </row>
    <row r="898" spans="1:10" ht="15" x14ac:dyDescent="0.4">
      <c r="A898" s="13" t="s">
        <v>3662</v>
      </c>
      <c r="B898" s="2" t="s">
        <v>3663</v>
      </c>
      <c r="C898" s="4" t="s">
        <v>8</v>
      </c>
      <c r="D898" s="11">
        <v>39646</v>
      </c>
      <c r="E898" s="7" t="s">
        <v>3664</v>
      </c>
      <c r="F898" s="4" t="s">
        <v>4764</v>
      </c>
      <c r="G898" s="12" t="str">
        <f>IF(AND(Tabela1[[#This Row],[Data nascimento]]&gt;=$J$2,Tabela1[[#This Row],[Data nascimento]]&lt;=$I$2),"INFANTIL A",H898)</f>
        <v>JUVENIL</v>
      </c>
      <c r="H898" s="3" t="str">
        <f>IF(AND(Tabela1[[#This Row],[Data nascimento]]&gt;=$L$2,Tabela1[[#This Row],[Data nascimento]]&lt;=$K$2),"INFANTIL B",I898)</f>
        <v>JUVENIL</v>
      </c>
      <c r="I898" s="9" t="str">
        <f>IF(AND(Tabela1[[#This Row],[Data nascimento]]&gt;=$N$2,Tabela1[[#This Row],[Data nascimento]]&lt;=$M$2),"INICIADO",J898)</f>
        <v>JUVENIL</v>
      </c>
      <c r="J898" s="9" t="str">
        <f>IF(AND(Tabela1[[#This Row],[Data nascimento]]&gt;=$P$2,Tabela1[[#This Row],[Data nascimento]]&lt;=$O$2),"JUVENIL","JÚNIOR")</f>
        <v>JUVENIL</v>
      </c>
    </row>
    <row r="899" spans="1:10" ht="15" x14ac:dyDescent="0.4">
      <c r="A899" s="13" t="s">
        <v>3665</v>
      </c>
      <c r="B899" s="2" t="s">
        <v>3666</v>
      </c>
      <c r="C899" s="4" t="s">
        <v>8</v>
      </c>
      <c r="D899" s="11">
        <v>39621</v>
      </c>
      <c r="E899" s="7" t="s">
        <v>3667</v>
      </c>
      <c r="F899" s="4" t="s">
        <v>4764</v>
      </c>
      <c r="G899" s="12" t="str">
        <f>IF(AND(Tabela1[[#This Row],[Data nascimento]]&gt;=$J$2,Tabela1[[#This Row],[Data nascimento]]&lt;=$I$2),"INFANTIL A",H899)</f>
        <v>JUVENIL</v>
      </c>
      <c r="H899" s="3" t="str">
        <f>IF(AND(Tabela1[[#This Row],[Data nascimento]]&gt;=$L$2,Tabela1[[#This Row],[Data nascimento]]&lt;=$K$2),"INFANTIL B",I899)</f>
        <v>JUVENIL</v>
      </c>
      <c r="I899" s="9" t="str">
        <f>IF(AND(Tabela1[[#This Row],[Data nascimento]]&gt;=$N$2,Tabela1[[#This Row],[Data nascimento]]&lt;=$M$2),"INICIADO",J899)</f>
        <v>JUVENIL</v>
      </c>
      <c r="J899" s="9" t="str">
        <f>IF(AND(Tabela1[[#This Row],[Data nascimento]]&gt;=$P$2,Tabela1[[#This Row],[Data nascimento]]&lt;=$O$2),"JUVENIL","JÚNIOR")</f>
        <v>JUVENIL</v>
      </c>
    </row>
    <row r="900" spans="1:10" ht="15" x14ac:dyDescent="0.4">
      <c r="A900" s="13" t="s">
        <v>3668</v>
      </c>
      <c r="B900" s="2" t="s">
        <v>3669</v>
      </c>
      <c r="C900" s="4" t="s">
        <v>8</v>
      </c>
      <c r="D900" s="11">
        <v>39562</v>
      </c>
      <c r="E900" s="7" t="s">
        <v>3670</v>
      </c>
      <c r="F900" s="4" t="s">
        <v>4764</v>
      </c>
      <c r="G900" s="12" t="str">
        <f>IF(AND(Tabela1[[#This Row],[Data nascimento]]&gt;=$J$2,Tabela1[[#This Row],[Data nascimento]]&lt;=$I$2),"INFANTIL A",H900)</f>
        <v>JUVENIL</v>
      </c>
      <c r="H900" s="3" t="str">
        <f>IF(AND(Tabela1[[#This Row],[Data nascimento]]&gt;=$L$2,Tabela1[[#This Row],[Data nascimento]]&lt;=$K$2),"INFANTIL B",I900)</f>
        <v>JUVENIL</v>
      </c>
      <c r="I900" s="9" t="str">
        <f>IF(AND(Tabela1[[#This Row],[Data nascimento]]&gt;=$N$2,Tabela1[[#This Row],[Data nascimento]]&lt;=$M$2),"INICIADO",J900)</f>
        <v>JUVENIL</v>
      </c>
      <c r="J900" s="9" t="str">
        <f>IF(AND(Tabela1[[#This Row],[Data nascimento]]&gt;=$P$2,Tabela1[[#This Row],[Data nascimento]]&lt;=$O$2),"JUVENIL","JÚNIOR")</f>
        <v>JUVENIL</v>
      </c>
    </row>
    <row r="901" spans="1:10" ht="15" x14ac:dyDescent="0.4">
      <c r="A901" s="13" t="s">
        <v>3671</v>
      </c>
      <c r="B901" s="2" t="s">
        <v>3672</v>
      </c>
      <c r="C901" s="4" t="s">
        <v>21</v>
      </c>
      <c r="D901" s="11">
        <v>39620</v>
      </c>
      <c r="E901" s="7" t="s">
        <v>3673</v>
      </c>
      <c r="F901" s="4" t="s">
        <v>4756</v>
      </c>
      <c r="G901" s="12" t="str">
        <f>IF(AND(Tabela1[[#This Row],[Data nascimento]]&gt;=$J$2,Tabela1[[#This Row],[Data nascimento]]&lt;=$I$2),"INFANTIL A",H901)</f>
        <v>JUVENIL</v>
      </c>
      <c r="H901" s="3" t="str">
        <f>IF(AND(Tabela1[[#This Row],[Data nascimento]]&gt;=$L$2,Tabela1[[#This Row],[Data nascimento]]&lt;=$K$2),"INFANTIL B",I901)</f>
        <v>JUVENIL</v>
      </c>
      <c r="I901" s="9" t="str">
        <f>IF(AND(Tabela1[[#This Row],[Data nascimento]]&gt;=$N$2,Tabela1[[#This Row],[Data nascimento]]&lt;=$M$2),"INICIADO",J901)</f>
        <v>JUVENIL</v>
      </c>
      <c r="J901" s="9" t="str">
        <f>IF(AND(Tabela1[[#This Row],[Data nascimento]]&gt;=$P$2,Tabela1[[#This Row],[Data nascimento]]&lt;=$O$2),"JUVENIL","JÚNIOR")</f>
        <v>JUVENIL</v>
      </c>
    </row>
    <row r="902" spans="1:10" ht="15" x14ac:dyDescent="0.4">
      <c r="A902" s="13" t="s">
        <v>3674</v>
      </c>
      <c r="B902" s="2" t="s">
        <v>3675</v>
      </c>
      <c r="C902" s="4" t="s">
        <v>21</v>
      </c>
      <c r="D902" s="11">
        <v>39609</v>
      </c>
      <c r="E902" s="7" t="s">
        <v>3676</v>
      </c>
      <c r="F902" s="4" t="s">
        <v>4756</v>
      </c>
      <c r="G902" s="12" t="str">
        <f>IF(AND(Tabela1[[#This Row],[Data nascimento]]&gt;=$J$2,Tabela1[[#This Row],[Data nascimento]]&lt;=$I$2),"INFANTIL A",H902)</f>
        <v>JUVENIL</v>
      </c>
      <c r="H902" s="3" t="str">
        <f>IF(AND(Tabela1[[#This Row],[Data nascimento]]&gt;=$L$2,Tabela1[[#This Row],[Data nascimento]]&lt;=$K$2),"INFANTIL B",I902)</f>
        <v>JUVENIL</v>
      </c>
      <c r="I902" s="9" t="str">
        <f>IF(AND(Tabela1[[#This Row],[Data nascimento]]&gt;=$N$2,Tabela1[[#This Row],[Data nascimento]]&lt;=$M$2),"INICIADO",J902)</f>
        <v>JUVENIL</v>
      </c>
      <c r="J902" s="9" t="str">
        <f>IF(AND(Tabela1[[#This Row],[Data nascimento]]&gt;=$P$2,Tabela1[[#This Row],[Data nascimento]]&lt;=$O$2),"JUVENIL","JÚNIOR")</f>
        <v>JUVENIL</v>
      </c>
    </row>
    <row r="903" spans="1:10" ht="15" x14ac:dyDescent="0.4">
      <c r="A903" s="13" t="s">
        <v>3677</v>
      </c>
      <c r="B903" s="2" t="s">
        <v>3678</v>
      </c>
      <c r="C903" s="4" t="s">
        <v>21</v>
      </c>
      <c r="D903" s="11">
        <v>38720</v>
      </c>
      <c r="E903" s="7" t="s">
        <v>3679</v>
      </c>
      <c r="F903" s="4" t="s">
        <v>4763</v>
      </c>
      <c r="G903" s="12" t="str">
        <f>IF(AND(Tabela1[[#This Row],[Data nascimento]]&gt;=$J$2,Tabela1[[#This Row],[Data nascimento]]&lt;=$I$2),"INFANTIL A",H903)</f>
        <v>JÚNIOR</v>
      </c>
      <c r="H903" s="3" t="str">
        <f>IF(AND(Tabela1[[#This Row],[Data nascimento]]&gt;=$L$2,Tabela1[[#This Row],[Data nascimento]]&lt;=$K$2),"INFANTIL B",I903)</f>
        <v>JÚNIOR</v>
      </c>
      <c r="I903" s="9" t="str">
        <f>IF(AND(Tabela1[[#This Row],[Data nascimento]]&gt;=$N$2,Tabela1[[#This Row],[Data nascimento]]&lt;=$M$2),"INICIADO",J903)</f>
        <v>JÚNIOR</v>
      </c>
      <c r="J903" s="9" t="str">
        <f>IF(AND(Tabela1[[#This Row],[Data nascimento]]&gt;=$P$2,Tabela1[[#This Row],[Data nascimento]]&lt;=$O$2),"JUVENIL","JÚNIOR")</f>
        <v>JÚNIOR</v>
      </c>
    </row>
    <row r="904" spans="1:10" ht="15" x14ac:dyDescent="0.4">
      <c r="A904" s="13" t="s">
        <v>3680</v>
      </c>
      <c r="B904" s="2" t="s">
        <v>3681</v>
      </c>
      <c r="C904" s="4" t="s">
        <v>8</v>
      </c>
      <c r="D904" s="11">
        <v>39416</v>
      </c>
      <c r="E904" s="7" t="s">
        <v>3682</v>
      </c>
      <c r="F904" s="4" t="s">
        <v>4763</v>
      </c>
      <c r="G904" s="12" t="str">
        <f>IF(AND(Tabela1[[#This Row],[Data nascimento]]&gt;=$J$2,Tabela1[[#This Row],[Data nascimento]]&lt;=$I$2),"INFANTIL A",H904)</f>
        <v>JÚNIOR</v>
      </c>
      <c r="H904" s="3" t="str">
        <f>IF(AND(Tabela1[[#This Row],[Data nascimento]]&gt;=$L$2,Tabela1[[#This Row],[Data nascimento]]&lt;=$K$2),"INFANTIL B",I904)</f>
        <v>JÚNIOR</v>
      </c>
      <c r="I904" s="9" t="str">
        <f>IF(AND(Tabela1[[#This Row],[Data nascimento]]&gt;=$N$2,Tabela1[[#This Row],[Data nascimento]]&lt;=$M$2),"INICIADO",J904)</f>
        <v>JÚNIOR</v>
      </c>
      <c r="J904" s="9" t="str">
        <f>IF(AND(Tabela1[[#This Row],[Data nascimento]]&gt;=$P$2,Tabela1[[#This Row],[Data nascimento]]&lt;=$O$2),"JUVENIL","JÚNIOR")</f>
        <v>JÚNIOR</v>
      </c>
    </row>
    <row r="905" spans="1:10" ht="15" x14ac:dyDescent="0.4">
      <c r="A905" s="13" t="s">
        <v>3683</v>
      </c>
      <c r="B905" s="2" t="s">
        <v>3684</v>
      </c>
      <c r="C905" s="4" t="s">
        <v>21</v>
      </c>
      <c r="D905" s="11">
        <v>39638</v>
      </c>
      <c r="E905" s="7" t="s">
        <v>3685</v>
      </c>
      <c r="F905" s="4" t="s">
        <v>4763</v>
      </c>
      <c r="G905" s="12" t="str">
        <f>IF(AND(Tabela1[[#This Row],[Data nascimento]]&gt;=$J$2,Tabela1[[#This Row],[Data nascimento]]&lt;=$I$2),"INFANTIL A",H905)</f>
        <v>JUVENIL</v>
      </c>
      <c r="H905" s="3" t="str">
        <f>IF(AND(Tabela1[[#This Row],[Data nascimento]]&gt;=$L$2,Tabela1[[#This Row],[Data nascimento]]&lt;=$K$2),"INFANTIL B",I905)</f>
        <v>JUVENIL</v>
      </c>
      <c r="I905" s="9" t="str">
        <f>IF(AND(Tabela1[[#This Row],[Data nascimento]]&gt;=$N$2,Tabela1[[#This Row],[Data nascimento]]&lt;=$M$2),"INICIADO",J905)</f>
        <v>JUVENIL</v>
      </c>
      <c r="J905" s="9" t="str">
        <f>IF(AND(Tabela1[[#This Row],[Data nascimento]]&gt;=$P$2,Tabela1[[#This Row],[Data nascimento]]&lt;=$O$2),"JUVENIL","JÚNIOR")</f>
        <v>JUVENIL</v>
      </c>
    </row>
    <row r="906" spans="1:10" ht="15" x14ac:dyDescent="0.4">
      <c r="A906" s="13" t="s">
        <v>3686</v>
      </c>
      <c r="B906" s="2" t="s">
        <v>3687</v>
      </c>
      <c r="C906" s="4" t="s">
        <v>21</v>
      </c>
      <c r="D906" s="11">
        <v>39789</v>
      </c>
      <c r="E906" s="7" t="s">
        <v>3688</v>
      </c>
      <c r="F906" s="4" t="s">
        <v>4763</v>
      </c>
      <c r="G906" s="12" t="str">
        <f>IF(AND(Tabela1[[#This Row],[Data nascimento]]&gt;=$J$2,Tabela1[[#This Row],[Data nascimento]]&lt;=$I$2),"INFANTIL A",H906)</f>
        <v>JUVENIL</v>
      </c>
      <c r="H906" s="3" t="str">
        <f>IF(AND(Tabela1[[#This Row],[Data nascimento]]&gt;=$L$2,Tabela1[[#This Row],[Data nascimento]]&lt;=$K$2),"INFANTIL B",I906)</f>
        <v>JUVENIL</v>
      </c>
      <c r="I906" s="9" t="str">
        <f>IF(AND(Tabela1[[#This Row],[Data nascimento]]&gt;=$N$2,Tabela1[[#This Row],[Data nascimento]]&lt;=$M$2),"INICIADO",J906)</f>
        <v>JUVENIL</v>
      </c>
      <c r="J906" s="9" t="str">
        <f>IF(AND(Tabela1[[#This Row],[Data nascimento]]&gt;=$P$2,Tabela1[[#This Row],[Data nascimento]]&lt;=$O$2),"JUVENIL","JÚNIOR")</f>
        <v>JUVENIL</v>
      </c>
    </row>
    <row r="907" spans="1:10" ht="15" x14ac:dyDescent="0.4">
      <c r="A907" s="13" t="s">
        <v>3689</v>
      </c>
      <c r="B907" s="2" t="s">
        <v>3690</v>
      </c>
      <c r="C907" s="4" t="s">
        <v>8</v>
      </c>
      <c r="D907" s="11">
        <v>39493</v>
      </c>
      <c r="E907" s="7" t="s">
        <v>3691</v>
      </c>
      <c r="F907" s="4" t="s">
        <v>4763</v>
      </c>
      <c r="G907" s="12" t="str">
        <f>IF(AND(Tabela1[[#This Row],[Data nascimento]]&gt;=$J$2,Tabela1[[#This Row],[Data nascimento]]&lt;=$I$2),"INFANTIL A",H907)</f>
        <v>JUVENIL</v>
      </c>
      <c r="H907" s="3" t="str">
        <f>IF(AND(Tabela1[[#This Row],[Data nascimento]]&gt;=$L$2,Tabela1[[#This Row],[Data nascimento]]&lt;=$K$2),"INFANTIL B",I907)</f>
        <v>JUVENIL</v>
      </c>
      <c r="I907" s="9" t="str">
        <f>IF(AND(Tabela1[[#This Row],[Data nascimento]]&gt;=$N$2,Tabela1[[#This Row],[Data nascimento]]&lt;=$M$2),"INICIADO",J907)</f>
        <v>JUVENIL</v>
      </c>
      <c r="J907" s="9" t="str">
        <f>IF(AND(Tabela1[[#This Row],[Data nascimento]]&gt;=$P$2,Tabela1[[#This Row],[Data nascimento]]&lt;=$O$2),"JUVENIL","JÚNIOR")</f>
        <v>JUVENIL</v>
      </c>
    </row>
    <row r="908" spans="1:10" ht="15" x14ac:dyDescent="0.4">
      <c r="A908" s="13" t="s">
        <v>3692</v>
      </c>
      <c r="B908" s="2" t="s">
        <v>3693</v>
      </c>
      <c r="C908" s="4" t="s">
        <v>21</v>
      </c>
      <c r="D908" s="11">
        <v>39477</v>
      </c>
      <c r="E908" s="7" t="s">
        <v>3694</v>
      </c>
      <c r="F908" s="4" t="s">
        <v>4763</v>
      </c>
      <c r="G908" s="12" t="str">
        <f>IF(AND(Tabela1[[#This Row],[Data nascimento]]&gt;=$J$2,Tabela1[[#This Row],[Data nascimento]]&lt;=$I$2),"INFANTIL A",H908)</f>
        <v>JUVENIL</v>
      </c>
      <c r="H908" s="3" t="str">
        <f>IF(AND(Tabela1[[#This Row],[Data nascimento]]&gt;=$L$2,Tabela1[[#This Row],[Data nascimento]]&lt;=$K$2),"INFANTIL B",I908)</f>
        <v>JUVENIL</v>
      </c>
      <c r="I908" s="9" t="str">
        <f>IF(AND(Tabela1[[#This Row],[Data nascimento]]&gt;=$N$2,Tabela1[[#This Row],[Data nascimento]]&lt;=$M$2),"INICIADO",J908)</f>
        <v>JUVENIL</v>
      </c>
      <c r="J908" s="9" t="str">
        <f>IF(AND(Tabela1[[#This Row],[Data nascimento]]&gt;=$P$2,Tabela1[[#This Row],[Data nascimento]]&lt;=$O$2),"JUVENIL","JÚNIOR")</f>
        <v>JUVENIL</v>
      </c>
    </row>
    <row r="909" spans="1:10" ht="15" x14ac:dyDescent="0.4">
      <c r="A909" s="13" t="s">
        <v>3695</v>
      </c>
      <c r="B909" s="2" t="s">
        <v>3696</v>
      </c>
      <c r="C909" s="4" t="s">
        <v>8</v>
      </c>
      <c r="D909" s="11">
        <v>39626</v>
      </c>
      <c r="E909" s="7" t="s">
        <v>3697</v>
      </c>
      <c r="F909" s="4" t="s">
        <v>4764</v>
      </c>
      <c r="G909" s="12" t="str">
        <f>IF(AND(Tabela1[[#This Row],[Data nascimento]]&gt;=$J$2,Tabela1[[#This Row],[Data nascimento]]&lt;=$I$2),"INFANTIL A",H909)</f>
        <v>JUVENIL</v>
      </c>
      <c r="H909" s="3" t="str">
        <f>IF(AND(Tabela1[[#This Row],[Data nascimento]]&gt;=$L$2,Tabela1[[#This Row],[Data nascimento]]&lt;=$K$2),"INFANTIL B",I909)</f>
        <v>JUVENIL</v>
      </c>
      <c r="I909" s="9" t="str">
        <f>IF(AND(Tabela1[[#This Row],[Data nascimento]]&gt;=$N$2,Tabela1[[#This Row],[Data nascimento]]&lt;=$M$2),"INICIADO",J909)</f>
        <v>JUVENIL</v>
      </c>
      <c r="J909" s="9" t="str">
        <f>IF(AND(Tabela1[[#This Row],[Data nascimento]]&gt;=$P$2,Tabela1[[#This Row],[Data nascimento]]&lt;=$O$2),"JUVENIL","JÚNIOR")</f>
        <v>JUVENIL</v>
      </c>
    </row>
    <row r="910" spans="1:10" ht="15" x14ac:dyDescent="0.4">
      <c r="A910" s="13" t="s">
        <v>3698</v>
      </c>
      <c r="B910" s="2" t="s">
        <v>3699</v>
      </c>
      <c r="C910" s="4" t="s">
        <v>21</v>
      </c>
      <c r="D910" s="11">
        <v>39108</v>
      </c>
      <c r="E910" s="7" t="s">
        <v>3700</v>
      </c>
      <c r="F910" s="4" t="s">
        <v>4756</v>
      </c>
      <c r="G910" s="12" t="str">
        <f>IF(AND(Tabela1[[#This Row],[Data nascimento]]&gt;=$J$2,Tabela1[[#This Row],[Data nascimento]]&lt;=$I$2),"INFANTIL A",H910)</f>
        <v>JÚNIOR</v>
      </c>
      <c r="H910" s="3" t="str">
        <f>IF(AND(Tabela1[[#This Row],[Data nascimento]]&gt;=$L$2,Tabela1[[#This Row],[Data nascimento]]&lt;=$K$2),"INFANTIL B",I910)</f>
        <v>JÚNIOR</v>
      </c>
      <c r="I910" s="9" t="str">
        <f>IF(AND(Tabela1[[#This Row],[Data nascimento]]&gt;=$N$2,Tabela1[[#This Row],[Data nascimento]]&lt;=$M$2),"INICIADO",J910)</f>
        <v>JÚNIOR</v>
      </c>
      <c r="J910" s="9" t="str">
        <f>IF(AND(Tabela1[[#This Row],[Data nascimento]]&gt;=$P$2,Tabela1[[#This Row],[Data nascimento]]&lt;=$O$2),"JUVENIL","JÚNIOR")</f>
        <v>JÚNIOR</v>
      </c>
    </row>
    <row r="911" spans="1:10" ht="15" x14ac:dyDescent="0.4">
      <c r="A911" s="13" t="s">
        <v>3701</v>
      </c>
      <c r="B911" s="2" t="s">
        <v>3702</v>
      </c>
      <c r="C911" s="4" t="s">
        <v>21</v>
      </c>
      <c r="D911" s="11">
        <v>39744</v>
      </c>
      <c r="E911" s="7" t="s">
        <v>3703</v>
      </c>
      <c r="F911" s="4" t="s">
        <v>4756</v>
      </c>
      <c r="G911" s="12" t="str">
        <f>IF(AND(Tabela1[[#This Row],[Data nascimento]]&gt;=$J$2,Tabela1[[#This Row],[Data nascimento]]&lt;=$I$2),"INFANTIL A",H911)</f>
        <v>JUVENIL</v>
      </c>
      <c r="H911" s="3" t="str">
        <f>IF(AND(Tabela1[[#This Row],[Data nascimento]]&gt;=$L$2,Tabela1[[#This Row],[Data nascimento]]&lt;=$K$2),"INFANTIL B",I911)</f>
        <v>JUVENIL</v>
      </c>
      <c r="I911" s="9" t="str">
        <f>IF(AND(Tabela1[[#This Row],[Data nascimento]]&gt;=$N$2,Tabela1[[#This Row],[Data nascimento]]&lt;=$M$2),"INICIADO",J911)</f>
        <v>JUVENIL</v>
      </c>
      <c r="J911" s="9" t="str">
        <f>IF(AND(Tabela1[[#This Row],[Data nascimento]]&gt;=$P$2,Tabela1[[#This Row],[Data nascimento]]&lt;=$O$2),"JUVENIL","JÚNIOR")</f>
        <v>JUVENIL</v>
      </c>
    </row>
    <row r="912" spans="1:10" ht="15" x14ac:dyDescent="0.4">
      <c r="A912" s="13" t="s">
        <v>3704</v>
      </c>
      <c r="B912" s="2" t="s">
        <v>3705</v>
      </c>
      <c r="C912" s="4" t="s">
        <v>21</v>
      </c>
      <c r="D912" s="11">
        <v>39535</v>
      </c>
      <c r="E912" s="7" t="s">
        <v>3706</v>
      </c>
      <c r="F912" s="4" t="s">
        <v>4756</v>
      </c>
      <c r="G912" s="12" t="str">
        <f>IF(AND(Tabela1[[#This Row],[Data nascimento]]&gt;=$J$2,Tabela1[[#This Row],[Data nascimento]]&lt;=$I$2),"INFANTIL A",H912)</f>
        <v>JUVENIL</v>
      </c>
      <c r="H912" s="3" t="str">
        <f>IF(AND(Tabela1[[#This Row],[Data nascimento]]&gt;=$L$2,Tabela1[[#This Row],[Data nascimento]]&lt;=$K$2),"INFANTIL B",I912)</f>
        <v>JUVENIL</v>
      </c>
      <c r="I912" s="9" t="str">
        <f>IF(AND(Tabela1[[#This Row],[Data nascimento]]&gt;=$N$2,Tabela1[[#This Row],[Data nascimento]]&lt;=$M$2),"INICIADO",J912)</f>
        <v>JUVENIL</v>
      </c>
      <c r="J912" s="9" t="str">
        <f>IF(AND(Tabela1[[#This Row],[Data nascimento]]&gt;=$P$2,Tabela1[[#This Row],[Data nascimento]]&lt;=$O$2),"JUVENIL","JÚNIOR")</f>
        <v>JUVENIL</v>
      </c>
    </row>
    <row r="913" spans="1:10" ht="15" x14ac:dyDescent="0.4">
      <c r="A913" s="13" t="s">
        <v>3707</v>
      </c>
      <c r="B913" s="2" t="s">
        <v>3708</v>
      </c>
      <c r="C913" s="4" t="s">
        <v>21</v>
      </c>
      <c r="D913" s="11">
        <v>39120</v>
      </c>
      <c r="E913" s="7" t="s">
        <v>3709</v>
      </c>
      <c r="F913" s="4" t="s">
        <v>4763</v>
      </c>
      <c r="G913" s="12" t="str">
        <f>IF(AND(Tabela1[[#This Row],[Data nascimento]]&gt;=$J$2,Tabela1[[#This Row],[Data nascimento]]&lt;=$I$2),"INFANTIL A",H913)</f>
        <v>JÚNIOR</v>
      </c>
      <c r="H913" s="3" t="str">
        <f>IF(AND(Tabela1[[#This Row],[Data nascimento]]&gt;=$L$2,Tabela1[[#This Row],[Data nascimento]]&lt;=$K$2),"INFANTIL B",I913)</f>
        <v>JÚNIOR</v>
      </c>
      <c r="I913" s="9" t="str">
        <f>IF(AND(Tabela1[[#This Row],[Data nascimento]]&gt;=$N$2,Tabela1[[#This Row],[Data nascimento]]&lt;=$M$2),"INICIADO",J913)</f>
        <v>JÚNIOR</v>
      </c>
      <c r="J913" s="9" t="str">
        <f>IF(AND(Tabela1[[#This Row],[Data nascimento]]&gt;=$P$2,Tabela1[[#This Row],[Data nascimento]]&lt;=$O$2),"JUVENIL","JÚNIOR")</f>
        <v>JÚNIOR</v>
      </c>
    </row>
    <row r="914" spans="1:10" ht="15" x14ac:dyDescent="0.4">
      <c r="A914" s="13" t="s">
        <v>3710</v>
      </c>
      <c r="B914" s="2" t="s">
        <v>3711</v>
      </c>
      <c r="C914" s="4" t="s">
        <v>21</v>
      </c>
      <c r="D914" s="11">
        <v>39009</v>
      </c>
      <c r="E914" s="7" t="s">
        <v>3712</v>
      </c>
      <c r="F914" s="4" t="s">
        <v>4756</v>
      </c>
      <c r="G914" s="12" t="str">
        <f>IF(AND(Tabela1[[#This Row],[Data nascimento]]&gt;=$J$2,Tabela1[[#This Row],[Data nascimento]]&lt;=$I$2),"INFANTIL A",H914)</f>
        <v>JÚNIOR</v>
      </c>
      <c r="H914" s="3" t="str">
        <f>IF(AND(Tabela1[[#This Row],[Data nascimento]]&gt;=$L$2,Tabela1[[#This Row],[Data nascimento]]&lt;=$K$2),"INFANTIL B",I914)</f>
        <v>JÚNIOR</v>
      </c>
      <c r="I914" s="9" t="str">
        <f>IF(AND(Tabela1[[#This Row],[Data nascimento]]&gt;=$N$2,Tabela1[[#This Row],[Data nascimento]]&lt;=$M$2),"INICIADO",J914)</f>
        <v>JÚNIOR</v>
      </c>
      <c r="J914" s="9" t="str">
        <f>IF(AND(Tabela1[[#This Row],[Data nascimento]]&gt;=$P$2,Tabela1[[#This Row],[Data nascimento]]&lt;=$O$2),"JUVENIL","JÚNIOR")</f>
        <v>JÚNIOR</v>
      </c>
    </row>
    <row r="915" spans="1:10" ht="15" x14ac:dyDescent="0.4">
      <c r="A915" s="13" t="s">
        <v>3713</v>
      </c>
      <c r="B915" s="2" t="s">
        <v>3714</v>
      </c>
      <c r="C915" s="4" t="s">
        <v>21</v>
      </c>
      <c r="D915" s="11">
        <v>39563</v>
      </c>
      <c r="E915" s="7" t="s">
        <v>3715</v>
      </c>
      <c r="F915" s="4" t="s">
        <v>4764</v>
      </c>
      <c r="G915" s="12" t="str">
        <f>IF(AND(Tabela1[[#This Row],[Data nascimento]]&gt;=$J$2,Tabela1[[#This Row],[Data nascimento]]&lt;=$I$2),"INFANTIL A",H915)</f>
        <v>JUVENIL</v>
      </c>
      <c r="H915" s="3" t="str">
        <f>IF(AND(Tabela1[[#This Row],[Data nascimento]]&gt;=$L$2,Tabela1[[#This Row],[Data nascimento]]&lt;=$K$2),"INFANTIL B",I915)</f>
        <v>JUVENIL</v>
      </c>
      <c r="I915" s="9" t="str">
        <f>IF(AND(Tabela1[[#This Row],[Data nascimento]]&gt;=$N$2,Tabela1[[#This Row],[Data nascimento]]&lt;=$M$2),"INICIADO",J915)</f>
        <v>JUVENIL</v>
      </c>
      <c r="J915" s="9" t="str">
        <f>IF(AND(Tabela1[[#This Row],[Data nascimento]]&gt;=$P$2,Tabela1[[#This Row],[Data nascimento]]&lt;=$O$2),"JUVENIL","JÚNIOR")</f>
        <v>JUVENIL</v>
      </c>
    </row>
    <row r="916" spans="1:10" ht="15" x14ac:dyDescent="0.4">
      <c r="A916" s="13" t="s">
        <v>3716</v>
      </c>
      <c r="B916" s="2" t="s">
        <v>3717</v>
      </c>
      <c r="C916" s="4" t="s">
        <v>21</v>
      </c>
      <c r="D916" s="11">
        <v>39094</v>
      </c>
      <c r="E916" s="7" t="s">
        <v>3718</v>
      </c>
      <c r="F916" s="4" t="s">
        <v>4764</v>
      </c>
      <c r="G916" s="12" t="str">
        <f>IF(AND(Tabela1[[#This Row],[Data nascimento]]&gt;=$J$2,Tabela1[[#This Row],[Data nascimento]]&lt;=$I$2),"INFANTIL A",H916)</f>
        <v>JÚNIOR</v>
      </c>
      <c r="H916" s="3" t="str">
        <f>IF(AND(Tabela1[[#This Row],[Data nascimento]]&gt;=$L$2,Tabela1[[#This Row],[Data nascimento]]&lt;=$K$2),"INFANTIL B",I916)</f>
        <v>JÚNIOR</v>
      </c>
      <c r="I916" s="9" t="str">
        <f>IF(AND(Tabela1[[#This Row],[Data nascimento]]&gt;=$N$2,Tabela1[[#This Row],[Data nascimento]]&lt;=$M$2),"INICIADO",J916)</f>
        <v>JÚNIOR</v>
      </c>
      <c r="J916" s="9" t="str">
        <f>IF(AND(Tabela1[[#This Row],[Data nascimento]]&gt;=$P$2,Tabela1[[#This Row],[Data nascimento]]&lt;=$O$2),"JUVENIL","JÚNIOR")</f>
        <v>JÚNIOR</v>
      </c>
    </row>
    <row r="917" spans="1:10" ht="15" x14ac:dyDescent="0.4">
      <c r="A917" s="13" t="s">
        <v>3719</v>
      </c>
      <c r="B917" s="2" t="s">
        <v>3720</v>
      </c>
      <c r="C917" s="4" t="s">
        <v>21</v>
      </c>
      <c r="D917" s="11">
        <v>39538</v>
      </c>
      <c r="E917" s="7" t="s">
        <v>3721</v>
      </c>
      <c r="F917" s="4" t="s">
        <v>4764</v>
      </c>
      <c r="G917" s="12" t="str">
        <f>IF(AND(Tabela1[[#This Row],[Data nascimento]]&gt;=$J$2,Tabela1[[#This Row],[Data nascimento]]&lt;=$I$2),"INFANTIL A",H917)</f>
        <v>JUVENIL</v>
      </c>
      <c r="H917" s="3" t="str">
        <f>IF(AND(Tabela1[[#This Row],[Data nascimento]]&gt;=$L$2,Tabela1[[#This Row],[Data nascimento]]&lt;=$K$2),"INFANTIL B",I917)</f>
        <v>JUVENIL</v>
      </c>
      <c r="I917" s="9" t="str">
        <f>IF(AND(Tabela1[[#This Row],[Data nascimento]]&gt;=$N$2,Tabela1[[#This Row],[Data nascimento]]&lt;=$M$2),"INICIADO",J917)</f>
        <v>JUVENIL</v>
      </c>
      <c r="J917" s="9" t="str">
        <f>IF(AND(Tabela1[[#This Row],[Data nascimento]]&gt;=$P$2,Tabela1[[#This Row],[Data nascimento]]&lt;=$O$2),"JUVENIL","JÚNIOR")</f>
        <v>JUVENIL</v>
      </c>
    </row>
    <row r="918" spans="1:10" ht="15" x14ac:dyDescent="0.4">
      <c r="A918" s="13" t="s">
        <v>3722</v>
      </c>
      <c r="B918" s="2" t="s">
        <v>3723</v>
      </c>
      <c r="C918" s="4" t="s">
        <v>21</v>
      </c>
      <c r="D918" s="11">
        <v>39629</v>
      </c>
      <c r="E918" s="7" t="s">
        <v>3724</v>
      </c>
      <c r="F918" s="4" t="s">
        <v>4764</v>
      </c>
      <c r="G918" s="12" t="str">
        <f>IF(AND(Tabela1[[#This Row],[Data nascimento]]&gt;=$J$2,Tabela1[[#This Row],[Data nascimento]]&lt;=$I$2),"INFANTIL A",H918)</f>
        <v>JUVENIL</v>
      </c>
      <c r="H918" s="3" t="str">
        <f>IF(AND(Tabela1[[#This Row],[Data nascimento]]&gt;=$L$2,Tabela1[[#This Row],[Data nascimento]]&lt;=$K$2),"INFANTIL B",I918)</f>
        <v>JUVENIL</v>
      </c>
      <c r="I918" s="9" t="str">
        <f>IF(AND(Tabela1[[#This Row],[Data nascimento]]&gt;=$N$2,Tabela1[[#This Row],[Data nascimento]]&lt;=$M$2),"INICIADO",J918)</f>
        <v>JUVENIL</v>
      </c>
      <c r="J918" s="9" t="str">
        <f>IF(AND(Tabela1[[#This Row],[Data nascimento]]&gt;=$P$2,Tabela1[[#This Row],[Data nascimento]]&lt;=$O$2),"JUVENIL","JÚNIOR")</f>
        <v>JUVENIL</v>
      </c>
    </row>
    <row r="919" spans="1:10" ht="15" x14ac:dyDescent="0.4">
      <c r="A919" s="13" t="s">
        <v>3725</v>
      </c>
      <c r="B919" s="2" t="s">
        <v>3726</v>
      </c>
      <c r="C919" s="4" t="s">
        <v>21</v>
      </c>
      <c r="D919" s="11">
        <v>39769</v>
      </c>
      <c r="E919" s="7" t="s">
        <v>3727</v>
      </c>
      <c r="F919" s="4" t="s">
        <v>4764</v>
      </c>
      <c r="G919" s="12" t="str">
        <f>IF(AND(Tabela1[[#This Row],[Data nascimento]]&gt;=$J$2,Tabela1[[#This Row],[Data nascimento]]&lt;=$I$2),"INFANTIL A",H919)</f>
        <v>JUVENIL</v>
      </c>
      <c r="H919" s="3" t="str">
        <f>IF(AND(Tabela1[[#This Row],[Data nascimento]]&gt;=$L$2,Tabela1[[#This Row],[Data nascimento]]&lt;=$K$2),"INFANTIL B",I919)</f>
        <v>JUVENIL</v>
      </c>
      <c r="I919" s="9" t="str">
        <f>IF(AND(Tabela1[[#This Row],[Data nascimento]]&gt;=$N$2,Tabela1[[#This Row],[Data nascimento]]&lt;=$M$2),"INICIADO",J919)</f>
        <v>JUVENIL</v>
      </c>
      <c r="J919" s="9" t="str">
        <f>IF(AND(Tabela1[[#This Row],[Data nascimento]]&gt;=$P$2,Tabela1[[#This Row],[Data nascimento]]&lt;=$O$2),"JUVENIL","JÚNIOR")</f>
        <v>JUVENIL</v>
      </c>
    </row>
    <row r="920" spans="1:10" ht="15" x14ac:dyDescent="0.4">
      <c r="A920" s="13" t="s">
        <v>3728</v>
      </c>
      <c r="B920" s="2" t="s">
        <v>3729</v>
      </c>
      <c r="C920" s="4" t="s">
        <v>8</v>
      </c>
      <c r="D920" s="11">
        <v>39793</v>
      </c>
      <c r="E920" s="7" t="s">
        <v>3730</v>
      </c>
      <c r="F920" s="4" t="s">
        <v>4764</v>
      </c>
      <c r="G920" s="12" t="str">
        <f>IF(AND(Tabela1[[#This Row],[Data nascimento]]&gt;=$J$2,Tabela1[[#This Row],[Data nascimento]]&lt;=$I$2),"INFANTIL A",H920)</f>
        <v>JUVENIL</v>
      </c>
      <c r="H920" s="3" t="str">
        <f>IF(AND(Tabela1[[#This Row],[Data nascimento]]&gt;=$L$2,Tabela1[[#This Row],[Data nascimento]]&lt;=$K$2),"INFANTIL B",I920)</f>
        <v>JUVENIL</v>
      </c>
      <c r="I920" s="9" t="str">
        <f>IF(AND(Tabela1[[#This Row],[Data nascimento]]&gt;=$N$2,Tabela1[[#This Row],[Data nascimento]]&lt;=$M$2),"INICIADO",J920)</f>
        <v>JUVENIL</v>
      </c>
      <c r="J920" s="9" t="str">
        <f>IF(AND(Tabela1[[#This Row],[Data nascimento]]&gt;=$P$2,Tabela1[[#This Row],[Data nascimento]]&lt;=$O$2),"JUVENIL","JÚNIOR")</f>
        <v>JUVENIL</v>
      </c>
    </row>
    <row r="921" spans="1:10" ht="15" x14ac:dyDescent="0.4">
      <c r="A921" s="13" t="s">
        <v>3731</v>
      </c>
      <c r="B921" s="2" t="s">
        <v>3732</v>
      </c>
      <c r="C921" s="4" t="s">
        <v>21</v>
      </c>
      <c r="D921" s="11">
        <v>39504</v>
      </c>
      <c r="E921" s="7" t="s">
        <v>3733</v>
      </c>
      <c r="F921" s="4" t="s">
        <v>4764</v>
      </c>
      <c r="G921" s="12" t="str">
        <f>IF(AND(Tabela1[[#This Row],[Data nascimento]]&gt;=$J$2,Tabela1[[#This Row],[Data nascimento]]&lt;=$I$2),"INFANTIL A",H921)</f>
        <v>JUVENIL</v>
      </c>
      <c r="H921" s="3" t="str">
        <f>IF(AND(Tabela1[[#This Row],[Data nascimento]]&gt;=$L$2,Tabela1[[#This Row],[Data nascimento]]&lt;=$K$2),"INFANTIL B",I921)</f>
        <v>JUVENIL</v>
      </c>
      <c r="I921" s="9" t="str">
        <f>IF(AND(Tabela1[[#This Row],[Data nascimento]]&gt;=$N$2,Tabela1[[#This Row],[Data nascimento]]&lt;=$M$2),"INICIADO",J921)</f>
        <v>JUVENIL</v>
      </c>
      <c r="J921" s="9" t="str">
        <f>IF(AND(Tabela1[[#This Row],[Data nascimento]]&gt;=$P$2,Tabela1[[#This Row],[Data nascimento]]&lt;=$O$2),"JUVENIL","JÚNIOR")</f>
        <v>JUVENIL</v>
      </c>
    </row>
    <row r="922" spans="1:10" ht="15" x14ac:dyDescent="0.4">
      <c r="A922" s="13" t="s">
        <v>3734</v>
      </c>
      <c r="B922" s="2" t="s">
        <v>3735</v>
      </c>
      <c r="C922" s="4" t="s">
        <v>8</v>
      </c>
      <c r="D922" s="11">
        <v>39488</v>
      </c>
      <c r="E922" s="7" t="s">
        <v>3736</v>
      </c>
      <c r="F922" s="4" t="s">
        <v>4756</v>
      </c>
      <c r="G922" s="12" t="str">
        <f>IF(AND(Tabela1[[#This Row],[Data nascimento]]&gt;=$J$2,Tabela1[[#This Row],[Data nascimento]]&lt;=$I$2),"INFANTIL A",H922)</f>
        <v>JUVENIL</v>
      </c>
      <c r="H922" s="3" t="str">
        <f>IF(AND(Tabela1[[#This Row],[Data nascimento]]&gt;=$L$2,Tabela1[[#This Row],[Data nascimento]]&lt;=$K$2),"INFANTIL B",I922)</f>
        <v>JUVENIL</v>
      </c>
      <c r="I922" s="9" t="str">
        <f>IF(AND(Tabela1[[#This Row],[Data nascimento]]&gt;=$N$2,Tabela1[[#This Row],[Data nascimento]]&lt;=$M$2),"INICIADO",J922)</f>
        <v>JUVENIL</v>
      </c>
      <c r="J922" s="9" t="str">
        <f>IF(AND(Tabela1[[#This Row],[Data nascimento]]&gt;=$P$2,Tabela1[[#This Row],[Data nascimento]]&lt;=$O$2),"JUVENIL","JÚNIOR")</f>
        <v>JUVENIL</v>
      </c>
    </row>
    <row r="923" spans="1:10" ht="15" x14ac:dyDescent="0.4">
      <c r="A923" s="13" t="s">
        <v>3737</v>
      </c>
      <c r="B923" s="2" t="s">
        <v>3738</v>
      </c>
      <c r="C923" s="4" t="s">
        <v>8</v>
      </c>
      <c r="D923" s="11">
        <v>39806</v>
      </c>
      <c r="E923" s="7" t="s">
        <v>3739</v>
      </c>
      <c r="F923" s="4" t="s">
        <v>4756</v>
      </c>
      <c r="G923" s="12" t="str">
        <f>IF(AND(Tabela1[[#This Row],[Data nascimento]]&gt;=$J$2,Tabela1[[#This Row],[Data nascimento]]&lt;=$I$2),"INFANTIL A",H923)</f>
        <v>JUVENIL</v>
      </c>
      <c r="H923" s="3" t="str">
        <f>IF(AND(Tabela1[[#This Row],[Data nascimento]]&gt;=$L$2,Tabela1[[#This Row],[Data nascimento]]&lt;=$K$2),"INFANTIL B",I923)</f>
        <v>JUVENIL</v>
      </c>
      <c r="I923" s="9" t="str">
        <f>IF(AND(Tabela1[[#This Row],[Data nascimento]]&gt;=$N$2,Tabela1[[#This Row],[Data nascimento]]&lt;=$M$2),"INICIADO",J923)</f>
        <v>JUVENIL</v>
      </c>
      <c r="J923" s="9" t="str">
        <f>IF(AND(Tabela1[[#This Row],[Data nascimento]]&gt;=$P$2,Tabela1[[#This Row],[Data nascimento]]&lt;=$O$2),"JUVENIL","JÚNIOR")</f>
        <v>JUVENIL</v>
      </c>
    </row>
    <row r="924" spans="1:10" ht="15" x14ac:dyDescent="0.4">
      <c r="A924" s="13" t="s">
        <v>3743</v>
      </c>
      <c r="B924" s="2" t="s">
        <v>3744</v>
      </c>
      <c r="C924" s="4" t="s">
        <v>8</v>
      </c>
      <c r="D924" s="11">
        <v>39671</v>
      </c>
      <c r="E924" s="7" t="s">
        <v>3745</v>
      </c>
      <c r="F924" s="4" t="s">
        <v>4761</v>
      </c>
      <c r="G924" s="12" t="str">
        <f>IF(AND(Tabela1[[#This Row],[Data nascimento]]&gt;=$J$2,Tabela1[[#This Row],[Data nascimento]]&lt;=$I$2),"INFANTIL A",H924)</f>
        <v>JUVENIL</v>
      </c>
      <c r="H924" s="3" t="str">
        <f>IF(AND(Tabela1[[#This Row],[Data nascimento]]&gt;=$L$2,Tabela1[[#This Row],[Data nascimento]]&lt;=$K$2),"INFANTIL B",I924)</f>
        <v>JUVENIL</v>
      </c>
      <c r="I924" s="9" t="str">
        <f>IF(AND(Tabela1[[#This Row],[Data nascimento]]&gt;=$N$2,Tabela1[[#This Row],[Data nascimento]]&lt;=$M$2),"INICIADO",J924)</f>
        <v>JUVENIL</v>
      </c>
      <c r="J924" s="9" t="str">
        <f>IF(AND(Tabela1[[#This Row],[Data nascimento]]&gt;=$P$2,Tabela1[[#This Row],[Data nascimento]]&lt;=$O$2),"JUVENIL","JÚNIOR")</f>
        <v>JUVENIL</v>
      </c>
    </row>
    <row r="925" spans="1:10" ht="15" x14ac:dyDescent="0.4">
      <c r="A925" s="13" t="s">
        <v>3746</v>
      </c>
      <c r="B925" s="2" t="s">
        <v>3747</v>
      </c>
      <c r="C925" s="4" t="s">
        <v>21</v>
      </c>
      <c r="D925" s="11">
        <v>39578</v>
      </c>
      <c r="E925" s="7" t="s">
        <v>3748</v>
      </c>
      <c r="F925" s="4" t="s">
        <v>4763</v>
      </c>
      <c r="G925" s="12" t="str">
        <f>IF(AND(Tabela1[[#This Row],[Data nascimento]]&gt;=$J$2,Tabela1[[#This Row],[Data nascimento]]&lt;=$I$2),"INFANTIL A",H925)</f>
        <v>JUVENIL</v>
      </c>
      <c r="H925" s="3" t="str">
        <f>IF(AND(Tabela1[[#This Row],[Data nascimento]]&gt;=$L$2,Tabela1[[#This Row],[Data nascimento]]&lt;=$K$2),"INFANTIL B",I925)</f>
        <v>JUVENIL</v>
      </c>
      <c r="I925" s="9" t="str">
        <f>IF(AND(Tabela1[[#This Row],[Data nascimento]]&gt;=$N$2,Tabela1[[#This Row],[Data nascimento]]&lt;=$M$2),"INICIADO",J925)</f>
        <v>JUVENIL</v>
      </c>
      <c r="J925" s="9" t="str">
        <f>IF(AND(Tabela1[[#This Row],[Data nascimento]]&gt;=$P$2,Tabela1[[#This Row],[Data nascimento]]&lt;=$O$2),"JUVENIL","JÚNIOR")</f>
        <v>JUVENIL</v>
      </c>
    </row>
    <row r="926" spans="1:10" ht="15" x14ac:dyDescent="0.4">
      <c r="A926" s="13" t="s">
        <v>3758</v>
      </c>
      <c r="B926" s="2" t="s">
        <v>3759</v>
      </c>
      <c r="C926" s="4" t="s">
        <v>21</v>
      </c>
      <c r="D926" s="11">
        <v>39795</v>
      </c>
      <c r="E926" s="7" t="s">
        <v>3760</v>
      </c>
      <c r="F926" s="4" t="s">
        <v>4763</v>
      </c>
      <c r="G926" s="12" t="str">
        <f>IF(AND(Tabela1[[#This Row],[Data nascimento]]&gt;=$J$2,Tabela1[[#This Row],[Data nascimento]]&lt;=$I$2),"INFANTIL A",H926)</f>
        <v>JUVENIL</v>
      </c>
      <c r="H926" s="3" t="str">
        <f>IF(AND(Tabela1[[#This Row],[Data nascimento]]&gt;=$L$2,Tabela1[[#This Row],[Data nascimento]]&lt;=$K$2),"INFANTIL B",I926)</f>
        <v>JUVENIL</v>
      </c>
      <c r="I926" s="9" t="str">
        <f>IF(AND(Tabela1[[#This Row],[Data nascimento]]&gt;=$N$2,Tabela1[[#This Row],[Data nascimento]]&lt;=$M$2),"INICIADO",J926)</f>
        <v>JUVENIL</v>
      </c>
      <c r="J926" s="9" t="str">
        <f>IF(AND(Tabela1[[#This Row],[Data nascimento]]&gt;=$P$2,Tabela1[[#This Row],[Data nascimento]]&lt;=$O$2),"JUVENIL","JÚNIOR")</f>
        <v>JUVENIL</v>
      </c>
    </row>
    <row r="927" spans="1:10" ht="15" x14ac:dyDescent="0.4">
      <c r="A927" s="13" t="s">
        <v>3770</v>
      </c>
      <c r="B927" s="2" t="s">
        <v>3771</v>
      </c>
      <c r="C927" s="4" t="s">
        <v>8</v>
      </c>
      <c r="D927" s="11">
        <v>39342</v>
      </c>
      <c r="E927" s="7" t="s">
        <v>3772</v>
      </c>
      <c r="F927" s="4" t="s">
        <v>4758</v>
      </c>
      <c r="G927" s="12" t="str">
        <f>IF(AND(Tabela1[[#This Row],[Data nascimento]]&gt;=$J$2,Tabela1[[#This Row],[Data nascimento]]&lt;=$I$2),"INFANTIL A",H927)</f>
        <v>JÚNIOR</v>
      </c>
      <c r="H927" s="3" t="str">
        <f>IF(AND(Tabela1[[#This Row],[Data nascimento]]&gt;=$L$2,Tabela1[[#This Row],[Data nascimento]]&lt;=$K$2),"INFANTIL B",I927)</f>
        <v>JÚNIOR</v>
      </c>
      <c r="I927" s="9" t="str">
        <f>IF(AND(Tabela1[[#This Row],[Data nascimento]]&gt;=$N$2,Tabela1[[#This Row],[Data nascimento]]&lt;=$M$2),"INICIADO",J927)</f>
        <v>JÚNIOR</v>
      </c>
      <c r="J927" s="9" t="str">
        <f>IF(AND(Tabela1[[#This Row],[Data nascimento]]&gt;=$P$2,Tabela1[[#This Row],[Data nascimento]]&lt;=$O$2),"JUVENIL","JÚNIOR")</f>
        <v>JÚNIOR</v>
      </c>
    </row>
    <row r="928" spans="1:10" ht="15" x14ac:dyDescent="0.4">
      <c r="A928" s="13" t="s">
        <v>3776</v>
      </c>
      <c r="B928" s="2" t="s">
        <v>3777</v>
      </c>
      <c r="C928" s="4" t="s">
        <v>8</v>
      </c>
      <c r="D928" s="11">
        <v>39143</v>
      </c>
      <c r="E928" s="7" t="s">
        <v>3778</v>
      </c>
      <c r="F928" s="4" t="s">
        <v>4758</v>
      </c>
      <c r="G928" s="12" t="str">
        <f>IF(AND(Tabela1[[#This Row],[Data nascimento]]&gt;=$J$2,Tabela1[[#This Row],[Data nascimento]]&lt;=$I$2),"INFANTIL A",H928)</f>
        <v>JÚNIOR</v>
      </c>
      <c r="H928" s="3" t="str">
        <f>IF(AND(Tabela1[[#This Row],[Data nascimento]]&gt;=$L$2,Tabela1[[#This Row],[Data nascimento]]&lt;=$K$2),"INFANTIL B",I928)</f>
        <v>JÚNIOR</v>
      </c>
      <c r="I928" s="9" t="str">
        <f>IF(AND(Tabela1[[#This Row],[Data nascimento]]&gt;=$N$2,Tabela1[[#This Row],[Data nascimento]]&lt;=$M$2),"INICIADO",J928)</f>
        <v>JÚNIOR</v>
      </c>
      <c r="J928" s="9" t="str">
        <f>IF(AND(Tabela1[[#This Row],[Data nascimento]]&gt;=$P$2,Tabela1[[#This Row],[Data nascimento]]&lt;=$O$2),"JUVENIL","JÚNIOR")</f>
        <v>JÚNIOR</v>
      </c>
    </row>
    <row r="929" spans="1:10" ht="15" x14ac:dyDescent="0.4">
      <c r="A929" s="13" t="s">
        <v>3779</v>
      </c>
      <c r="B929" s="2" t="s">
        <v>3780</v>
      </c>
      <c r="C929" s="4" t="s">
        <v>21</v>
      </c>
      <c r="D929" s="11">
        <v>39208</v>
      </c>
      <c r="E929" s="7" t="s">
        <v>3781</v>
      </c>
      <c r="F929" s="4" t="s">
        <v>4758</v>
      </c>
      <c r="G929" s="12" t="str">
        <f>IF(AND(Tabela1[[#This Row],[Data nascimento]]&gt;=$J$2,Tabela1[[#This Row],[Data nascimento]]&lt;=$I$2),"INFANTIL A",H929)</f>
        <v>JÚNIOR</v>
      </c>
      <c r="H929" s="3" t="str">
        <f>IF(AND(Tabela1[[#This Row],[Data nascimento]]&gt;=$L$2,Tabela1[[#This Row],[Data nascimento]]&lt;=$K$2),"INFANTIL B",I929)</f>
        <v>JÚNIOR</v>
      </c>
      <c r="I929" s="9" t="str">
        <f>IF(AND(Tabela1[[#This Row],[Data nascimento]]&gt;=$N$2,Tabela1[[#This Row],[Data nascimento]]&lt;=$M$2),"INICIADO",J929)</f>
        <v>JÚNIOR</v>
      </c>
      <c r="J929" s="9" t="str">
        <f>IF(AND(Tabela1[[#This Row],[Data nascimento]]&gt;=$P$2,Tabela1[[#This Row],[Data nascimento]]&lt;=$O$2),"JUVENIL","JÚNIOR")</f>
        <v>JÚNIOR</v>
      </c>
    </row>
    <row r="930" spans="1:10" ht="15" x14ac:dyDescent="0.4">
      <c r="A930" s="13" t="s">
        <v>3782</v>
      </c>
      <c r="B930" s="2" t="s">
        <v>3783</v>
      </c>
      <c r="C930" s="4" t="s">
        <v>8</v>
      </c>
      <c r="D930" s="11">
        <v>39205</v>
      </c>
      <c r="E930" s="7" t="s">
        <v>3784</v>
      </c>
      <c r="F930" s="4" t="s">
        <v>4758</v>
      </c>
      <c r="G930" s="12" t="str">
        <f>IF(AND(Tabela1[[#This Row],[Data nascimento]]&gt;=$J$2,Tabela1[[#This Row],[Data nascimento]]&lt;=$I$2),"INFANTIL A",H930)</f>
        <v>JÚNIOR</v>
      </c>
      <c r="H930" s="3" t="str">
        <f>IF(AND(Tabela1[[#This Row],[Data nascimento]]&gt;=$L$2,Tabela1[[#This Row],[Data nascimento]]&lt;=$K$2),"INFANTIL B",I930)</f>
        <v>JÚNIOR</v>
      </c>
      <c r="I930" s="9" t="str">
        <f>IF(AND(Tabela1[[#This Row],[Data nascimento]]&gt;=$N$2,Tabela1[[#This Row],[Data nascimento]]&lt;=$M$2),"INICIADO",J930)</f>
        <v>JÚNIOR</v>
      </c>
      <c r="J930" s="9" t="str">
        <f>IF(AND(Tabela1[[#This Row],[Data nascimento]]&gt;=$P$2,Tabela1[[#This Row],[Data nascimento]]&lt;=$O$2),"JUVENIL","JÚNIOR")</f>
        <v>JÚNIOR</v>
      </c>
    </row>
    <row r="931" spans="1:10" ht="15" x14ac:dyDescent="0.4">
      <c r="A931" s="13" t="s">
        <v>3785</v>
      </c>
      <c r="B931" s="2" t="s">
        <v>3786</v>
      </c>
      <c r="C931" s="4" t="s">
        <v>21</v>
      </c>
      <c r="D931" s="11">
        <v>39293</v>
      </c>
      <c r="E931" s="7" t="s">
        <v>3787</v>
      </c>
      <c r="F931" s="4" t="s">
        <v>4758</v>
      </c>
      <c r="G931" s="12" t="str">
        <f>IF(AND(Tabela1[[#This Row],[Data nascimento]]&gt;=$J$2,Tabela1[[#This Row],[Data nascimento]]&lt;=$I$2),"INFANTIL A",H931)</f>
        <v>JÚNIOR</v>
      </c>
      <c r="H931" s="3" t="str">
        <f>IF(AND(Tabela1[[#This Row],[Data nascimento]]&gt;=$L$2,Tabela1[[#This Row],[Data nascimento]]&lt;=$K$2),"INFANTIL B",I931)</f>
        <v>JÚNIOR</v>
      </c>
      <c r="I931" s="9" t="str">
        <f>IF(AND(Tabela1[[#This Row],[Data nascimento]]&gt;=$N$2,Tabela1[[#This Row],[Data nascimento]]&lt;=$M$2),"INICIADO",J931)</f>
        <v>JÚNIOR</v>
      </c>
      <c r="J931" s="9" t="str">
        <f>IF(AND(Tabela1[[#This Row],[Data nascimento]]&gt;=$P$2,Tabela1[[#This Row],[Data nascimento]]&lt;=$O$2),"JUVENIL","JÚNIOR")</f>
        <v>JÚNIOR</v>
      </c>
    </row>
    <row r="932" spans="1:10" ht="15" x14ac:dyDescent="0.4">
      <c r="A932" s="13" t="s">
        <v>3788</v>
      </c>
      <c r="B932" s="2" t="s">
        <v>3789</v>
      </c>
      <c r="C932" s="4" t="s">
        <v>21</v>
      </c>
      <c r="D932" s="11">
        <v>39300</v>
      </c>
      <c r="E932" s="7" t="s">
        <v>3790</v>
      </c>
      <c r="F932" s="4" t="s">
        <v>4759</v>
      </c>
      <c r="G932" s="12" t="str">
        <f>IF(AND(Tabela1[[#This Row],[Data nascimento]]&gt;=$J$2,Tabela1[[#This Row],[Data nascimento]]&lt;=$I$2),"INFANTIL A",H932)</f>
        <v>JÚNIOR</v>
      </c>
      <c r="H932" s="3" t="str">
        <f>IF(AND(Tabela1[[#This Row],[Data nascimento]]&gt;=$L$2,Tabela1[[#This Row],[Data nascimento]]&lt;=$K$2),"INFANTIL B",I932)</f>
        <v>JÚNIOR</v>
      </c>
      <c r="I932" s="9" t="str">
        <f>IF(AND(Tabela1[[#This Row],[Data nascimento]]&gt;=$N$2,Tabela1[[#This Row],[Data nascimento]]&lt;=$M$2),"INICIADO",J932)</f>
        <v>JÚNIOR</v>
      </c>
      <c r="J932" s="9" t="str">
        <f>IF(AND(Tabela1[[#This Row],[Data nascimento]]&gt;=$P$2,Tabela1[[#This Row],[Data nascimento]]&lt;=$O$2),"JUVENIL","JÚNIOR")</f>
        <v>JÚNIOR</v>
      </c>
    </row>
    <row r="933" spans="1:10" ht="15" x14ac:dyDescent="0.4">
      <c r="A933" s="13" t="s">
        <v>3791</v>
      </c>
      <c r="B933" s="2" t="s">
        <v>3792</v>
      </c>
      <c r="C933" s="4" t="s">
        <v>21</v>
      </c>
      <c r="D933" s="11">
        <v>39376</v>
      </c>
      <c r="E933" s="7" t="s">
        <v>3793</v>
      </c>
      <c r="F933" s="4" t="s">
        <v>4759</v>
      </c>
      <c r="G933" s="12" t="str">
        <f>IF(AND(Tabela1[[#This Row],[Data nascimento]]&gt;=$J$2,Tabela1[[#This Row],[Data nascimento]]&lt;=$I$2),"INFANTIL A",H933)</f>
        <v>JÚNIOR</v>
      </c>
      <c r="H933" s="3" t="str">
        <f>IF(AND(Tabela1[[#This Row],[Data nascimento]]&gt;=$L$2,Tabela1[[#This Row],[Data nascimento]]&lt;=$K$2),"INFANTIL B",I933)</f>
        <v>JÚNIOR</v>
      </c>
      <c r="I933" s="9" t="str">
        <f>IF(AND(Tabela1[[#This Row],[Data nascimento]]&gt;=$N$2,Tabela1[[#This Row],[Data nascimento]]&lt;=$M$2),"INICIADO",J933)</f>
        <v>JÚNIOR</v>
      </c>
      <c r="J933" s="9" t="str">
        <f>IF(AND(Tabela1[[#This Row],[Data nascimento]]&gt;=$P$2,Tabela1[[#This Row],[Data nascimento]]&lt;=$O$2),"JUVENIL","JÚNIOR")</f>
        <v>JÚNIOR</v>
      </c>
    </row>
    <row r="934" spans="1:10" ht="15" x14ac:dyDescent="0.4">
      <c r="A934" s="13" t="s">
        <v>4313</v>
      </c>
      <c r="B934" s="2" t="s">
        <v>4314</v>
      </c>
      <c r="C934" s="4" t="s">
        <v>21</v>
      </c>
      <c r="D934" s="11">
        <v>39132</v>
      </c>
      <c r="E934" s="7" t="s">
        <v>4315</v>
      </c>
      <c r="F934" s="4" t="s">
        <v>4761</v>
      </c>
      <c r="G934" s="12" t="str">
        <f>IF(AND(Tabela1[[#This Row],[Data nascimento]]&gt;=$J$2,Tabela1[[#This Row],[Data nascimento]]&lt;=$I$2),"INFANTIL A",H934)</f>
        <v>JÚNIOR</v>
      </c>
      <c r="H934" s="3" t="str">
        <f>IF(AND(Tabela1[[#This Row],[Data nascimento]]&gt;=$L$2,Tabela1[[#This Row],[Data nascimento]]&lt;=$K$2),"INFANTIL B",I934)</f>
        <v>JÚNIOR</v>
      </c>
      <c r="I934" s="9" t="str">
        <f>IF(AND(Tabela1[[#This Row],[Data nascimento]]&gt;=$N$2,Tabela1[[#This Row],[Data nascimento]]&lt;=$M$2),"INICIADO",J934)</f>
        <v>JÚNIOR</v>
      </c>
      <c r="J934" s="9" t="str">
        <f>IF(AND(Tabela1[[#This Row],[Data nascimento]]&gt;=$P$2,Tabela1[[#This Row],[Data nascimento]]&lt;=$O$2),"JUVENIL","JÚNIOR")</f>
        <v>JÚNIOR</v>
      </c>
    </row>
    <row r="935" spans="1:10" ht="15" x14ac:dyDescent="0.4">
      <c r="A935" s="13" t="s">
        <v>4433</v>
      </c>
      <c r="B935" s="2" t="s">
        <v>4434</v>
      </c>
      <c r="C935" s="4" t="s">
        <v>21</v>
      </c>
      <c r="D935" s="11">
        <v>39632</v>
      </c>
      <c r="E935" s="7" t="s">
        <v>4435</v>
      </c>
      <c r="F935" s="4" t="s">
        <v>4760</v>
      </c>
      <c r="G935" s="12" t="str">
        <f>IF(AND(Tabela1[[#This Row],[Data nascimento]]&gt;=$J$2,Tabela1[[#This Row],[Data nascimento]]&lt;=$I$2),"INFANTIL A",H935)</f>
        <v>JUVENIL</v>
      </c>
      <c r="H935" s="3" t="str">
        <f>IF(AND(Tabela1[[#This Row],[Data nascimento]]&gt;=$L$2,Tabela1[[#This Row],[Data nascimento]]&lt;=$K$2),"INFANTIL B",I935)</f>
        <v>JUVENIL</v>
      </c>
      <c r="I935" s="9" t="str">
        <f>IF(AND(Tabela1[[#This Row],[Data nascimento]]&gt;=$N$2,Tabela1[[#This Row],[Data nascimento]]&lt;=$M$2),"INICIADO",J935)</f>
        <v>JUVENIL</v>
      </c>
      <c r="J935" s="9" t="str">
        <f>IF(AND(Tabela1[[#This Row],[Data nascimento]]&gt;=$P$2,Tabela1[[#This Row],[Data nascimento]]&lt;=$O$2),"JUVENIL","JÚNIOR")</f>
        <v>JUVENIL</v>
      </c>
    </row>
    <row r="936" spans="1:10" ht="15" x14ac:dyDescent="0.4">
      <c r="A936" s="13" t="s">
        <v>4442</v>
      </c>
      <c r="B936" s="2" t="s">
        <v>4443</v>
      </c>
      <c r="C936" s="4" t="s">
        <v>8</v>
      </c>
      <c r="D936" s="11">
        <v>39329</v>
      </c>
      <c r="E936" s="7" t="s">
        <v>4444</v>
      </c>
      <c r="F936" s="4" t="s">
        <v>4756</v>
      </c>
      <c r="G936" s="12" t="str">
        <f>IF(AND(Tabela1[[#This Row],[Data nascimento]]&gt;=$J$2,Tabela1[[#This Row],[Data nascimento]]&lt;=$I$2),"INFANTIL A",H936)</f>
        <v>JÚNIOR</v>
      </c>
      <c r="H936" s="3" t="str">
        <f>IF(AND(Tabela1[[#This Row],[Data nascimento]]&gt;=$L$2,Tabela1[[#This Row],[Data nascimento]]&lt;=$K$2),"INFANTIL B",I936)</f>
        <v>JÚNIOR</v>
      </c>
      <c r="I936" s="9" t="str">
        <f>IF(AND(Tabela1[[#This Row],[Data nascimento]]&gt;=$N$2,Tabela1[[#This Row],[Data nascimento]]&lt;=$M$2),"INICIADO",J936)</f>
        <v>JÚNIOR</v>
      </c>
      <c r="J936" s="9" t="str">
        <f>IF(AND(Tabela1[[#This Row],[Data nascimento]]&gt;=$P$2,Tabela1[[#This Row],[Data nascimento]]&lt;=$O$2),"JUVENIL","JÚNIOR")</f>
        <v>JÚNIOR</v>
      </c>
    </row>
    <row r="937" spans="1:10" ht="15" x14ac:dyDescent="0.4">
      <c r="A937" s="13" t="s">
        <v>4454</v>
      </c>
      <c r="B937" s="2" t="s">
        <v>4455</v>
      </c>
      <c r="C937" s="4" t="s">
        <v>8</v>
      </c>
      <c r="D937" s="11">
        <v>39509</v>
      </c>
      <c r="E937" s="7" t="s">
        <v>4456</v>
      </c>
      <c r="F937" s="4" t="s">
        <v>4761</v>
      </c>
      <c r="G937" s="12" t="str">
        <f>IF(AND(Tabela1[[#This Row],[Data nascimento]]&gt;=$J$2,Tabela1[[#This Row],[Data nascimento]]&lt;=$I$2),"INFANTIL A",H937)</f>
        <v>JUVENIL</v>
      </c>
      <c r="H937" s="3" t="str">
        <f>IF(AND(Tabela1[[#This Row],[Data nascimento]]&gt;=$L$2,Tabela1[[#This Row],[Data nascimento]]&lt;=$K$2),"INFANTIL B",I937)</f>
        <v>JUVENIL</v>
      </c>
      <c r="I937" s="9" t="str">
        <f>IF(AND(Tabela1[[#This Row],[Data nascimento]]&gt;=$N$2,Tabela1[[#This Row],[Data nascimento]]&lt;=$M$2),"INICIADO",J937)</f>
        <v>JUVENIL</v>
      </c>
      <c r="J937" s="9" t="str">
        <f>IF(AND(Tabela1[[#This Row],[Data nascimento]]&gt;=$P$2,Tabela1[[#This Row],[Data nascimento]]&lt;=$O$2),"JUVENIL","JÚNIOR")</f>
        <v>JUVENIL</v>
      </c>
    </row>
    <row r="938" spans="1:10" ht="15" x14ac:dyDescent="0.4">
      <c r="A938" s="13" t="s">
        <v>4511</v>
      </c>
      <c r="B938" s="2" t="s">
        <v>4512</v>
      </c>
      <c r="C938" s="4" t="s">
        <v>21</v>
      </c>
      <c r="D938" s="11">
        <v>39324</v>
      </c>
      <c r="E938" s="7" t="s">
        <v>4513</v>
      </c>
      <c r="F938" s="4" t="s">
        <v>4756</v>
      </c>
      <c r="G938" s="12" t="str">
        <f>IF(AND(Tabela1[[#This Row],[Data nascimento]]&gt;=$J$2,Tabela1[[#This Row],[Data nascimento]]&lt;=$I$2),"INFANTIL A",H938)</f>
        <v>JÚNIOR</v>
      </c>
      <c r="H938" s="3" t="str">
        <f>IF(AND(Tabela1[[#This Row],[Data nascimento]]&gt;=$L$2,Tabela1[[#This Row],[Data nascimento]]&lt;=$K$2),"INFANTIL B",I938)</f>
        <v>JÚNIOR</v>
      </c>
      <c r="I938" s="9" t="str">
        <f>IF(AND(Tabela1[[#This Row],[Data nascimento]]&gt;=$N$2,Tabela1[[#This Row],[Data nascimento]]&lt;=$M$2),"INICIADO",J938)</f>
        <v>JÚNIOR</v>
      </c>
      <c r="J938" s="9" t="str">
        <f>IF(AND(Tabela1[[#This Row],[Data nascimento]]&gt;=$P$2,Tabela1[[#This Row],[Data nascimento]]&lt;=$O$2),"JUVENIL","JÚNIOR")</f>
        <v>JÚNIOR</v>
      </c>
    </row>
    <row r="939" spans="1:10" ht="15" x14ac:dyDescent="0.4">
      <c r="A939" s="13" t="s">
        <v>4514</v>
      </c>
      <c r="B939" s="2" t="s">
        <v>4515</v>
      </c>
      <c r="C939" s="4" t="s">
        <v>21</v>
      </c>
      <c r="D939" s="11">
        <v>39083</v>
      </c>
      <c r="E939" s="7" t="s">
        <v>4516</v>
      </c>
      <c r="F939" s="4" t="s">
        <v>4756</v>
      </c>
      <c r="G939" s="12" t="str">
        <f>IF(AND(Tabela1[[#This Row],[Data nascimento]]&gt;=$J$2,Tabela1[[#This Row],[Data nascimento]]&lt;=$I$2),"INFANTIL A",H939)</f>
        <v>JÚNIOR</v>
      </c>
      <c r="H939" s="3" t="str">
        <f>IF(AND(Tabela1[[#This Row],[Data nascimento]]&gt;=$L$2,Tabela1[[#This Row],[Data nascimento]]&lt;=$K$2),"INFANTIL B",I939)</f>
        <v>JÚNIOR</v>
      </c>
      <c r="I939" s="9" t="str">
        <f>IF(AND(Tabela1[[#This Row],[Data nascimento]]&gt;=$N$2,Tabela1[[#This Row],[Data nascimento]]&lt;=$M$2),"INICIADO",J939)</f>
        <v>JÚNIOR</v>
      </c>
      <c r="J939" s="9" t="str">
        <f>IF(AND(Tabela1[[#This Row],[Data nascimento]]&gt;=$P$2,Tabela1[[#This Row],[Data nascimento]]&lt;=$O$2),"JUVENIL","JÚNIOR")</f>
        <v>JÚNIOR</v>
      </c>
    </row>
    <row r="940" spans="1:10" ht="15" x14ac:dyDescent="0.4">
      <c r="A940" s="13" t="s">
        <v>4517</v>
      </c>
      <c r="B940" s="2" t="s">
        <v>4518</v>
      </c>
      <c r="C940" s="4" t="s">
        <v>8</v>
      </c>
      <c r="D940" s="11">
        <v>39402</v>
      </c>
      <c r="E940" s="7" t="s">
        <v>4519</v>
      </c>
      <c r="F940" s="4" t="s">
        <v>4763</v>
      </c>
      <c r="G940" s="12" t="str">
        <f>IF(AND(Tabela1[[#This Row],[Data nascimento]]&gt;=$J$2,Tabela1[[#This Row],[Data nascimento]]&lt;=$I$2),"INFANTIL A",H940)</f>
        <v>JÚNIOR</v>
      </c>
      <c r="H940" s="3" t="str">
        <f>IF(AND(Tabela1[[#This Row],[Data nascimento]]&gt;=$L$2,Tabela1[[#This Row],[Data nascimento]]&lt;=$K$2),"INFANTIL B",I940)</f>
        <v>JÚNIOR</v>
      </c>
      <c r="I940" s="9" t="str">
        <f>IF(AND(Tabela1[[#This Row],[Data nascimento]]&gt;=$N$2,Tabela1[[#This Row],[Data nascimento]]&lt;=$M$2),"INICIADO",J940)</f>
        <v>JÚNIOR</v>
      </c>
      <c r="J940" s="9" t="str">
        <f>IF(AND(Tabela1[[#This Row],[Data nascimento]]&gt;=$P$2,Tabela1[[#This Row],[Data nascimento]]&lt;=$O$2),"JUVENIL","JÚNIOR")</f>
        <v>JÚNIOR</v>
      </c>
    </row>
    <row r="941" spans="1:10" ht="15" x14ac:dyDescent="0.4">
      <c r="A941" s="13" t="s">
        <v>4526</v>
      </c>
      <c r="B941" s="2" t="s">
        <v>4527</v>
      </c>
      <c r="C941" s="4" t="s">
        <v>21</v>
      </c>
      <c r="D941" s="11">
        <v>39714</v>
      </c>
      <c r="E941" s="7" t="s">
        <v>4528</v>
      </c>
      <c r="F941" s="4" t="s">
        <v>4763</v>
      </c>
      <c r="G941" s="12" t="str">
        <f>IF(AND(Tabela1[[#This Row],[Data nascimento]]&gt;=$J$2,Tabela1[[#This Row],[Data nascimento]]&lt;=$I$2),"INFANTIL A",H941)</f>
        <v>JUVENIL</v>
      </c>
      <c r="H941" s="3" t="str">
        <f>IF(AND(Tabela1[[#This Row],[Data nascimento]]&gt;=$L$2,Tabela1[[#This Row],[Data nascimento]]&lt;=$K$2),"INFANTIL B",I941)</f>
        <v>JUVENIL</v>
      </c>
      <c r="I941" s="9" t="str">
        <f>IF(AND(Tabela1[[#This Row],[Data nascimento]]&gt;=$N$2,Tabela1[[#This Row],[Data nascimento]]&lt;=$M$2),"INICIADO",J941)</f>
        <v>JUVENIL</v>
      </c>
      <c r="J941" s="9" t="str">
        <f>IF(AND(Tabela1[[#This Row],[Data nascimento]]&gt;=$P$2,Tabela1[[#This Row],[Data nascimento]]&lt;=$O$2),"JUVENIL","JÚNIOR")</f>
        <v>JUVENIL</v>
      </c>
    </row>
    <row r="942" spans="1:10" ht="15" x14ac:dyDescent="0.4">
      <c r="A942" s="13" t="s">
        <v>4535</v>
      </c>
      <c r="B942" s="2" t="s">
        <v>4536</v>
      </c>
      <c r="C942" s="4" t="s">
        <v>21</v>
      </c>
      <c r="D942" s="11">
        <v>39344</v>
      </c>
      <c r="E942" s="7" t="s">
        <v>4537</v>
      </c>
      <c r="F942" s="4" t="s">
        <v>4759</v>
      </c>
      <c r="G942" s="12" t="str">
        <f>IF(AND(Tabela1[[#This Row],[Data nascimento]]&gt;=$J$2,Tabela1[[#This Row],[Data nascimento]]&lt;=$I$2),"INFANTIL A",H942)</f>
        <v>JÚNIOR</v>
      </c>
      <c r="H942" s="3" t="str">
        <f>IF(AND(Tabela1[[#This Row],[Data nascimento]]&gt;=$L$2,Tabela1[[#This Row],[Data nascimento]]&lt;=$K$2),"INFANTIL B",I942)</f>
        <v>JÚNIOR</v>
      </c>
      <c r="I942" s="9" t="str">
        <f>IF(AND(Tabela1[[#This Row],[Data nascimento]]&gt;=$N$2,Tabela1[[#This Row],[Data nascimento]]&lt;=$M$2),"INICIADO",J942)</f>
        <v>JÚNIOR</v>
      </c>
      <c r="J942" s="9" t="str">
        <f>IF(AND(Tabela1[[#This Row],[Data nascimento]]&gt;=$P$2,Tabela1[[#This Row],[Data nascimento]]&lt;=$O$2),"JUVENIL","JÚNIOR")</f>
        <v>JÚNIOR</v>
      </c>
    </row>
    <row r="943" spans="1:10" ht="15" x14ac:dyDescent="0.4">
      <c r="A943" s="13" t="s">
        <v>4538</v>
      </c>
      <c r="B943" s="2" t="s">
        <v>4539</v>
      </c>
      <c r="C943" s="4" t="s">
        <v>8</v>
      </c>
      <c r="D943" s="11">
        <v>39489</v>
      </c>
      <c r="E943" s="7" t="s">
        <v>4540</v>
      </c>
      <c r="F943" s="4" t="s">
        <v>4757</v>
      </c>
      <c r="G943" s="12" t="str">
        <f>IF(AND(Tabela1[[#This Row],[Data nascimento]]&gt;=$J$2,Tabela1[[#This Row],[Data nascimento]]&lt;=$I$2),"INFANTIL A",H943)</f>
        <v>JUVENIL</v>
      </c>
      <c r="H943" s="3" t="str">
        <f>IF(AND(Tabela1[[#This Row],[Data nascimento]]&gt;=$L$2,Tabela1[[#This Row],[Data nascimento]]&lt;=$K$2),"INFANTIL B",I943)</f>
        <v>JUVENIL</v>
      </c>
      <c r="I943" s="9" t="str">
        <f>IF(AND(Tabela1[[#This Row],[Data nascimento]]&gt;=$N$2,Tabela1[[#This Row],[Data nascimento]]&lt;=$M$2),"INICIADO",J943)</f>
        <v>JUVENIL</v>
      </c>
      <c r="J943" s="9" t="str">
        <f>IF(AND(Tabela1[[#This Row],[Data nascimento]]&gt;=$P$2,Tabela1[[#This Row],[Data nascimento]]&lt;=$O$2),"JUVENIL","JÚNIOR")</f>
        <v>JUVENIL</v>
      </c>
    </row>
    <row r="944" spans="1:10" ht="15" x14ac:dyDescent="0.4">
      <c r="A944" s="13" t="s">
        <v>4550</v>
      </c>
      <c r="B944" s="2" t="s">
        <v>4551</v>
      </c>
      <c r="C944" s="4" t="s">
        <v>8</v>
      </c>
      <c r="D944" s="11">
        <v>39087</v>
      </c>
      <c r="E944" s="7" t="s">
        <v>4552</v>
      </c>
      <c r="F944" s="4" t="s">
        <v>4756</v>
      </c>
      <c r="G944" s="12" t="str">
        <f>IF(AND(Tabela1[[#This Row],[Data nascimento]]&gt;=$J$2,Tabela1[[#This Row],[Data nascimento]]&lt;=$I$2),"INFANTIL A",H944)</f>
        <v>JÚNIOR</v>
      </c>
      <c r="H944" s="3" t="str">
        <f>IF(AND(Tabela1[[#This Row],[Data nascimento]]&gt;=$L$2,Tabela1[[#This Row],[Data nascimento]]&lt;=$K$2),"INFANTIL B",I944)</f>
        <v>JÚNIOR</v>
      </c>
      <c r="I944" s="9" t="str">
        <f>IF(AND(Tabela1[[#This Row],[Data nascimento]]&gt;=$N$2,Tabela1[[#This Row],[Data nascimento]]&lt;=$M$2),"INICIADO",J944)</f>
        <v>JÚNIOR</v>
      </c>
      <c r="J944" s="9" t="str">
        <f>IF(AND(Tabela1[[#This Row],[Data nascimento]]&gt;=$P$2,Tabela1[[#This Row],[Data nascimento]]&lt;=$O$2),"JUVENIL","JÚNIOR")</f>
        <v>JÚNIOR</v>
      </c>
    </row>
    <row r="945" spans="1:10" ht="15" x14ac:dyDescent="0.4">
      <c r="A945" s="13" t="s">
        <v>4556</v>
      </c>
      <c r="B945" s="2" t="s">
        <v>4557</v>
      </c>
      <c r="C945" s="4" t="s">
        <v>8</v>
      </c>
      <c r="D945" s="11">
        <v>39292</v>
      </c>
      <c r="E945" s="7" t="s">
        <v>4558</v>
      </c>
      <c r="F945" s="4" t="s">
        <v>4757</v>
      </c>
      <c r="G945" s="12" t="str">
        <f>IF(AND(Tabela1[[#This Row],[Data nascimento]]&gt;=$J$2,Tabela1[[#This Row],[Data nascimento]]&lt;=$I$2),"INFANTIL A",H945)</f>
        <v>JÚNIOR</v>
      </c>
      <c r="H945" s="3" t="str">
        <f>IF(AND(Tabela1[[#This Row],[Data nascimento]]&gt;=$L$2,Tabela1[[#This Row],[Data nascimento]]&lt;=$K$2),"INFANTIL B",I945)</f>
        <v>JÚNIOR</v>
      </c>
      <c r="I945" s="9" t="str">
        <f>IF(AND(Tabela1[[#This Row],[Data nascimento]]&gt;=$N$2,Tabela1[[#This Row],[Data nascimento]]&lt;=$M$2),"INICIADO",J945)</f>
        <v>JÚNIOR</v>
      </c>
      <c r="J945" s="9" t="str">
        <f>IF(AND(Tabela1[[#This Row],[Data nascimento]]&gt;=$P$2,Tabela1[[#This Row],[Data nascimento]]&lt;=$O$2),"JUVENIL","JÚNIOR")</f>
        <v>JÚNIOR</v>
      </c>
    </row>
    <row r="946" spans="1:10" ht="15" x14ac:dyDescent="0.4">
      <c r="A946" s="13" t="s">
        <v>4577</v>
      </c>
      <c r="B946" s="2" t="s">
        <v>4578</v>
      </c>
      <c r="C946" s="4" t="s">
        <v>21</v>
      </c>
      <c r="D946" s="11">
        <v>39221</v>
      </c>
      <c r="E946" s="7" t="s">
        <v>4579</v>
      </c>
      <c r="F946" s="4" t="s">
        <v>4764</v>
      </c>
      <c r="G946" s="12" t="str">
        <f>IF(AND(Tabela1[[#This Row],[Data nascimento]]&gt;=$J$2,Tabela1[[#This Row],[Data nascimento]]&lt;=$I$2),"INFANTIL A",H946)</f>
        <v>JÚNIOR</v>
      </c>
      <c r="H946" s="3" t="str">
        <f>IF(AND(Tabela1[[#This Row],[Data nascimento]]&gt;=$L$2,Tabela1[[#This Row],[Data nascimento]]&lt;=$K$2),"INFANTIL B",I946)</f>
        <v>JÚNIOR</v>
      </c>
      <c r="I946" s="9" t="str">
        <f>IF(AND(Tabela1[[#This Row],[Data nascimento]]&gt;=$N$2,Tabela1[[#This Row],[Data nascimento]]&lt;=$M$2),"INICIADO",J946)</f>
        <v>JÚNIOR</v>
      </c>
      <c r="J946" s="9" t="str">
        <f>IF(AND(Tabela1[[#This Row],[Data nascimento]]&gt;=$P$2,Tabela1[[#This Row],[Data nascimento]]&lt;=$O$2),"JUVENIL","JÚNIOR")</f>
        <v>JÚNIOR</v>
      </c>
    </row>
    <row r="947" spans="1:10" ht="15" x14ac:dyDescent="0.4">
      <c r="A947" s="13" t="s">
        <v>4592</v>
      </c>
      <c r="B947" s="2" t="s">
        <v>4593</v>
      </c>
      <c r="C947" s="4" t="s">
        <v>21</v>
      </c>
      <c r="D947" s="11">
        <v>39622</v>
      </c>
      <c r="E947" s="7" t="s">
        <v>4594</v>
      </c>
      <c r="F947" s="4" t="s">
        <v>4762</v>
      </c>
      <c r="G947" s="12" t="str">
        <f>IF(AND(Tabela1[[#This Row],[Data nascimento]]&gt;=$J$2,Tabela1[[#This Row],[Data nascimento]]&lt;=$I$2),"INFANTIL A",H947)</f>
        <v>JUVENIL</v>
      </c>
      <c r="H947" s="3" t="str">
        <f>IF(AND(Tabela1[[#This Row],[Data nascimento]]&gt;=$L$2,Tabela1[[#This Row],[Data nascimento]]&lt;=$K$2),"INFANTIL B",I947)</f>
        <v>JUVENIL</v>
      </c>
      <c r="I947" s="9" t="str">
        <f>IF(AND(Tabela1[[#This Row],[Data nascimento]]&gt;=$N$2,Tabela1[[#This Row],[Data nascimento]]&lt;=$M$2),"INICIADO",J947)</f>
        <v>JUVENIL</v>
      </c>
      <c r="J947" s="9" t="str">
        <f>IF(AND(Tabela1[[#This Row],[Data nascimento]]&gt;=$P$2,Tabela1[[#This Row],[Data nascimento]]&lt;=$O$2),"JUVENIL","JÚNIOR")</f>
        <v>JUVENIL</v>
      </c>
    </row>
    <row r="948" spans="1:10" ht="15" x14ac:dyDescent="0.4">
      <c r="A948" s="13" t="s">
        <v>3515</v>
      </c>
      <c r="B948" s="2" t="s">
        <v>3516</v>
      </c>
      <c r="C948" s="4" t="s">
        <v>21</v>
      </c>
      <c r="D948" s="11">
        <v>39799</v>
      </c>
      <c r="E948" s="7" t="s">
        <v>3517</v>
      </c>
      <c r="F948" s="4" t="s">
        <v>4758</v>
      </c>
      <c r="G948" s="12" t="str">
        <f>IF(AND(Tabela1[[#This Row],[Data nascimento]]&gt;=$J$2,Tabela1[[#This Row],[Data nascimento]]&lt;=$I$2),"INFANTIL A",H948)</f>
        <v>JUVENIL</v>
      </c>
      <c r="H948" s="3" t="str">
        <f>IF(AND(Tabela1[[#This Row],[Data nascimento]]&gt;=$L$2,Tabela1[[#This Row],[Data nascimento]]&lt;=$K$2),"INFANTIL B",I948)</f>
        <v>JUVENIL</v>
      </c>
      <c r="I948" s="9" t="str">
        <f>IF(AND(Tabela1[[#This Row],[Data nascimento]]&gt;=$N$2,Tabela1[[#This Row],[Data nascimento]]&lt;=$M$2),"INICIADO",J948)</f>
        <v>JUVENIL</v>
      </c>
      <c r="J948" s="9" t="str">
        <f>IF(AND(Tabela1[[#This Row],[Data nascimento]]&gt;=$P$2,Tabela1[[#This Row],[Data nascimento]]&lt;=$O$2),"JUVENIL","JÚNIOR")</f>
        <v>JUVENIL</v>
      </c>
    </row>
    <row r="949" spans="1:10" ht="15" x14ac:dyDescent="0.4">
      <c r="A949" s="13" t="s">
        <v>4598</v>
      </c>
      <c r="B949" s="2" t="s">
        <v>4599</v>
      </c>
      <c r="C949" s="4" t="s">
        <v>8</v>
      </c>
      <c r="D949" s="11">
        <v>39664</v>
      </c>
      <c r="E949" s="7" t="s">
        <v>4600</v>
      </c>
      <c r="F949" s="4" t="s">
        <v>4762</v>
      </c>
      <c r="G949" s="12" t="str">
        <f>IF(AND(Tabela1[[#This Row],[Data nascimento]]&gt;=$J$2,Tabela1[[#This Row],[Data nascimento]]&lt;=$I$2),"INFANTIL A",H949)</f>
        <v>JUVENIL</v>
      </c>
      <c r="H949" s="3" t="str">
        <f>IF(AND(Tabela1[[#This Row],[Data nascimento]]&gt;=$L$2,Tabela1[[#This Row],[Data nascimento]]&lt;=$K$2),"INFANTIL B",I949)</f>
        <v>JUVENIL</v>
      </c>
      <c r="I949" s="9" t="str">
        <f>IF(AND(Tabela1[[#This Row],[Data nascimento]]&gt;=$N$2,Tabela1[[#This Row],[Data nascimento]]&lt;=$M$2),"INICIADO",J949)</f>
        <v>JUVENIL</v>
      </c>
      <c r="J949" s="9" t="str">
        <f>IF(AND(Tabela1[[#This Row],[Data nascimento]]&gt;=$P$2,Tabela1[[#This Row],[Data nascimento]]&lt;=$O$2),"JUVENIL","JÚNIOR")</f>
        <v>JUVENIL</v>
      </c>
    </row>
    <row r="950" spans="1:10" ht="15" x14ac:dyDescent="0.4">
      <c r="A950" s="13" t="s">
        <v>4601</v>
      </c>
      <c r="B950" s="2" t="s">
        <v>4602</v>
      </c>
      <c r="C950" s="4" t="s">
        <v>21</v>
      </c>
      <c r="D950" s="11">
        <v>39540</v>
      </c>
      <c r="E950" s="7" t="s">
        <v>4603</v>
      </c>
      <c r="F950" s="4" t="s">
        <v>4756</v>
      </c>
      <c r="G950" s="12" t="str">
        <f>IF(AND(Tabela1[[#This Row],[Data nascimento]]&gt;=$J$2,Tabela1[[#This Row],[Data nascimento]]&lt;=$I$2),"INFANTIL A",H950)</f>
        <v>JUVENIL</v>
      </c>
      <c r="H950" s="3" t="str">
        <f>IF(AND(Tabela1[[#This Row],[Data nascimento]]&gt;=$L$2,Tabela1[[#This Row],[Data nascimento]]&lt;=$K$2),"INFANTIL B",I950)</f>
        <v>JUVENIL</v>
      </c>
      <c r="I950" s="9" t="str">
        <f>IF(AND(Tabela1[[#This Row],[Data nascimento]]&gt;=$N$2,Tabela1[[#This Row],[Data nascimento]]&lt;=$M$2),"INICIADO",J950)</f>
        <v>JUVENIL</v>
      </c>
      <c r="J950" s="9" t="str">
        <f>IF(AND(Tabela1[[#This Row],[Data nascimento]]&gt;=$P$2,Tabela1[[#This Row],[Data nascimento]]&lt;=$O$2),"JUVENIL","JÚNIOR")</f>
        <v>JUVENIL</v>
      </c>
    </row>
    <row r="951" spans="1:10" ht="15" x14ac:dyDescent="0.4">
      <c r="A951" s="13" t="s">
        <v>3671</v>
      </c>
      <c r="B951" s="2" t="s">
        <v>3672</v>
      </c>
      <c r="C951" s="4" t="s">
        <v>21</v>
      </c>
      <c r="D951" s="11">
        <v>39620</v>
      </c>
      <c r="E951" s="7" t="s">
        <v>3673</v>
      </c>
      <c r="F951" s="4" t="s">
        <v>4764</v>
      </c>
      <c r="G951" s="12" t="str">
        <f>IF(AND(Tabela1[[#This Row],[Data nascimento]]&gt;=$J$2,Tabela1[[#This Row],[Data nascimento]]&lt;=$I$2),"INFANTIL A",H951)</f>
        <v>JUVENIL</v>
      </c>
      <c r="H951" s="3" t="str">
        <f>IF(AND(Tabela1[[#This Row],[Data nascimento]]&gt;=$L$2,Tabela1[[#This Row],[Data nascimento]]&lt;=$K$2),"INFANTIL B",I951)</f>
        <v>JUVENIL</v>
      </c>
      <c r="I951" s="9" t="str">
        <f>IF(AND(Tabela1[[#This Row],[Data nascimento]]&gt;=$N$2,Tabela1[[#This Row],[Data nascimento]]&lt;=$M$2),"INICIADO",J951)</f>
        <v>JUVENIL</v>
      </c>
      <c r="J951" s="9" t="str">
        <f>IF(AND(Tabela1[[#This Row],[Data nascimento]]&gt;=$P$2,Tabela1[[#This Row],[Data nascimento]]&lt;=$O$2),"JUVENIL","JÚNIOR")</f>
        <v>JUVENIL</v>
      </c>
    </row>
    <row r="952" spans="1:10" ht="15" x14ac:dyDescent="0.4">
      <c r="A952" s="13" t="s">
        <v>4604</v>
      </c>
      <c r="B952" s="2" t="s">
        <v>4605</v>
      </c>
      <c r="C952" s="4" t="s">
        <v>21</v>
      </c>
      <c r="D952" s="11">
        <v>39423</v>
      </c>
      <c r="E952" s="7" t="s">
        <v>4606</v>
      </c>
      <c r="F952" s="4" t="s">
        <v>4756</v>
      </c>
      <c r="G952" s="12" t="str">
        <f>IF(AND(Tabela1[[#This Row],[Data nascimento]]&gt;=$J$2,Tabela1[[#This Row],[Data nascimento]]&lt;=$I$2),"INFANTIL A",H952)</f>
        <v>JÚNIOR</v>
      </c>
      <c r="H952" s="3" t="str">
        <f>IF(AND(Tabela1[[#This Row],[Data nascimento]]&gt;=$L$2,Tabela1[[#This Row],[Data nascimento]]&lt;=$K$2),"INFANTIL B",I952)</f>
        <v>JÚNIOR</v>
      </c>
      <c r="I952" s="9" t="str">
        <f>IF(AND(Tabela1[[#This Row],[Data nascimento]]&gt;=$N$2,Tabela1[[#This Row],[Data nascimento]]&lt;=$M$2),"INICIADO",J952)</f>
        <v>JÚNIOR</v>
      </c>
      <c r="J952" s="9" t="str">
        <f>IF(AND(Tabela1[[#This Row],[Data nascimento]]&gt;=$P$2,Tabela1[[#This Row],[Data nascimento]]&lt;=$O$2),"JUVENIL","JÚNIOR")</f>
        <v>JÚNIOR</v>
      </c>
    </row>
    <row r="953" spans="1:10" ht="15" x14ac:dyDescent="0.4">
      <c r="A953" s="13" t="s">
        <v>4610</v>
      </c>
      <c r="B953" s="2" t="s">
        <v>4611</v>
      </c>
      <c r="C953" s="4" t="s">
        <v>21</v>
      </c>
      <c r="D953" s="11">
        <v>39322</v>
      </c>
      <c r="E953" s="7" t="s">
        <v>4612</v>
      </c>
      <c r="F953" s="4" t="s">
        <v>4762</v>
      </c>
      <c r="G953" s="12" t="str">
        <f>IF(AND(Tabela1[[#This Row],[Data nascimento]]&gt;=$J$2,Tabela1[[#This Row],[Data nascimento]]&lt;=$I$2),"INFANTIL A",H953)</f>
        <v>JÚNIOR</v>
      </c>
      <c r="H953" s="3" t="str">
        <f>IF(AND(Tabela1[[#This Row],[Data nascimento]]&gt;=$L$2,Tabela1[[#This Row],[Data nascimento]]&lt;=$K$2),"INFANTIL B",I953)</f>
        <v>JÚNIOR</v>
      </c>
      <c r="I953" s="9" t="str">
        <f>IF(AND(Tabela1[[#This Row],[Data nascimento]]&gt;=$N$2,Tabela1[[#This Row],[Data nascimento]]&lt;=$M$2),"INICIADO",J953)</f>
        <v>JÚNIOR</v>
      </c>
      <c r="J953" s="9" t="str">
        <f>IF(AND(Tabela1[[#This Row],[Data nascimento]]&gt;=$P$2,Tabela1[[#This Row],[Data nascimento]]&lt;=$O$2),"JUVENIL","JÚNIOR")</f>
        <v>JÚNIOR</v>
      </c>
    </row>
    <row r="954" spans="1:10" ht="15" x14ac:dyDescent="0.4">
      <c r="A954" s="13" t="s">
        <v>3407</v>
      </c>
      <c r="B954" s="2" t="s">
        <v>3408</v>
      </c>
      <c r="C954" s="4" t="s">
        <v>21</v>
      </c>
      <c r="D954" s="11">
        <v>39637</v>
      </c>
      <c r="E954" s="7" t="s">
        <v>3409</v>
      </c>
      <c r="F954" s="4" t="s">
        <v>4759</v>
      </c>
      <c r="G954" s="12" t="str">
        <f>IF(AND(Tabela1[[#This Row],[Data nascimento]]&gt;=$J$2,Tabela1[[#This Row],[Data nascimento]]&lt;=$I$2),"INFANTIL A",H954)</f>
        <v>JUVENIL</v>
      </c>
      <c r="H954" s="3" t="str">
        <f>IF(AND(Tabela1[[#This Row],[Data nascimento]]&gt;=$L$2,Tabela1[[#This Row],[Data nascimento]]&lt;=$K$2),"INFANTIL B",I954)</f>
        <v>JUVENIL</v>
      </c>
      <c r="I954" s="9" t="str">
        <f>IF(AND(Tabela1[[#This Row],[Data nascimento]]&gt;=$N$2,Tabela1[[#This Row],[Data nascimento]]&lt;=$M$2),"INICIADO",J954)</f>
        <v>JUVENIL</v>
      </c>
      <c r="J954" s="9" t="str">
        <f>IF(AND(Tabela1[[#This Row],[Data nascimento]]&gt;=$P$2,Tabela1[[#This Row],[Data nascimento]]&lt;=$O$2),"JUVENIL","JÚNIOR")</f>
        <v>JUVENIL</v>
      </c>
    </row>
    <row r="955" spans="1:10" ht="15" x14ac:dyDescent="0.4">
      <c r="A955" s="13" t="s">
        <v>4442</v>
      </c>
      <c r="B955" s="2" t="s">
        <v>4443</v>
      </c>
      <c r="C955" s="4" t="s">
        <v>8</v>
      </c>
      <c r="D955" s="11">
        <v>39329</v>
      </c>
      <c r="E955" s="7" t="s">
        <v>4444</v>
      </c>
      <c r="F955" s="4" t="s">
        <v>4764</v>
      </c>
      <c r="G955" s="12" t="str">
        <f>IF(AND(Tabela1[[#This Row],[Data nascimento]]&gt;=$J$2,Tabela1[[#This Row],[Data nascimento]]&lt;=$I$2),"INFANTIL A",H955)</f>
        <v>JÚNIOR</v>
      </c>
      <c r="H955" s="3" t="str">
        <f>IF(AND(Tabela1[[#This Row],[Data nascimento]]&gt;=$L$2,Tabela1[[#This Row],[Data nascimento]]&lt;=$K$2),"INFANTIL B",I955)</f>
        <v>JÚNIOR</v>
      </c>
      <c r="I955" s="9" t="str">
        <f>IF(AND(Tabela1[[#This Row],[Data nascimento]]&gt;=$N$2,Tabela1[[#This Row],[Data nascimento]]&lt;=$M$2),"INICIADO",J955)</f>
        <v>JÚNIOR</v>
      </c>
      <c r="J955" s="9" t="str">
        <f>IF(AND(Tabela1[[#This Row],[Data nascimento]]&gt;=$P$2,Tabela1[[#This Row],[Data nascimento]]&lt;=$O$2),"JUVENIL","JÚNIOR")</f>
        <v>JÚNIOR</v>
      </c>
    </row>
    <row r="956" spans="1:10" ht="15" x14ac:dyDescent="0.4">
      <c r="A956" s="13" t="s">
        <v>4634</v>
      </c>
      <c r="B956" s="2" t="s">
        <v>4635</v>
      </c>
      <c r="C956" s="4" t="s">
        <v>21</v>
      </c>
      <c r="D956" s="11">
        <v>39428</v>
      </c>
      <c r="E956" s="7" t="s">
        <v>4636</v>
      </c>
      <c r="F956" s="4" t="s">
        <v>4764</v>
      </c>
      <c r="G956" s="12" t="str">
        <f>IF(AND(Tabela1[[#This Row],[Data nascimento]]&gt;=$J$2,Tabela1[[#This Row],[Data nascimento]]&lt;=$I$2),"INFANTIL A",H956)</f>
        <v>JÚNIOR</v>
      </c>
      <c r="H956" s="3" t="str">
        <f>IF(AND(Tabela1[[#This Row],[Data nascimento]]&gt;=$L$2,Tabela1[[#This Row],[Data nascimento]]&lt;=$K$2),"INFANTIL B",I956)</f>
        <v>JÚNIOR</v>
      </c>
      <c r="I956" s="9" t="str">
        <f>IF(AND(Tabela1[[#This Row],[Data nascimento]]&gt;=$N$2,Tabela1[[#This Row],[Data nascimento]]&lt;=$M$2),"INICIADO",J956)</f>
        <v>JÚNIOR</v>
      </c>
      <c r="J956" s="9" t="str">
        <f>IF(AND(Tabela1[[#This Row],[Data nascimento]]&gt;=$P$2,Tabela1[[#This Row],[Data nascimento]]&lt;=$O$2),"JUVENIL","JÚNIOR")</f>
        <v>JÚNIOR</v>
      </c>
    </row>
    <row r="957" spans="1:10" ht="15" x14ac:dyDescent="0.4">
      <c r="A957" s="13" t="s">
        <v>4637</v>
      </c>
      <c r="B957" s="2" t="s">
        <v>4638</v>
      </c>
      <c r="C957" s="4" t="s">
        <v>8</v>
      </c>
      <c r="D957" s="11">
        <v>39722</v>
      </c>
      <c r="E957" s="7" t="s">
        <v>4639</v>
      </c>
      <c r="F957" s="4" t="s">
        <v>4764</v>
      </c>
      <c r="G957" s="12" t="str">
        <f>IF(AND(Tabela1[[#This Row],[Data nascimento]]&gt;=$J$2,Tabela1[[#This Row],[Data nascimento]]&lt;=$I$2),"INFANTIL A",H957)</f>
        <v>JUVENIL</v>
      </c>
      <c r="H957" s="3" t="str">
        <f>IF(AND(Tabela1[[#This Row],[Data nascimento]]&gt;=$L$2,Tabela1[[#This Row],[Data nascimento]]&lt;=$K$2),"INFANTIL B",I957)</f>
        <v>JUVENIL</v>
      </c>
      <c r="I957" s="9" t="str">
        <f>IF(AND(Tabela1[[#This Row],[Data nascimento]]&gt;=$N$2,Tabela1[[#This Row],[Data nascimento]]&lt;=$M$2),"INICIADO",J957)</f>
        <v>JUVENIL</v>
      </c>
      <c r="J957" s="9" t="str">
        <f>IF(AND(Tabela1[[#This Row],[Data nascimento]]&gt;=$P$2,Tabela1[[#This Row],[Data nascimento]]&lt;=$O$2),"JUVENIL","JÚNIOR")</f>
        <v>JUVENIL</v>
      </c>
    </row>
    <row r="958" spans="1:10" ht="15" x14ac:dyDescent="0.4">
      <c r="A958" s="13" t="s">
        <v>4658</v>
      </c>
      <c r="B958" s="2" t="s">
        <v>4659</v>
      </c>
      <c r="C958" s="4" t="s">
        <v>21</v>
      </c>
      <c r="D958" s="11">
        <v>39687</v>
      </c>
      <c r="E958" s="7" t="s">
        <v>4660</v>
      </c>
      <c r="F958" s="4" t="s">
        <v>4761</v>
      </c>
      <c r="G958" s="12" t="str">
        <f>IF(AND(Tabela1[[#This Row],[Data nascimento]]&gt;=$J$2,Tabela1[[#This Row],[Data nascimento]]&lt;=$I$2),"INFANTIL A",H958)</f>
        <v>JUVENIL</v>
      </c>
      <c r="H958" s="3" t="str">
        <f>IF(AND(Tabela1[[#This Row],[Data nascimento]]&gt;=$L$2,Tabela1[[#This Row],[Data nascimento]]&lt;=$K$2),"INFANTIL B",I958)</f>
        <v>JUVENIL</v>
      </c>
      <c r="I958" s="9" t="str">
        <f>IF(AND(Tabela1[[#This Row],[Data nascimento]]&gt;=$N$2,Tabela1[[#This Row],[Data nascimento]]&lt;=$M$2),"INICIADO",J958)</f>
        <v>JUVENIL</v>
      </c>
      <c r="J958" s="9" t="str">
        <f>IF(AND(Tabela1[[#This Row],[Data nascimento]]&gt;=$P$2,Tabela1[[#This Row],[Data nascimento]]&lt;=$O$2),"JUVENIL","JÚNIOR")</f>
        <v>JUVENIL</v>
      </c>
    </row>
    <row r="959" spans="1:10" ht="15" x14ac:dyDescent="0.4">
      <c r="A959" s="13" t="s">
        <v>4661</v>
      </c>
      <c r="B959" s="2" t="s">
        <v>4662</v>
      </c>
      <c r="C959" s="4" t="s">
        <v>21</v>
      </c>
      <c r="D959" s="11">
        <v>39179</v>
      </c>
      <c r="E959" s="7" t="s">
        <v>4663</v>
      </c>
      <c r="F959" s="4" t="s">
        <v>4762</v>
      </c>
      <c r="G959" s="12" t="str">
        <f>IF(AND(Tabela1[[#This Row],[Data nascimento]]&gt;=$J$2,Tabela1[[#This Row],[Data nascimento]]&lt;=$I$2),"INFANTIL A",H959)</f>
        <v>JÚNIOR</v>
      </c>
      <c r="H959" s="3" t="str">
        <f>IF(AND(Tabela1[[#This Row],[Data nascimento]]&gt;=$L$2,Tabela1[[#This Row],[Data nascimento]]&lt;=$K$2),"INFANTIL B",I959)</f>
        <v>JÚNIOR</v>
      </c>
      <c r="I959" s="9" t="str">
        <f>IF(AND(Tabela1[[#This Row],[Data nascimento]]&gt;=$N$2,Tabela1[[#This Row],[Data nascimento]]&lt;=$M$2),"INICIADO",J959)</f>
        <v>JÚNIOR</v>
      </c>
      <c r="J959" s="9" t="str">
        <f>IF(AND(Tabela1[[#This Row],[Data nascimento]]&gt;=$P$2,Tabela1[[#This Row],[Data nascimento]]&lt;=$O$2),"JUVENIL","JÚNIOR")</f>
        <v>JÚNIOR</v>
      </c>
    </row>
    <row r="960" spans="1:10" ht="15" x14ac:dyDescent="0.4">
      <c r="A960" s="13" t="s">
        <v>4676</v>
      </c>
      <c r="B960" s="2" t="s">
        <v>4677</v>
      </c>
      <c r="C960" s="4" t="s">
        <v>21</v>
      </c>
      <c r="D960" s="11">
        <v>39135</v>
      </c>
      <c r="E960" s="7" t="s">
        <v>4678</v>
      </c>
      <c r="F960" s="4" t="s">
        <v>4757</v>
      </c>
      <c r="G960" s="12" t="str">
        <f>IF(AND(Tabela1[[#This Row],[Data nascimento]]&gt;=$J$2,Tabela1[[#This Row],[Data nascimento]]&lt;=$I$2),"INFANTIL A",H960)</f>
        <v>JÚNIOR</v>
      </c>
      <c r="H960" s="3" t="str">
        <f>IF(AND(Tabela1[[#This Row],[Data nascimento]]&gt;=$L$2,Tabela1[[#This Row],[Data nascimento]]&lt;=$K$2),"INFANTIL B",I960)</f>
        <v>JÚNIOR</v>
      </c>
      <c r="I960" s="9" t="str">
        <f>IF(AND(Tabela1[[#This Row],[Data nascimento]]&gt;=$N$2,Tabela1[[#This Row],[Data nascimento]]&lt;=$M$2),"INICIADO",J960)</f>
        <v>JÚNIOR</v>
      </c>
      <c r="J960" s="9" t="str">
        <f>IF(AND(Tabela1[[#This Row],[Data nascimento]]&gt;=$P$2,Tabela1[[#This Row],[Data nascimento]]&lt;=$O$2),"JUVENIL","JÚNIOR")</f>
        <v>JÚNIOR</v>
      </c>
    </row>
    <row r="961" spans="1:10" ht="15" x14ac:dyDescent="0.4">
      <c r="A961" s="13" t="s">
        <v>3674</v>
      </c>
      <c r="B961" s="2" t="s">
        <v>3675</v>
      </c>
      <c r="C961" s="4" t="s">
        <v>21</v>
      </c>
      <c r="D961" s="11">
        <v>39609</v>
      </c>
      <c r="E961" s="7" t="s">
        <v>3676</v>
      </c>
      <c r="F961" s="4" t="s">
        <v>4763</v>
      </c>
      <c r="G961" s="12" t="str">
        <f>IF(AND(Tabela1[[#This Row],[Data nascimento]]&gt;=$J$2,Tabela1[[#This Row],[Data nascimento]]&lt;=$I$2),"INFANTIL A",H961)</f>
        <v>JUVENIL</v>
      </c>
      <c r="H961" s="3" t="str">
        <f>IF(AND(Tabela1[[#This Row],[Data nascimento]]&gt;=$L$2,Tabela1[[#This Row],[Data nascimento]]&lt;=$K$2),"INFANTIL B",I961)</f>
        <v>JUVENIL</v>
      </c>
      <c r="I961" s="9" t="str">
        <f>IF(AND(Tabela1[[#This Row],[Data nascimento]]&gt;=$N$2,Tabela1[[#This Row],[Data nascimento]]&lt;=$M$2),"INICIADO",J961)</f>
        <v>JUVENIL</v>
      </c>
      <c r="J961" s="9" t="str">
        <f>IF(AND(Tabela1[[#This Row],[Data nascimento]]&gt;=$P$2,Tabela1[[#This Row],[Data nascimento]]&lt;=$O$2),"JUVENIL","JÚNIOR")</f>
        <v>JUVENIL</v>
      </c>
    </row>
    <row r="962" spans="1:10" ht="15" x14ac:dyDescent="0.4">
      <c r="A962" s="13" t="s">
        <v>3713</v>
      </c>
      <c r="B962" s="2" t="s">
        <v>3714</v>
      </c>
      <c r="C962" s="4" t="s">
        <v>21</v>
      </c>
      <c r="D962" s="11">
        <v>39563</v>
      </c>
      <c r="E962" s="7" t="s">
        <v>3715</v>
      </c>
      <c r="F962" s="4" t="s">
        <v>4763</v>
      </c>
      <c r="G962" s="12" t="str">
        <f>IF(AND(Tabela1[[#This Row],[Data nascimento]]&gt;=$J$2,Tabela1[[#This Row],[Data nascimento]]&lt;=$I$2),"INFANTIL A",H962)</f>
        <v>JUVENIL</v>
      </c>
      <c r="H962" s="3" t="str">
        <f>IF(AND(Tabela1[[#This Row],[Data nascimento]]&gt;=$L$2,Tabela1[[#This Row],[Data nascimento]]&lt;=$K$2),"INFANTIL B",I962)</f>
        <v>JUVENIL</v>
      </c>
      <c r="I962" s="9" t="str">
        <f>IF(AND(Tabela1[[#This Row],[Data nascimento]]&gt;=$N$2,Tabela1[[#This Row],[Data nascimento]]&lt;=$M$2),"INICIADO",J962)</f>
        <v>JUVENIL</v>
      </c>
      <c r="J962" s="9" t="str">
        <f>IF(AND(Tabela1[[#This Row],[Data nascimento]]&gt;=$P$2,Tabela1[[#This Row],[Data nascimento]]&lt;=$O$2),"JUVENIL","JÚNIOR")</f>
        <v>JUVENIL</v>
      </c>
    </row>
    <row r="963" spans="1:10" ht="15" x14ac:dyDescent="0.4">
      <c r="A963" s="13" t="s">
        <v>3497</v>
      </c>
      <c r="B963" s="2" t="s">
        <v>3498</v>
      </c>
      <c r="C963" s="4" t="s">
        <v>8</v>
      </c>
      <c r="D963" s="11">
        <v>39783</v>
      </c>
      <c r="E963" s="7" t="s">
        <v>3499</v>
      </c>
      <c r="F963" s="4" t="s">
        <v>4758</v>
      </c>
      <c r="G963" s="12" t="str">
        <f>IF(AND(Tabela1[[#This Row],[Data nascimento]]&gt;=$J$2,Tabela1[[#This Row],[Data nascimento]]&lt;=$I$2),"INFANTIL A",H963)</f>
        <v>JUVENIL</v>
      </c>
      <c r="H963" s="3" t="str">
        <f>IF(AND(Tabela1[[#This Row],[Data nascimento]]&gt;=$L$2,Tabela1[[#This Row],[Data nascimento]]&lt;=$K$2),"INFANTIL B",I963)</f>
        <v>JUVENIL</v>
      </c>
      <c r="I963" s="9" t="str">
        <f>IF(AND(Tabela1[[#This Row],[Data nascimento]]&gt;=$N$2,Tabela1[[#This Row],[Data nascimento]]&lt;=$M$2),"INICIADO",J963)</f>
        <v>JUVENIL</v>
      </c>
      <c r="J963" s="9" t="str">
        <f>IF(AND(Tabela1[[#This Row],[Data nascimento]]&gt;=$P$2,Tabela1[[#This Row],[Data nascimento]]&lt;=$O$2),"JUVENIL","JÚNIOR")</f>
        <v>JUVENIL</v>
      </c>
    </row>
    <row r="964" spans="1:10" ht="15" x14ac:dyDescent="0.4">
      <c r="A964" s="13" t="s">
        <v>3494</v>
      </c>
      <c r="B964" s="2" t="s">
        <v>3495</v>
      </c>
      <c r="C964" s="4" t="s">
        <v>8</v>
      </c>
      <c r="D964" s="11">
        <v>39449</v>
      </c>
      <c r="E964" s="7" t="s">
        <v>3496</v>
      </c>
      <c r="F964" s="4" t="s">
        <v>4758</v>
      </c>
      <c r="G964" s="12" t="str">
        <f>IF(AND(Tabela1[[#This Row],[Data nascimento]]&gt;=$J$2,Tabela1[[#This Row],[Data nascimento]]&lt;=$I$2),"INFANTIL A",H964)</f>
        <v>JUVENIL</v>
      </c>
      <c r="H964" s="3" t="str">
        <f>IF(AND(Tabela1[[#This Row],[Data nascimento]]&gt;=$L$2,Tabela1[[#This Row],[Data nascimento]]&lt;=$K$2),"INFANTIL B",I964)</f>
        <v>JUVENIL</v>
      </c>
      <c r="I964" s="9" t="str">
        <f>IF(AND(Tabela1[[#This Row],[Data nascimento]]&gt;=$N$2,Tabela1[[#This Row],[Data nascimento]]&lt;=$M$2),"INICIADO",J964)</f>
        <v>JUVENIL</v>
      </c>
      <c r="J964" s="9" t="str">
        <f>IF(AND(Tabela1[[#This Row],[Data nascimento]]&gt;=$P$2,Tabela1[[#This Row],[Data nascimento]]&lt;=$O$2),"JUVENIL","JÚNIOR")</f>
        <v>JUVENIL</v>
      </c>
    </row>
    <row r="965" spans="1:10" ht="15" x14ac:dyDescent="0.4">
      <c r="A965" s="13" t="s">
        <v>4706</v>
      </c>
      <c r="B965" s="2" t="s">
        <v>4707</v>
      </c>
      <c r="C965" s="4" t="s">
        <v>8</v>
      </c>
      <c r="D965" s="11">
        <v>39265</v>
      </c>
      <c r="E965" s="7" t="s">
        <v>4708</v>
      </c>
      <c r="F965" s="4" t="s">
        <v>4758</v>
      </c>
      <c r="G965" s="12" t="str">
        <f>IF(AND(Tabela1[[#This Row],[Data nascimento]]&gt;=$J$2,Tabela1[[#This Row],[Data nascimento]]&lt;=$I$2),"INFANTIL A",H965)</f>
        <v>JÚNIOR</v>
      </c>
      <c r="H965" s="3" t="str">
        <f>IF(AND(Tabela1[[#This Row],[Data nascimento]]&gt;=$L$2,Tabela1[[#This Row],[Data nascimento]]&lt;=$K$2),"INFANTIL B",I965)</f>
        <v>JÚNIOR</v>
      </c>
      <c r="I965" s="9" t="str">
        <f>IF(AND(Tabela1[[#This Row],[Data nascimento]]&gt;=$N$2,Tabela1[[#This Row],[Data nascimento]]&lt;=$M$2),"INICIADO",J965)</f>
        <v>JÚNIOR</v>
      </c>
      <c r="J965" s="9" t="str">
        <f>IF(AND(Tabela1[[#This Row],[Data nascimento]]&gt;=$P$2,Tabela1[[#This Row],[Data nascimento]]&lt;=$O$2),"JUVENIL","JÚNIOR")</f>
        <v>JÚNIOR</v>
      </c>
    </row>
    <row r="966" spans="1:10" ht="15" x14ac:dyDescent="0.4">
      <c r="A966" s="13" t="s">
        <v>659</v>
      </c>
      <c r="B966" s="2" t="s">
        <v>660</v>
      </c>
      <c r="C966" s="4" t="s">
        <v>8</v>
      </c>
      <c r="D966" s="11">
        <v>39433</v>
      </c>
      <c r="E966" s="7" t="s">
        <v>661</v>
      </c>
      <c r="F966" s="4" t="s">
        <v>4765</v>
      </c>
      <c r="G966" s="12" t="str">
        <f>IF(AND(Tabela1[[#This Row],[Data nascimento]]&gt;=$J$2,Tabela1[[#This Row],[Data nascimento]]&lt;=$I$2),"INFANTIL A",H966)</f>
        <v>JÚNIOR</v>
      </c>
      <c r="H966" s="3" t="str">
        <f>IF(AND(Tabela1[[#This Row],[Data nascimento]]&gt;=$L$2,Tabela1[[#This Row],[Data nascimento]]&lt;=$K$2),"INFANTIL B",I966)</f>
        <v>JÚNIOR</v>
      </c>
      <c r="I966" s="9" t="str">
        <f>IF(AND(Tabela1[[#This Row],[Data nascimento]]&gt;=$N$2,Tabela1[[#This Row],[Data nascimento]]&lt;=$M$2),"INICIADO",J966)</f>
        <v>JÚNIOR</v>
      </c>
      <c r="J966" s="9" t="str">
        <f>IF(AND(Tabela1[[#This Row],[Data nascimento]]&gt;=$P$2,Tabela1[[#This Row],[Data nascimento]]&lt;=$O$2),"JUVENIL","JÚNIOR")</f>
        <v>JÚNIOR</v>
      </c>
    </row>
    <row r="967" spans="1:10" ht="15" x14ac:dyDescent="0.4">
      <c r="A967" s="13" t="s">
        <v>662</v>
      </c>
      <c r="B967" s="2" t="s">
        <v>663</v>
      </c>
      <c r="C967" s="4" t="s">
        <v>8</v>
      </c>
      <c r="D967" s="11">
        <v>39553</v>
      </c>
      <c r="E967" s="7" t="s">
        <v>664</v>
      </c>
      <c r="F967" s="4" t="s">
        <v>4765</v>
      </c>
      <c r="G967" s="12" t="str">
        <f>IF(AND(Tabela1[[#This Row],[Data nascimento]]&gt;=$J$2,Tabela1[[#This Row],[Data nascimento]]&lt;=$I$2),"INFANTIL A",H967)</f>
        <v>JUVENIL</v>
      </c>
      <c r="H967" s="3" t="str">
        <f>IF(AND(Tabela1[[#This Row],[Data nascimento]]&gt;=$L$2,Tabela1[[#This Row],[Data nascimento]]&lt;=$K$2),"INFANTIL B",I967)</f>
        <v>JUVENIL</v>
      </c>
      <c r="I967" s="9" t="str">
        <f>IF(AND(Tabela1[[#This Row],[Data nascimento]]&gt;=$N$2,Tabela1[[#This Row],[Data nascimento]]&lt;=$M$2),"INICIADO",J967)</f>
        <v>JUVENIL</v>
      </c>
      <c r="J967" s="9" t="str">
        <f>IF(AND(Tabela1[[#This Row],[Data nascimento]]&gt;=$P$2,Tabela1[[#This Row],[Data nascimento]]&lt;=$O$2),"JUVENIL","JÚNIOR")</f>
        <v>JUVENIL</v>
      </c>
    </row>
    <row r="968" spans="1:10" ht="15" x14ac:dyDescent="0.4">
      <c r="A968" s="13" t="s">
        <v>665</v>
      </c>
      <c r="B968" s="2" t="s">
        <v>666</v>
      </c>
      <c r="C968" s="4" t="s">
        <v>8</v>
      </c>
      <c r="D968" s="11">
        <v>39691</v>
      </c>
      <c r="E968" s="7" t="s">
        <v>667</v>
      </c>
      <c r="F968" s="4" t="s">
        <v>4765</v>
      </c>
      <c r="G968" s="12" t="str">
        <f>IF(AND(Tabela1[[#This Row],[Data nascimento]]&gt;=$J$2,Tabela1[[#This Row],[Data nascimento]]&lt;=$I$2),"INFANTIL A",H968)</f>
        <v>JUVENIL</v>
      </c>
      <c r="H968" s="3" t="str">
        <f>IF(AND(Tabela1[[#This Row],[Data nascimento]]&gt;=$L$2,Tabela1[[#This Row],[Data nascimento]]&lt;=$K$2),"INFANTIL B",I968)</f>
        <v>JUVENIL</v>
      </c>
      <c r="I968" s="9" t="str">
        <f>IF(AND(Tabela1[[#This Row],[Data nascimento]]&gt;=$N$2,Tabela1[[#This Row],[Data nascimento]]&lt;=$M$2),"INICIADO",J968)</f>
        <v>JUVENIL</v>
      </c>
      <c r="J968" s="9" t="str">
        <f>IF(AND(Tabela1[[#This Row],[Data nascimento]]&gt;=$P$2,Tabela1[[#This Row],[Data nascimento]]&lt;=$O$2),"JUVENIL","JÚNIOR")</f>
        <v>JUVENIL</v>
      </c>
    </row>
    <row r="969" spans="1:10" ht="15" x14ac:dyDescent="0.4">
      <c r="A969" s="13" t="s">
        <v>668</v>
      </c>
      <c r="B969" s="2" t="s">
        <v>669</v>
      </c>
      <c r="C969" s="4" t="s">
        <v>21</v>
      </c>
      <c r="D969" s="11">
        <v>39749</v>
      </c>
      <c r="E969" s="7" t="s">
        <v>670</v>
      </c>
      <c r="F969" s="4" t="s">
        <v>4765</v>
      </c>
      <c r="G969" s="12" t="str">
        <f>IF(AND(Tabela1[[#This Row],[Data nascimento]]&gt;=$J$2,Tabela1[[#This Row],[Data nascimento]]&lt;=$I$2),"INFANTIL A",H969)</f>
        <v>JUVENIL</v>
      </c>
      <c r="H969" s="3" t="str">
        <f>IF(AND(Tabela1[[#This Row],[Data nascimento]]&gt;=$L$2,Tabela1[[#This Row],[Data nascimento]]&lt;=$K$2),"INFANTIL B",I969)</f>
        <v>JUVENIL</v>
      </c>
      <c r="I969" s="9" t="str">
        <f>IF(AND(Tabela1[[#This Row],[Data nascimento]]&gt;=$N$2,Tabela1[[#This Row],[Data nascimento]]&lt;=$M$2),"INICIADO",J969)</f>
        <v>JUVENIL</v>
      </c>
      <c r="J969" s="9" t="str">
        <f>IF(AND(Tabela1[[#This Row],[Data nascimento]]&gt;=$P$2,Tabela1[[#This Row],[Data nascimento]]&lt;=$O$2),"JUVENIL","JÚNIOR")</f>
        <v>JUVENIL</v>
      </c>
    </row>
    <row r="970" spans="1:10" ht="15" x14ac:dyDescent="0.4">
      <c r="A970" s="13" t="s">
        <v>671</v>
      </c>
      <c r="B970" s="2" t="s">
        <v>672</v>
      </c>
      <c r="C970" s="4" t="s">
        <v>21</v>
      </c>
      <c r="D970" s="11">
        <v>39709</v>
      </c>
      <c r="E970" s="7" t="s">
        <v>673</v>
      </c>
      <c r="F970" s="4" t="s">
        <v>4765</v>
      </c>
      <c r="G970" s="12" t="str">
        <f>IF(AND(Tabela1[[#This Row],[Data nascimento]]&gt;=$J$2,Tabela1[[#This Row],[Data nascimento]]&lt;=$I$2),"INFANTIL A",H970)</f>
        <v>JUVENIL</v>
      </c>
      <c r="H970" s="3" t="str">
        <f>IF(AND(Tabela1[[#This Row],[Data nascimento]]&gt;=$L$2,Tabela1[[#This Row],[Data nascimento]]&lt;=$K$2),"INFANTIL B",I970)</f>
        <v>JUVENIL</v>
      </c>
      <c r="I970" s="9" t="str">
        <f>IF(AND(Tabela1[[#This Row],[Data nascimento]]&gt;=$N$2,Tabela1[[#This Row],[Data nascimento]]&lt;=$M$2),"INICIADO",J970)</f>
        <v>JUVENIL</v>
      </c>
      <c r="J970" s="9" t="str">
        <f>IF(AND(Tabela1[[#This Row],[Data nascimento]]&gt;=$P$2,Tabela1[[#This Row],[Data nascimento]]&lt;=$O$2),"JUVENIL","JÚNIOR")</f>
        <v>JUVENIL</v>
      </c>
    </row>
    <row r="971" spans="1:10" ht="15" x14ac:dyDescent="0.4">
      <c r="A971" s="13" t="s">
        <v>674</v>
      </c>
      <c r="B971" s="2" t="s">
        <v>675</v>
      </c>
      <c r="C971" s="4" t="s">
        <v>8</v>
      </c>
      <c r="D971" s="11">
        <v>39062</v>
      </c>
      <c r="E971" s="7" t="s">
        <v>676</v>
      </c>
      <c r="F971" s="4" t="s">
        <v>4765</v>
      </c>
      <c r="G971" s="12" t="str">
        <f>IF(AND(Tabela1[[#This Row],[Data nascimento]]&gt;=$J$2,Tabela1[[#This Row],[Data nascimento]]&lt;=$I$2),"INFANTIL A",H971)</f>
        <v>JÚNIOR</v>
      </c>
      <c r="H971" s="3" t="str">
        <f>IF(AND(Tabela1[[#This Row],[Data nascimento]]&gt;=$L$2,Tabela1[[#This Row],[Data nascimento]]&lt;=$K$2),"INFANTIL B",I971)</f>
        <v>JÚNIOR</v>
      </c>
      <c r="I971" s="9" t="str">
        <f>IF(AND(Tabela1[[#This Row],[Data nascimento]]&gt;=$N$2,Tabela1[[#This Row],[Data nascimento]]&lt;=$M$2),"INICIADO",J971)</f>
        <v>JÚNIOR</v>
      </c>
      <c r="J971" s="9" t="str">
        <f>IF(AND(Tabela1[[#This Row],[Data nascimento]]&gt;=$P$2,Tabela1[[#This Row],[Data nascimento]]&lt;=$O$2),"JUVENIL","JÚNIOR")</f>
        <v>JÚNIOR</v>
      </c>
    </row>
    <row r="972" spans="1:10" ht="15" x14ac:dyDescent="0.4">
      <c r="A972" s="13" t="s">
        <v>677</v>
      </c>
      <c r="B972" s="2" t="s">
        <v>678</v>
      </c>
      <c r="C972" s="4" t="s">
        <v>21</v>
      </c>
      <c r="D972" s="11">
        <v>39143</v>
      </c>
      <c r="E972" s="7" t="s">
        <v>679</v>
      </c>
      <c r="F972" s="4" t="s">
        <v>4765</v>
      </c>
      <c r="G972" s="12" t="str">
        <f>IF(AND(Tabela1[[#This Row],[Data nascimento]]&gt;=$J$2,Tabela1[[#This Row],[Data nascimento]]&lt;=$I$2),"INFANTIL A",H972)</f>
        <v>JÚNIOR</v>
      </c>
      <c r="H972" s="3" t="str">
        <f>IF(AND(Tabela1[[#This Row],[Data nascimento]]&gt;=$L$2,Tabela1[[#This Row],[Data nascimento]]&lt;=$K$2),"INFANTIL B",I972)</f>
        <v>JÚNIOR</v>
      </c>
      <c r="I972" s="9" t="str">
        <f>IF(AND(Tabela1[[#This Row],[Data nascimento]]&gt;=$N$2,Tabela1[[#This Row],[Data nascimento]]&lt;=$M$2),"INICIADO",J972)</f>
        <v>JÚNIOR</v>
      </c>
      <c r="J972" s="9" t="str">
        <f>IF(AND(Tabela1[[#This Row],[Data nascimento]]&gt;=$P$2,Tabela1[[#This Row],[Data nascimento]]&lt;=$O$2),"JUVENIL","JÚNIOR")</f>
        <v>JÚNIOR</v>
      </c>
    </row>
    <row r="973" spans="1:10" ht="15" x14ac:dyDescent="0.4">
      <c r="A973" s="13" t="s">
        <v>680</v>
      </c>
      <c r="B973" s="2" t="s">
        <v>681</v>
      </c>
      <c r="C973" s="4" t="s">
        <v>21</v>
      </c>
      <c r="D973" s="11">
        <v>39806</v>
      </c>
      <c r="E973" s="7" t="s">
        <v>682</v>
      </c>
      <c r="F973" s="4" t="s">
        <v>4766</v>
      </c>
      <c r="G973" s="12" t="str">
        <f>IF(AND(Tabela1[[#This Row],[Data nascimento]]&gt;=$J$2,Tabela1[[#This Row],[Data nascimento]]&lt;=$I$2),"INFANTIL A",H973)</f>
        <v>JUVENIL</v>
      </c>
      <c r="H973" s="3" t="str">
        <f>IF(AND(Tabela1[[#This Row],[Data nascimento]]&gt;=$L$2,Tabela1[[#This Row],[Data nascimento]]&lt;=$K$2),"INFANTIL B",I973)</f>
        <v>JUVENIL</v>
      </c>
      <c r="I973" s="9" t="str">
        <f>IF(AND(Tabela1[[#This Row],[Data nascimento]]&gt;=$N$2,Tabela1[[#This Row],[Data nascimento]]&lt;=$M$2),"INICIADO",J973)</f>
        <v>JUVENIL</v>
      </c>
      <c r="J973" s="9" t="str">
        <f>IF(AND(Tabela1[[#This Row],[Data nascimento]]&gt;=$P$2,Tabela1[[#This Row],[Data nascimento]]&lt;=$O$2),"JUVENIL","JÚNIOR")</f>
        <v>JUVENIL</v>
      </c>
    </row>
    <row r="974" spans="1:10" ht="15" x14ac:dyDescent="0.4">
      <c r="A974" s="13" t="s">
        <v>683</v>
      </c>
      <c r="B974" s="2" t="s">
        <v>684</v>
      </c>
      <c r="C974" s="4" t="s">
        <v>8</v>
      </c>
      <c r="D974" s="11">
        <v>39440</v>
      </c>
      <c r="E974" s="7" t="s">
        <v>685</v>
      </c>
      <c r="F974" s="4" t="s">
        <v>4766</v>
      </c>
      <c r="G974" s="12" t="str">
        <f>IF(AND(Tabela1[[#This Row],[Data nascimento]]&gt;=$J$2,Tabela1[[#This Row],[Data nascimento]]&lt;=$I$2),"INFANTIL A",H974)</f>
        <v>JÚNIOR</v>
      </c>
      <c r="H974" s="3" t="str">
        <f>IF(AND(Tabela1[[#This Row],[Data nascimento]]&gt;=$L$2,Tabela1[[#This Row],[Data nascimento]]&lt;=$K$2),"INFANTIL B",I974)</f>
        <v>JÚNIOR</v>
      </c>
      <c r="I974" s="9" t="str">
        <f>IF(AND(Tabela1[[#This Row],[Data nascimento]]&gt;=$N$2,Tabela1[[#This Row],[Data nascimento]]&lt;=$M$2),"INICIADO",J974)</f>
        <v>JÚNIOR</v>
      </c>
      <c r="J974" s="9" t="str">
        <f>IF(AND(Tabela1[[#This Row],[Data nascimento]]&gt;=$P$2,Tabela1[[#This Row],[Data nascimento]]&lt;=$O$2),"JUVENIL","JÚNIOR")</f>
        <v>JÚNIOR</v>
      </c>
    </row>
    <row r="975" spans="1:10" ht="15" x14ac:dyDescent="0.4">
      <c r="A975" s="13" t="s">
        <v>686</v>
      </c>
      <c r="B975" s="2" t="s">
        <v>687</v>
      </c>
      <c r="C975" s="4" t="s">
        <v>21</v>
      </c>
      <c r="D975" s="11">
        <v>39735</v>
      </c>
      <c r="E975" s="7" t="s">
        <v>688</v>
      </c>
      <c r="F975" s="4" t="s">
        <v>4766</v>
      </c>
      <c r="G975" s="12" t="str">
        <f>IF(AND(Tabela1[[#This Row],[Data nascimento]]&gt;=$J$2,Tabela1[[#This Row],[Data nascimento]]&lt;=$I$2),"INFANTIL A",H975)</f>
        <v>JUVENIL</v>
      </c>
      <c r="H975" s="3" t="str">
        <f>IF(AND(Tabela1[[#This Row],[Data nascimento]]&gt;=$L$2,Tabela1[[#This Row],[Data nascimento]]&lt;=$K$2),"INFANTIL B",I975)</f>
        <v>JUVENIL</v>
      </c>
      <c r="I975" s="9" t="str">
        <f>IF(AND(Tabela1[[#This Row],[Data nascimento]]&gt;=$N$2,Tabela1[[#This Row],[Data nascimento]]&lt;=$M$2),"INICIADO",J975)</f>
        <v>JUVENIL</v>
      </c>
      <c r="J975" s="9" t="str">
        <f>IF(AND(Tabela1[[#This Row],[Data nascimento]]&gt;=$P$2,Tabela1[[#This Row],[Data nascimento]]&lt;=$O$2),"JUVENIL","JÚNIOR")</f>
        <v>JUVENIL</v>
      </c>
    </row>
    <row r="976" spans="1:10" ht="15" x14ac:dyDescent="0.4">
      <c r="A976" s="13" t="s">
        <v>689</v>
      </c>
      <c r="B976" s="2" t="s">
        <v>690</v>
      </c>
      <c r="C976" s="4" t="s">
        <v>8</v>
      </c>
      <c r="D976" s="11">
        <v>39586</v>
      </c>
      <c r="E976" s="7" t="s">
        <v>691</v>
      </c>
      <c r="F976" s="4" t="s">
        <v>4766</v>
      </c>
      <c r="G976" s="12" t="str">
        <f>IF(AND(Tabela1[[#This Row],[Data nascimento]]&gt;=$J$2,Tabela1[[#This Row],[Data nascimento]]&lt;=$I$2),"INFANTIL A",H976)</f>
        <v>JUVENIL</v>
      </c>
      <c r="H976" s="3" t="str">
        <f>IF(AND(Tabela1[[#This Row],[Data nascimento]]&gt;=$L$2,Tabela1[[#This Row],[Data nascimento]]&lt;=$K$2),"INFANTIL B",I976)</f>
        <v>JUVENIL</v>
      </c>
      <c r="I976" s="9" t="str">
        <f>IF(AND(Tabela1[[#This Row],[Data nascimento]]&gt;=$N$2,Tabela1[[#This Row],[Data nascimento]]&lt;=$M$2),"INICIADO",J976)</f>
        <v>JUVENIL</v>
      </c>
      <c r="J976" s="9" t="str">
        <f>IF(AND(Tabela1[[#This Row],[Data nascimento]]&gt;=$P$2,Tabela1[[#This Row],[Data nascimento]]&lt;=$O$2),"JUVENIL","JÚNIOR")</f>
        <v>JUVENIL</v>
      </c>
    </row>
    <row r="977" spans="1:10" ht="15" x14ac:dyDescent="0.4">
      <c r="A977" s="13" t="s">
        <v>692</v>
      </c>
      <c r="B977" s="2" t="s">
        <v>693</v>
      </c>
      <c r="C977" s="4" t="s">
        <v>21</v>
      </c>
      <c r="D977" s="11">
        <v>38656</v>
      </c>
      <c r="E977" s="7" t="s">
        <v>694</v>
      </c>
      <c r="F977" s="4" t="s">
        <v>4766</v>
      </c>
      <c r="G977" s="12" t="str">
        <f>IF(AND(Tabela1[[#This Row],[Data nascimento]]&gt;=$J$2,Tabela1[[#This Row],[Data nascimento]]&lt;=$I$2),"INFANTIL A",H977)</f>
        <v>JÚNIOR</v>
      </c>
      <c r="H977" s="3" t="str">
        <f>IF(AND(Tabela1[[#This Row],[Data nascimento]]&gt;=$L$2,Tabela1[[#This Row],[Data nascimento]]&lt;=$K$2),"INFANTIL B",I977)</f>
        <v>JÚNIOR</v>
      </c>
      <c r="I977" s="9" t="str">
        <f>IF(AND(Tabela1[[#This Row],[Data nascimento]]&gt;=$N$2,Tabela1[[#This Row],[Data nascimento]]&lt;=$M$2),"INICIADO",J977)</f>
        <v>JÚNIOR</v>
      </c>
      <c r="J977" s="9" t="str">
        <f>IF(AND(Tabela1[[#This Row],[Data nascimento]]&gt;=$P$2,Tabela1[[#This Row],[Data nascimento]]&lt;=$O$2),"JUVENIL","JÚNIOR")</f>
        <v>JÚNIOR</v>
      </c>
    </row>
    <row r="978" spans="1:10" ht="15" x14ac:dyDescent="0.4">
      <c r="A978" s="13" t="s">
        <v>695</v>
      </c>
      <c r="B978" s="2" t="s">
        <v>696</v>
      </c>
      <c r="C978" s="4" t="s">
        <v>21</v>
      </c>
      <c r="D978" s="11">
        <v>39299</v>
      </c>
      <c r="E978" s="7" t="s">
        <v>697</v>
      </c>
      <c r="F978" s="4" t="s">
        <v>4766</v>
      </c>
      <c r="G978" s="12" t="str">
        <f>IF(AND(Tabela1[[#This Row],[Data nascimento]]&gt;=$J$2,Tabela1[[#This Row],[Data nascimento]]&lt;=$I$2),"INFANTIL A",H978)</f>
        <v>JÚNIOR</v>
      </c>
      <c r="H978" s="3" t="str">
        <f>IF(AND(Tabela1[[#This Row],[Data nascimento]]&gt;=$L$2,Tabela1[[#This Row],[Data nascimento]]&lt;=$K$2),"INFANTIL B",I978)</f>
        <v>JÚNIOR</v>
      </c>
      <c r="I978" s="9" t="str">
        <f>IF(AND(Tabela1[[#This Row],[Data nascimento]]&gt;=$N$2,Tabela1[[#This Row],[Data nascimento]]&lt;=$M$2),"INICIADO",J978)</f>
        <v>JÚNIOR</v>
      </c>
      <c r="J978" s="9" t="str">
        <f>IF(AND(Tabela1[[#This Row],[Data nascimento]]&gt;=$P$2,Tabela1[[#This Row],[Data nascimento]]&lt;=$O$2),"JUVENIL","JÚNIOR")</f>
        <v>JÚNIOR</v>
      </c>
    </row>
    <row r="979" spans="1:10" ht="15" x14ac:dyDescent="0.4">
      <c r="A979" s="13" t="s">
        <v>698</v>
      </c>
      <c r="B979" s="2" t="s">
        <v>699</v>
      </c>
      <c r="C979" s="4" t="s">
        <v>21</v>
      </c>
      <c r="D979" s="11">
        <v>39040</v>
      </c>
      <c r="E979" s="7" t="s">
        <v>700</v>
      </c>
      <c r="F979" s="4" t="s">
        <v>4766</v>
      </c>
      <c r="G979" s="12" t="str">
        <f>IF(AND(Tabela1[[#This Row],[Data nascimento]]&gt;=$J$2,Tabela1[[#This Row],[Data nascimento]]&lt;=$I$2),"INFANTIL A",H979)</f>
        <v>JÚNIOR</v>
      </c>
      <c r="H979" s="3" t="str">
        <f>IF(AND(Tabela1[[#This Row],[Data nascimento]]&gt;=$L$2,Tabela1[[#This Row],[Data nascimento]]&lt;=$K$2),"INFANTIL B",I979)</f>
        <v>JÚNIOR</v>
      </c>
      <c r="I979" s="9" t="str">
        <f>IF(AND(Tabela1[[#This Row],[Data nascimento]]&gt;=$N$2,Tabela1[[#This Row],[Data nascimento]]&lt;=$M$2),"INICIADO",J979)</f>
        <v>JÚNIOR</v>
      </c>
      <c r="J979" s="9" t="str">
        <f>IF(AND(Tabela1[[#This Row],[Data nascimento]]&gt;=$P$2,Tabela1[[#This Row],[Data nascimento]]&lt;=$O$2),"JUVENIL","JÚNIOR")</f>
        <v>JÚNIOR</v>
      </c>
    </row>
    <row r="980" spans="1:10" ht="15" x14ac:dyDescent="0.4">
      <c r="A980" s="13" t="s">
        <v>701</v>
      </c>
      <c r="B980" s="2" t="s">
        <v>702</v>
      </c>
      <c r="C980" s="4" t="s">
        <v>21</v>
      </c>
      <c r="D980" s="11">
        <v>39717</v>
      </c>
      <c r="E980" s="7" t="s">
        <v>703</v>
      </c>
      <c r="F980" s="4" t="s">
        <v>4767</v>
      </c>
      <c r="G980" s="12" t="str">
        <f>IF(AND(Tabela1[[#This Row],[Data nascimento]]&gt;=$J$2,Tabela1[[#This Row],[Data nascimento]]&lt;=$I$2),"INFANTIL A",H980)</f>
        <v>JUVENIL</v>
      </c>
      <c r="H980" s="3" t="str">
        <f>IF(AND(Tabela1[[#This Row],[Data nascimento]]&gt;=$L$2,Tabela1[[#This Row],[Data nascimento]]&lt;=$K$2),"INFANTIL B",I980)</f>
        <v>JUVENIL</v>
      </c>
      <c r="I980" s="9" t="str">
        <f>IF(AND(Tabela1[[#This Row],[Data nascimento]]&gt;=$N$2,Tabela1[[#This Row],[Data nascimento]]&lt;=$M$2),"INICIADO",J980)</f>
        <v>JUVENIL</v>
      </c>
      <c r="J980" s="9" t="str">
        <f>IF(AND(Tabela1[[#This Row],[Data nascimento]]&gt;=$P$2,Tabela1[[#This Row],[Data nascimento]]&lt;=$O$2),"JUVENIL","JÚNIOR")</f>
        <v>JUVENIL</v>
      </c>
    </row>
    <row r="981" spans="1:10" ht="15" x14ac:dyDescent="0.4">
      <c r="A981" s="13" t="s">
        <v>704</v>
      </c>
      <c r="B981" s="2" t="s">
        <v>705</v>
      </c>
      <c r="C981" s="4" t="s">
        <v>21</v>
      </c>
      <c r="D981" s="11">
        <v>39104</v>
      </c>
      <c r="E981" s="7" t="s">
        <v>706</v>
      </c>
      <c r="F981" s="4" t="s">
        <v>4767</v>
      </c>
      <c r="G981" s="12" t="str">
        <f>IF(AND(Tabela1[[#This Row],[Data nascimento]]&gt;=$J$2,Tabela1[[#This Row],[Data nascimento]]&lt;=$I$2),"INFANTIL A",H981)</f>
        <v>JÚNIOR</v>
      </c>
      <c r="H981" s="3" t="str">
        <f>IF(AND(Tabela1[[#This Row],[Data nascimento]]&gt;=$L$2,Tabela1[[#This Row],[Data nascimento]]&lt;=$K$2),"INFANTIL B",I981)</f>
        <v>JÚNIOR</v>
      </c>
      <c r="I981" s="9" t="str">
        <f>IF(AND(Tabela1[[#This Row],[Data nascimento]]&gt;=$N$2,Tabela1[[#This Row],[Data nascimento]]&lt;=$M$2),"INICIADO",J981)</f>
        <v>JÚNIOR</v>
      </c>
      <c r="J981" s="9" t="str">
        <f>IF(AND(Tabela1[[#This Row],[Data nascimento]]&gt;=$P$2,Tabela1[[#This Row],[Data nascimento]]&lt;=$O$2),"JUVENIL","JÚNIOR")</f>
        <v>JÚNIOR</v>
      </c>
    </row>
    <row r="982" spans="1:10" ht="15" x14ac:dyDescent="0.4">
      <c r="A982" s="13" t="s">
        <v>707</v>
      </c>
      <c r="B982" s="2" t="s">
        <v>708</v>
      </c>
      <c r="C982" s="4" t="s">
        <v>21</v>
      </c>
      <c r="D982" s="11">
        <v>39771</v>
      </c>
      <c r="E982" s="7" t="s">
        <v>709</v>
      </c>
      <c r="F982" s="4" t="s">
        <v>4767</v>
      </c>
      <c r="G982" s="12" t="str">
        <f>IF(AND(Tabela1[[#This Row],[Data nascimento]]&gt;=$J$2,Tabela1[[#This Row],[Data nascimento]]&lt;=$I$2),"INFANTIL A",H982)</f>
        <v>JUVENIL</v>
      </c>
      <c r="H982" s="3" t="str">
        <f>IF(AND(Tabela1[[#This Row],[Data nascimento]]&gt;=$L$2,Tabela1[[#This Row],[Data nascimento]]&lt;=$K$2),"INFANTIL B",I982)</f>
        <v>JUVENIL</v>
      </c>
      <c r="I982" s="9" t="str">
        <f>IF(AND(Tabela1[[#This Row],[Data nascimento]]&gt;=$N$2,Tabela1[[#This Row],[Data nascimento]]&lt;=$M$2),"INICIADO",J982)</f>
        <v>JUVENIL</v>
      </c>
      <c r="J982" s="9" t="str">
        <f>IF(AND(Tabela1[[#This Row],[Data nascimento]]&gt;=$P$2,Tabela1[[#This Row],[Data nascimento]]&lt;=$O$2),"JUVENIL","JÚNIOR")</f>
        <v>JUVENIL</v>
      </c>
    </row>
    <row r="983" spans="1:10" ht="15" x14ac:dyDescent="0.4">
      <c r="A983" s="13" t="s">
        <v>710</v>
      </c>
      <c r="B983" s="2" t="s">
        <v>711</v>
      </c>
      <c r="C983" s="4" t="s">
        <v>8</v>
      </c>
      <c r="D983" s="11">
        <v>39637</v>
      </c>
      <c r="E983" s="7" t="s">
        <v>712</v>
      </c>
      <c r="F983" s="4" t="s">
        <v>4767</v>
      </c>
      <c r="G983" s="12" t="str">
        <f>IF(AND(Tabela1[[#This Row],[Data nascimento]]&gt;=$J$2,Tabela1[[#This Row],[Data nascimento]]&lt;=$I$2),"INFANTIL A",H983)</f>
        <v>JUVENIL</v>
      </c>
      <c r="H983" s="3" t="str">
        <f>IF(AND(Tabela1[[#This Row],[Data nascimento]]&gt;=$L$2,Tabela1[[#This Row],[Data nascimento]]&lt;=$K$2),"INFANTIL B",I983)</f>
        <v>JUVENIL</v>
      </c>
      <c r="I983" s="9" t="str">
        <f>IF(AND(Tabela1[[#This Row],[Data nascimento]]&gt;=$N$2,Tabela1[[#This Row],[Data nascimento]]&lt;=$M$2),"INICIADO",J983)</f>
        <v>JUVENIL</v>
      </c>
      <c r="J983" s="9" t="str">
        <f>IF(AND(Tabela1[[#This Row],[Data nascimento]]&gt;=$P$2,Tabela1[[#This Row],[Data nascimento]]&lt;=$O$2),"JUVENIL","JÚNIOR")</f>
        <v>JUVENIL</v>
      </c>
    </row>
    <row r="984" spans="1:10" ht="15" x14ac:dyDescent="0.4">
      <c r="A984" s="13" t="s">
        <v>713</v>
      </c>
      <c r="B984" s="2" t="s">
        <v>714</v>
      </c>
      <c r="C984" s="4" t="s">
        <v>21</v>
      </c>
      <c r="D984" s="11">
        <v>39392</v>
      </c>
      <c r="E984" s="7" t="s">
        <v>715</v>
      </c>
      <c r="F984" s="4" t="s">
        <v>4767</v>
      </c>
      <c r="G984" s="12" t="str">
        <f>IF(AND(Tabela1[[#This Row],[Data nascimento]]&gt;=$J$2,Tabela1[[#This Row],[Data nascimento]]&lt;=$I$2),"INFANTIL A",H984)</f>
        <v>JÚNIOR</v>
      </c>
      <c r="H984" s="3" t="str">
        <f>IF(AND(Tabela1[[#This Row],[Data nascimento]]&gt;=$L$2,Tabela1[[#This Row],[Data nascimento]]&lt;=$K$2),"INFANTIL B",I984)</f>
        <v>JÚNIOR</v>
      </c>
      <c r="I984" s="9" t="str">
        <f>IF(AND(Tabela1[[#This Row],[Data nascimento]]&gt;=$N$2,Tabela1[[#This Row],[Data nascimento]]&lt;=$M$2),"INICIADO",J984)</f>
        <v>JÚNIOR</v>
      </c>
      <c r="J984" s="9" t="str">
        <f>IF(AND(Tabela1[[#This Row],[Data nascimento]]&gt;=$P$2,Tabela1[[#This Row],[Data nascimento]]&lt;=$O$2),"JUVENIL","JÚNIOR")</f>
        <v>JÚNIOR</v>
      </c>
    </row>
    <row r="985" spans="1:10" ht="15" x14ac:dyDescent="0.4">
      <c r="A985" s="13" t="s">
        <v>716</v>
      </c>
      <c r="B985" s="2" t="s">
        <v>717</v>
      </c>
      <c r="C985" s="4" t="s">
        <v>21</v>
      </c>
      <c r="D985" s="11">
        <v>39344</v>
      </c>
      <c r="E985" s="7" t="s">
        <v>718</v>
      </c>
      <c r="F985" s="4" t="s">
        <v>4767</v>
      </c>
      <c r="G985" s="12" t="str">
        <f>IF(AND(Tabela1[[#This Row],[Data nascimento]]&gt;=$J$2,Tabela1[[#This Row],[Data nascimento]]&lt;=$I$2),"INFANTIL A",H985)</f>
        <v>JÚNIOR</v>
      </c>
      <c r="H985" s="3" t="str">
        <f>IF(AND(Tabela1[[#This Row],[Data nascimento]]&gt;=$L$2,Tabela1[[#This Row],[Data nascimento]]&lt;=$K$2),"INFANTIL B",I985)</f>
        <v>JÚNIOR</v>
      </c>
      <c r="I985" s="9" t="str">
        <f>IF(AND(Tabela1[[#This Row],[Data nascimento]]&gt;=$N$2,Tabela1[[#This Row],[Data nascimento]]&lt;=$M$2),"INICIADO",J985)</f>
        <v>JÚNIOR</v>
      </c>
      <c r="J985" s="9" t="str">
        <f>IF(AND(Tabela1[[#This Row],[Data nascimento]]&gt;=$P$2,Tabela1[[#This Row],[Data nascimento]]&lt;=$O$2),"JUVENIL","JÚNIOR")</f>
        <v>JÚNIOR</v>
      </c>
    </row>
    <row r="986" spans="1:10" ht="15" x14ac:dyDescent="0.4">
      <c r="A986" s="13" t="s">
        <v>719</v>
      </c>
      <c r="B986" s="2" t="s">
        <v>720</v>
      </c>
      <c r="C986" s="4" t="s">
        <v>21</v>
      </c>
      <c r="D986" s="11">
        <v>39276</v>
      </c>
      <c r="E986" s="7" t="s">
        <v>721</v>
      </c>
      <c r="F986" s="4" t="s">
        <v>4767</v>
      </c>
      <c r="G986" s="12" t="str">
        <f>IF(AND(Tabela1[[#This Row],[Data nascimento]]&gt;=$J$2,Tabela1[[#This Row],[Data nascimento]]&lt;=$I$2),"INFANTIL A",H986)</f>
        <v>JÚNIOR</v>
      </c>
      <c r="H986" s="3" t="str">
        <f>IF(AND(Tabela1[[#This Row],[Data nascimento]]&gt;=$L$2,Tabela1[[#This Row],[Data nascimento]]&lt;=$K$2),"INFANTIL B",I986)</f>
        <v>JÚNIOR</v>
      </c>
      <c r="I986" s="9" t="str">
        <f>IF(AND(Tabela1[[#This Row],[Data nascimento]]&gt;=$N$2,Tabela1[[#This Row],[Data nascimento]]&lt;=$M$2),"INICIADO",J986)</f>
        <v>JÚNIOR</v>
      </c>
      <c r="J986" s="9" t="str">
        <f>IF(AND(Tabela1[[#This Row],[Data nascimento]]&gt;=$P$2,Tabela1[[#This Row],[Data nascimento]]&lt;=$O$2),"JUVENIL","JÚNIOR")</f>
        <v>JÚNIOR</v>
      </c>
    </row>
    <row r="987" spans="1:10" ht="15" x14ac:dyDescent="0.4">
      <c r="A987" s="13" t="s">
        <v>722</v>
      </c>
      <c r="B987" s="2" t="s">
        <v>723</v>
      </c>
      <c r="C987" s="4" t="s">
        <v>21</v>
      </c>
      <c r="D987" s="11">
        <v>39691</v>
      </c>
      <c r="E987" s="7" t="s">
        <v>724</v>
      </c>
      <c r="F987" s="4" t="s">
        <v>4767</v>
      </c>
      <c r="G987" s="12" t="str">
        <f>IF(AND(Tabela1[[#This Row],[Data nascimento]]&gt;=$J$2,Tabela1[[#This Row],[Data nascimento]]&lt;=$I$2),"INFANTIL A",H987)</f>
        <v>JUVENIL</v>
      </c>
      <c r="H987" s="3" t="str">
        <f>IF(AND(Tabela1[[#This Row],[Data nascimento]]&gt;=$L$2,Tabela1[[#This Row],[Data nascimento]]&lt;=$K$2),"INFANTIL B",I987)</f>
        <v>JUVENIL</v>
      </c>
      <c r="I987" s="9" t="str">
        <f>IF(AND(Tabela1[[#This Row],[Data nascimento]]&gt;=$N$2,Tabela1[[#This Row],[Data nascimento]]&lt;=$M$2),"INICIADO",J987)</f>
        <v>JUVENIL</v>
      </c>
      <c r="J987" s="9" t="str">
        <f>IF(AND(Tabela1[[#This Row],[Data nascimento]]&gt;=$P$2,Tabela1[[#This Row],[Data nascimento]]&lt;=$O$2),"JUVENIL","JÚNIOR")</f>
        <v>JUVENIL</v>
      </c>
    </row>
    <row r="988" spans="1:10" ht="15" x14ac:dyDescent="0.4">
      <c r="A988" s="13" t="s">
        <v>725</v>
      </c>
      <c r="B988" s="2" t="s">
        <v>726</v>
      </c>
      <c r="C988" s="4" t="s">
        <v>21</v>
      </c>
      <c r="D988" s="11">
        <v>39356</v>
      </c>
      <c r="E988" s="7" t="s">
        <v>727</v>
      </c>
      <c r="F988" s="4" t="s">
        <v>4768</v>
      </c>
      <c r="G988" s="12" t="str">
        <f>IF(AND(Tabela1[[#This Row],[Data nascimento]]&gt;=$J$2,Tabela1[[#This Row],[Data nascimento]]&lt;=$I$2),"INFANTIL A",H988)</f>
        <v>JÚNIOR</v>
      </c>
      <c r="H988" s="3" t="str">
        <f>IF(AND(Tabela1[[#This Row],[Data nascimento]]&gt;=$L$2,Tabela1[[#This Row],[Data nascimento]]&lt;=$K$2),"INFANTIL B",I988)</f>
        <v>JÚNIOR</v>
      </c>
      <c r="I988" s="9" t="str">
        <f>IF(AND(Tabela1[[#This Row],[Data nascimento]]&gt;=$N$2,Tabela1[[#This Row],[Data nascimento]]&lt;=$M$2),"INICIADO",J988)</f>
        <v>JÚNIOR</v>
      </c>
      <c r="J988" s="9" t="str">
        <f>IF(AND(Tabela1[[#This Row],[Data nascimento]]&gt;=$P$2,Tabela1[[#This Row],[Data nascimento]]&lt;=$O$2),"JUVENIL","JÚNIOR")</f>
        <v>JÚNIOR</v>
      </c>
    </row>
    <row r="989" spans="1:10" ht="15" x14ac:dyDescent="0.4">
      <c r="A989" s="13" t="s">
        <v>728</v>
      </c>
      <c r="B989" s="2" t="s">
        <v>729</v>
      </c>
      <c r="C989" s="4" t="s">
        <v>8</v>
      </c>
      <c r="D989" s="11">
        <v>39246</v>
      </c>
      <c r="E989" s="7" t="s">
        <v>730</v>
      </c>
      <c r="F989" s="4" t="s">
        <v>4768</v>
      </c>
      <c r="G989" s="12" t="str">
        <f>IF(AND(Tabela1[[#This Row],[Data nascimento]]&gt;=$J$2,Tabela1[[#This Row],[Data nascimento]]&lt;=$I$2),"INFANTIL A",H989)</f>
        <v>JÚNIOR</v>
      </c>
      <c r="H989" s="3" t="str">
        <f>IF(AND(Tabela1[[#This Row],[Data nascimento]]&gt;=$L$2,Tabela1[[#This Row],[Data nascimento]]&lt;=$K$2),"INFANTIL B",I989)</f>
        <v>JÚNIOR</v>
      </c>
      <c r="I989" s="9" t="str">
        <f>IF(AND(Tabela1[[#This Row],[Data nascimento]]&gt;=$N$2,Tabela1[[#This Row],[Data nascimento]]&lt;=$M$2),"INICIADO",J989)</f>
        <v>JÚNIOR</v>
      </c>
      <c r="J989" s="9" t="str">
        <f>IF(AND(Tabela1[[#This Row],[Data nascimento]]&gt;=$P$2,Tabela1[[#This Row],[Data nascimento]]&lt;=$O$2),"JUVENIL","JÚNIOR")</f>
        <v>JÚNIOR</v>
      </c>
    </row>
    <row r="990" spans="1:10" ht="15" x14ac:dyDescent="0.4">
      <c r="A990" s="13" t="s">
        <v>731</v>
      </c>
      <c r="B990" s="2" t="s">
        <v>732</v>
      </c>
      <c r="C990" s="4" t="s">
        <v>8</v>
      </c>
      <c r="D990" s="11">
        <v>39611</v>
      </c>
      <c r="E990" s="7" t="s">
        <v>733</v>
      </c>
      <c r="F990" s="4" t="s">
        <v>4768</v>
      </c>
      <c r="G990" s="12" t="str">
        <f>IF(AND(Tabela1[[#This Row],[Data nascimento]]&gt;=$J$2,Tabela1[[#This Row],[Data nascimento]]&lt;=$I$2),"INFANTIL A",H990)</f>
        <v>JUVENIL</v>
      </c>
      <c r="H990" s="3" t="str">
        <f>IF(AND(Tabela1[[#This Row],[Data nascimento]]&gt;=$L$2,Tabela1[[#This Row],[Data nascimento]]&lt;=$K$2),"INFANTIL B",I990)</f>
        <v>JUVENIL</v>
      </c>
      <c r="I990" s="9" t="str">
        <f>IF(AND(Tabela1[[#This Row],[Data nascimento]]&gt;=$N$2,Tabela1[[#This Row],[Data nascimento]]&lt;=$M$2),"INICIADO",J990)</f>
        <v>JUVENIL</v>
      </c>
      <c r="J990" s="9" t="str">
        <f>IF(AND(Tabela1[[#This Row],[Data nascimento]]&gt;=$P$2,Tabela1[[#This Row],[Data nascimento]]&lt;=$O$2),"JUVENIL","JÚNIOR")</f>
        <v>JUVENIL</v>
      </c>
    </row>
    <row r="991" spans="1:10" ht="15" x14ac:dyDescent="0.4">
      <c r="A991" s="13" t="s">
        <v>734</v>
      </c>
      <c r="B991" s="2" t="s">
        <v>735</v>
      </c>
      <c r="C991" s="4" t="s">
        <v>21</v>
      </c>
      <c r="D991" s="11">
        <v>39770</v>
      </c>
      <c r="E991" s="7" t="s">
        <v>736</v>
      </c>
      <c r="F991" s="4" t="s">
        <v>4768</v>
      </c>
      <c r="G991" s="12" t="str">
        <f>IF(AND(Tabela1[[#This Row],[Data nascimento]]&gt;=$J$2,Tabela1[[#This Row],[Data nascimento]]&lt;=$I$2),"INFANTIL A",H991)</f>
        <v>JUVENIL</v>
      </c>
      <c r="H991" s="3" t="str">
        <f>IF(AND(Tabela1[[#This Row],[Data nascimento]]&gt;=$L$2,Tabela1[[#This Row],[Data nascimento]]&lt;=$K$2),"INFANTIL B",I991)</f>
        <v>JUVENIL</v>
      </c>
      <c r="I991" s="9" t="str">
        <f>IF(AND(Tabela1[[#This Row],[Data nascimento]]&gt;=$N$2,Tabela1[[#This Row],[Data nascimento]]&lt;=$M$2),"INICIADO",J991)</f>
        <v>JUVENIL</v>
      </c>
      <c r="J991" s="9" t="str">
        <f>IF(AND(Tabela1[[#This Row],[Data nascimento]]&gt;=$P$2,Tabela1[[#This Row],[Data nascimento]]&lt;=$O$2),"JUVENIL","JÚNIOR")</f>
        <v>JUVENIL</v>
      </c>
    </row>
    <row r="992" spans="1:10" ht="15" x14ac:dyDescent="0.4">
      <c r="A992" s="13" t="s">
        <v>737</v>
      </c>
      <c r="B992" s="2" t="s">
        <v>738</v>
      </c>
      <c r="C992" s="4" t="s">
        <v>8</v>
      </c>
      <c r="D992" s="11">
        <v>39803</v>
      </c>
      <c r="E992" s="7" t="s">
        <v>739</v>
      </c>
      <c r="F992" s="4" t="s">
        <v>4768</v>
      </c>
      <c r="G992" s="12" t="str">
        <f>IF(AND(Tabela1[[#This Row],[Data nascimento]]&gt;=$J$2,Tabela1[[#This Row],[Data nascimento]]&lt;=$I$2),"INFANTIL A",H992)</f>
        <v>JUVENIL</v>
      </c>
      <c r="H992" s="3" t="str">
        <f>IF(AND(Tabela1[[#This Row],[Data nascimento]]&gt;=$L$2,Tabela1[[#This Row],[Data nascimento]]&lt;=$K$2),"INFANTIL B",I992)</f>
        <v>JUVENIL</v>
      </c>
      <c r="I992" s="9" t="str">
        <f>IF(AND(Tabela1[[#This Row],[Data nascimento]]&gt;=$N$2,Tabela1[[#This Row],[Data nascimento]]&lt;=$M$2),"INICIADO",J992)</f>
        <v>JUVENIL</v>
      </c>
      <c r="J992" s="9" t="str">
        <f>IF(AND(Tabela1[[#This Row],[Data nascimento]]&gt;=$P$2,Tabela1[[#This Row],[Data nascimento]]&lt;=$O$2),"JUVENIL","JÚNIOR")</f>
        <v>JUVENIL</v>
      </c>
    </row>
    <row r="993" spans="1:10" ht="15" x14ac:dyDescent="0.4">
      <c r="A993" s="13" t="s">
        <v>740</v>
      </c>
      <c r="B993" s="2" t="s">
        <v>741</v>
      </c>
      <c r="C993" s="4" t="s">
        <v>21</v>
      </c>
      <c r="D993" s="11">
        <v>39717</v>
      </c>
      <c r="E993" s="7" t="s">
        <v>742</v>
      </c>
      <c r="F993" s="4" t="s">
        <v>4768</v>
      </c>
      <c r="G993" s="12" t="str">
        <f>IF(AND(Tabela1[[#This Row],[Data nascimento]]&gt;=$J$2,Tabela1[[#This Row],[Data nascimento]]&lt;=$I$2),"INFANTIL A",H993)</f>
        <v>JUVENIL</v>
      </c>
      <c r="H993" s="3" t="str">
        <f>IF(AND(Tabela1[[#This Row],[Data nascimento]]&gt;=$L$2,Tabela1[[#This Row],[Data nascimento]]&lt;=$K$2),"INFANTIL B",I993)</f>
        <v>JUVENIL</v>
      </c>
      <c r="I993" s="9" t="str">
        <f>IF(AND(Tabela1[[#This Row],[Data nascimento]]&gt;=$N$2,Tabela1[[#This Row],[Data nascimento]]&lt;=$M$2),"INICIADO",J993)</f>
        <v>JUVENIL</v>
      </c>
      <c r="J993" s="9" t="str">
        <f>IF(AND(Tabela1[[#This Row],[Data nascimento]]&gt;=$P$2,Tabela1[[#This Row],[Data nascimento]]&lt;=$O$2),"JUVENIL","JÚNIOR")</f>
        <v>JUVENIL</v>
      </c>
    </row>
    <row r="994" spans="1:10" ht="15" x14ac:dyDescent="0.4">
      <c r="A994" s="13" t="s">
        <v>743</v>
      </c>
      <c r="B994" s="2" t="s">
        <v>744</v>
      </c>
      <c r="C994" s="4" t="s">
        <v>21</v>
      </c>
      <c r="D994" s="11">
        <v>39804</v>
      </c>
      <c r="E994" s="7" t="s">
        <v>745</v>
      </c>
      <c r="F994" s="4" t="s">
        <v>4768</v>
      </c>
      <c r="G994" s="12" t="str">
        <f>IF(AND(Tabela1[[#This Row],[Data nascimento]]&gt;=$J$2,Tabela1[[#This Row],[Data nascimento]]&lt;=$I$2),"INFANTIL A",H994)</f>
        <v>JUVENIL</v>
      </c>
      <c r="H994" s="3" t="str">
        <f>IF(AND(Tabela1[[#This Row],[Data nascimento]]&gt;=$L$2,Tabela1[[#This Row],[Data nascimento]]&lt;=$K$2),"INFANTIL B",I994)</f>
        <v>JUVENIL</v>
      </c>
      <c r="I994" s="9" t="str">
        <f>IF(AND(Tabela1[[#This Row],[Data nascimento]]&gt;=$N$2,Tabela1[[#This Row],[Data nascimento]]&lt;=$M$2),"INICIADO",J994)</f>
        <v>JUVENIL</v>
      </c>
      <c r="J994" s="9" t="str">
        <f>IF(AND(Tabela1[[#This Row],[Data nascimento]]&gt;=$P$2,Tabela1[[#This Row],[Data nascimento]]&lt;=$O$2),"JUVENIL","JÚNIOR")</f>
        <v>JUVENIL</v>
      </c>
    </row>
    <row r="995" spans="1:10" ht="15" x14ac:dyDescent="0.4">
      <c r="A995" s="13" t="s">
        <v>746</v>
      </c>
      <c r="B995" s="2" t="s">
        <v>747</v>
      </c>
      <c r="C995" s="4" t="s">
        <v>8</v>
      </c>
      <c r="D995" s="11">
        <v>39058</v>
      </c>
      <c r="E995" s="7" t="s">
        <v>748</v>
      </c>
      <c r="F995" s="4" t="s">
        <v>4768</v>
      </c>
      <c r="G995" s="12" t="str">
        <f>IF(AND(Tabela1[[#This Row],[Data nascimento]]&gt;=$J$2,Tabela1[[#This Row],[Data nascimento]]&lt;=$I$2),"INFANTIL A",H995)</f>
        <v>JÚNIOR</v>
      </c>
      <c r="H995" s="3" t="str">
        <f>IF(AND(Tabela1[[#This Row],[Data nascimento]]&gt;=$L$2,Tabela1[[#This Row],[Data nascimento]]&lt;=$K$2),"INFANTIL B",I995)</f>
        <v>JÚNIOR</v>
      </c>
      <c r="I995" s="9" t="str">
        <f>IF(AND(Tabela1[[#This Row],[Data nascimento]]&gt;=$N$2,Tabela1[[#This Row],[Data nascimento]]&lt;=$M$2),"INICIADO",J995)</f>
        <v>JÚNIOR</v>
      </c>
      <c r="J995" s="9" t="str">
        <f>IF(AND(Tabela1[[#This Row],[Data nascimento]]&gt;=$P$2,Tabela1[[#This Row],[Data nascimento]]&lt;=$O$2),"JUVENIL","JÚNIOR")</f>
        <v>JÚNIOR</v>
      </c>
    </row>
    <row r="996" spans="1:10" ht="15" x14ac:dyDescent="0.4">
      <c r="A996" s="13" t="s">
        <v>749</v>
      </c>
      <c r="B996" s="2" t="s">
        <v>750</v>
      </c>
      <c r="C996" s="4" t="s">
        <v>8</v>
      </c>
      <c r="D996" s="11">
        <v>39427</v>
      </c>
      <c r="E996" s="7" t="s">
        <v>751</v>
      </c>
      <c r="F996" s="4" t="s">
        <v>4768</v>
      </c>
      <c r="G996" s="12" t="str">
        <f>IF(AND(Tabela1[[#This Row],[Data nascimento]]&gt;=$J$2,Tabela1[[#This Row],[Data nascimento]]&lt;=$I$2),"INFANTIL A",H996)</f>
        <v>JÚNIOR</v>
      </c>
      <c r="H996" s="3" t="str">
        <f>IF(AND(Tabela1[[#This Row],[Data nascimento]]&gt;=$L$2,Tabela1[[#This Row],[Data nascimento]]&lt;=$K$2),"INFANTIL B",I996)</f>
        <v>JÚNIOR</v>
      </c>
      <c r="I996" s="9" t="str">
        <f>IF(AND(Tabela1[[#This Row],[Data nascimento]]&gt;=$N$2,Tabela1[[#This Row],[Data nascimento]]&lt;=$M$2),"INICIADO",J996)</f>
        <v>JÚNIOR</v>
      </c>
      <c r="J996" s="9" t="str">
        <f>IF(AND(Tabela1[[#This Row],[Data nascimento]]&gt;=$P$2,Tabela1[[#This Row],[Data nascimento]]&lt;=$O$2),"JUVENIL","JÚNIOR")</f>
        <v>JÚNIOR</v>
      </c>
    </row>
    <row r="997" spans="1:10" ht="15" x14ac:dyDescent="0.4">
      <c r="A997" s="13" t="s">
        <v>752</v>
      </c>
      <c r="B997" s="2" t="s">
        <v>753</v>
      </c>
      <c r="C997" s="4" t="s">
        <v>21</v>
      </c>
      <c r="D997" s="11">
        <v>39563</v>
      </c>
      <c r="E997" s="7" t="s">
        <v>754</v>
      </c>
      <c r="F997" s="4" t="s">
        <v>4768</v>
      </c>
      <c r="G997" s="12" t="str">
        <f>IF(AND(Tabela1[[#This Row],[Data nascimento]]&gt;=$J$2,Tabela1[[#This Row],[Data nascimento]]&lt;=$I$2),"INFANTIL A",H997)</f>
        <v>JUVENIL</v>
      </c>
      <c r="H997" s="3" t="str">
        <f>IF(AND(Tabela1[[#This Row],[Data nascimento]]&gt;=$L$2,Tabela1[[#This Row],[Data nascimento]]&lt;=$K$2),"INFANTIL B",I997)</f>
        <v>JUVENIL</v>
      </c>
      <c r="I997" s="9" t="str">
        <f>IF(AND(Tabela1[[#This Row],[Data nascimento]]&gt;=$N$2,Tabela1[[#This Row],[Data nascimento]]&lt;=$M$2),"INICIADO",J997)</f>
        <v>JUVENIL</v>
      </c>
      <c r="J997" s="9" t="str">
        <f>IF(AND(Tabela1[[#This Row],[Data nascimento]]&gt;=$P$2,Tabela1[[#This Row],[Data nascimento]]&lt;=$O$2),"JUVENIL","JÚNIOR")</f>
        <v>JUVENIL</v>
      </c>
    </row>
    <row r="998" spans="1:10" ht="15" x14ac:dyDescent="0.4">
      <c r="A998" s="13" t="s">
        <v>755</v>
      </c>
      <c r="B998" s="2" t="s">
        <v>756</v>
      </c>
      <c r="C998" s="4" t="s">
        <v>21</v>
      </c>
      <c r="D998" s="11">
        <v>39799</v>
      </c>
      <c r="E998" s="7" t="s">
        <v>757</v>
      </c>
      <c r="F998" s="4" t="s">
        <v>4768</v>
      </c>
      <c r="G998" s="12" t="str">
        <f>IF(AND(Tabela1[[#This Row],[Data nascimento]]&gt;=$J$2,Tabela1[[#This Row],[Data nascimento]]&lt;=$I$2),"INFANTIL A",H998)</f>
        <v>JUVENIL</v>
      </c>
      <c r="H998" s="3" t="str">
        <f>IF(AND(Tabela1[[#This Row],[Data nascimento]]&gt;=$L$2,Tabela1[[#This Row],[Data nascimento]]&lt;=$K$2),"INFANTIL B",I998)</f>
        <v>JUVENIL</v>
      </c>
      <c r="I998" s="9" t="str">
        <f>IF(AND(Tabela1[[#This Row],[Data nascimento]]&gt;=$N$2,Tabela1[[#This Row],[Data nascimento]]&lt;=$M$2),"INICIADO",J998)</f>
        <v>JUVENIL</v>
      </c>
      <c r="J998" s="9" t="str">
        <f>IF(AND(Tabela1[[#This Row],[Data nascimento]]&gt;=$P$2,Tabela1[[#This Row],[Data nascimento]]&lt;=$O$2),"JUVENIL","JÚNIOR")</f>
        <v>JUVENIL</v>
      </c>
    </row>
    <row r="999" spans="1:10" ht="15" x14ac:dyDescent="0.4">
      <c r="A999" s="13" t="s">
        <v>758</v>
      </c>
      <c r="B999" s="2" t="s">
        <v>759</v>
      </c>
      <c r="C999" s="4" t="s">
        <v>21</v>
      </c>
      <c r="D999" s="11">
        <v>39785</v>
      </c>
      <c r="E999" s="7" t="s">
        <v>760</v>
      </c>
      <c r="F999" s="4" t="s">
        <v>4768</v>
      </c>
      <c r="G999" s="12" t="str">
        <f>IF(AND(Tabela1[[#This Row],[Data nascimento]]&gt;=$J$2,Tabela1[[#This Row],[Data nascimento]]&lt;=$I$2),"INFANTIL A",H999)</f>
        <v>JUVENIL</v>
      </c>
      <c r="H999" s="3" t="str">
        <f>IF(AND(Tabela1[[#This Row],[Data nascimento]]&gt;=$L$2,Tabela1[[#This Row],[Data nascimento]]&lt;=$K$2),"INFANTIL B",I999)</f>
        <v>JUVENIL</v>
      </c>
      <c r="I999" s="9" t="str">
        <f>IF(AND(Tabela1[[#This Row],[Data nascimento]]&gt;=$N$2,Tabela1[[#This Row],[Data nascimento]]&lt;=$M$2),"INICIADO",J999)</f>
        <v>JUVENIL</v>
      </c>
      <c r="J999" s="9" t="str">
        <f>IF(AND(Tabela1[[#This Row],[Data nascimento]]&gt;=$P$2,Tabela1[[#This Row],[Data nascimento]]&lt;=$O$2),"JUVENIL","JÚNIOR")</f>
        <v>JUVENIL</v>
      </c>
    </row>
    <row r="1000" spans="1:10" ht="15" x14ac:dyDescent="0.4">
      <c r="A1000" s="13" t="s">
        <v>761</v>
      </c>
      <c r="B1000" s="2" t="s">
        <v>762</v>
      </c>
      <c r="C1000" s="4" t="s">
        <v>8</v>
      </c>
      <c r="D1000" s="11">
        <v>39706</v>
      </c>
      <c r="E1000" s="7" t="s">
        <v>763</v>
      </c>
      <c r="F1000" s="4" t="s">
        <v>4769</v>
      </c>
      <c r="G1000" s="12" t="str">
        <f>IF(AND(Tabela1[[#This Row],[Data nascimento]]&gt;=$J$2,Tabela1[[#This Row],[Data nascimento]]&lt;=$I$2),"INFANTIL A",H1000)</f>
        <v>JUVENIL</v>
      </c>
      <c r="H1000" s="3" t="str">
        <f>IF(AND(Tabela1[[#This Row],[Data nascimento]]&gt;=$L$2,Tabela1[[#This Row],[Data nascimento]]&lt;=$K$2),"INFANTIL B",I1000)</f>
        <v>JUVENIL</v>
      </c>
      <c r="I1000" s="9" t="str">
        <f>IF(AND(Tabela1[[#This Row],[Data nascimento]]&gt;=$N$2,Tabela1[[#This Row],[Data nascimento]]&lt;=$M$2),"INICIADO",J1000)</f>
        <v>JUVENIL</v>
      </c>
      <c r="J1000" s="9" t="str">
        <f>IF(AND(Tabela1[[#This Row],[Data nascimento]]&gt;=$P$2,Tabela1[[#This Row],[Data nascimento]]&lt;=$O$2),"JUVENIL","JÚNIOR")</f>
        <v>JUVENIL</v>
      </c>
    </row>
    <row r="1001" spans="1:10" ht="15" x14ac:dyDescent="0.4">
      <c r="A1001" s="13" t="s">
        <v>764</v>
      </c>
      <c r="B1001" s="2" t="s">
        <v>765</v>
      </c>
      <c r="C1001" s="4" t="s">
        <v>8</v>
      </c>
      <c r="D1001" s="11">
        <v>39551</v>
      </c>
      <c r="E1001" s="7" t="s">
        <v>766</v>
      </c>
      <c r="F1001" s="4" t="s">
        <v>4769</v>
      </c>
      <c r="G1001" s="12" t="str">
        <f>IF(AND(Tabela1[[#This Row],[Data nascimento]]&gt;=$J$2,Tabela1[[#This Row],[Data nascimento]]&lt;=$I$2),"INFANTIL A",H1001)</f>
        <v>JUVENIL</v>
      </c>
      <c r="H1001" s="3" t="str">
        <f>IF(AND(Tabela1[[#This Row],[Data nascimento]]&gt;=$L$2,Tabela1[[#This Row],[Data nascimento]]&lt;=$K$2),"INFANTIL B",I1001)</f>
        <v>JUVENIL</v>
      </c>
      <c r="I1001" s="9" t="str">
        <f>IF(AND(Tabela1[[#This Row],[Data nascimento]]&gt;=$N$2,Tabela1[[#This Row],[Data nascimento]]&lt;=$M$2),"INICIADO",J1001)</f>
        <v>JUVENIL</v>
      </c>
      <c r="J1001" s="9" t="str">
        <f>IF(AND(Tabela1[[#This Row],[Data nascimento]]&gt;=$P$2,Tabela1[[#This Row],[Data nascimento]]&lt;=$O$2),"JUVENIL","JÚNIOR")</f>
        <v>JUVENIL</v>
      </c>
    </row>
    <row r="1002" spans="1:10" ht="15" x14ac:dyDescent="0.4">
      <c r="A1002" s="13" t="s">
        <v>767</v>
      </c>
      <c r="B1002" s="2" t="s">
        <v>768</v>
      </c>
      <c r="C1002" s="4" t="s">
        <v>8</v>
      </c>
      <c r="D1002" s="11">
        <v>39341</v>
      </c>
      <c r="E1002" s="7" t="s">
        <v>769</v>
      </c>
      <c r="F1002" s="4" t="s">
        <v>4769</v>
      </c>
      <c r="G1002" s="12" t="str">
        <f>IF(AND(Tabela1[[#This Row],[Data nascimento]]&gt;=$J$2,Tabela1[[#This Row],[Data nascimento]]&lt;=$I$2),"INFANTIL A",H1002)</f>
        <v>JÚNIOR</v>
      </c>
      <c r="H1002" s="3" t="str">
        <f>IF(AND(Tabela1[[#This Row],[Data nascimento]]&gt;=$L$2,Tabela1[[#This Row],[Data nascimento]]&lt;=$K$2),"INFANTIL B",I1002)</f>
        <v>JÚNIOR</v>
      </c>
      <c r="I1002" s="9" t="str">
        <f>IF(AND(Tabela1[[#This Row],[Data nascimento]]&gt;=$N$2,Tabela1[[#This Row],[Data nascimento]]&lt;=$M$2),"INICIADO",J1002)</f>
        <v>JÚNIOR</v>
      </c>
      <c r="J1002" s="9" t="str">
        <f>IF(AND(Tabela1[[#This Row],[Data nascimento]]&gt;=$P$2,Tabela1[[#This Row],[Data nascimento]]&lt;=$O$2),"JUVENIL","JÚNIOR")</f>
        <v>JÚNIOR</v>
      </c>
    </row>
    <row r="1003" spans="1:10" ht="15" x14ac:dyDescent="0.4">
      <c r="A1003" s="13" t="s">
        <v>770</v>
      </c>
      <c r="B1003" s="2" t="s">
        <v>771</v>
      </c>
      <c r="C1003" s="4" t="s">
        <v>8</v>
      </c>
      <c r="D1003" s="11">
        <v>39770</v>
      </c>
      <c r="E1003" s="7" t="s">
        <v>772</v>
      </c>
      <c r="F1003" s="4" t="s">
        <v>4769</v>
      </c>
      <c r="G1003" s="12" t="str">
        <f>IF(AND(Tabela1[[#This Row],[Data nascimento]]&gt;=$J$2,Tabela1[[#This Row],[Data nascimento]]&lt;=$I$2),"INFANTIL A",H1003)</f>
        <v>JUVENIL</v>
      </c>
      <c r="H1003" s="3" t="str">
        <f>IF(AND(Tabela1[[#This Row],[Data nascimento]]&gt;=$L$2,Tabela1[[#This Row],[Data nascimento]]&lt;=$K$2),"INFANTIL B",I1003)</f>
        <v>JUVENIL</v>
      </c>
      <c r="I1003" s="9" t="str">
        <f>IF(AND(Tabela1[[#This Row],[Data nascimento]]&gt;=$N$2,Tabela1[[#This Row],[Data nascimento]]&lt;=$M$2),"INICIADO",J1003)</f>
        <v>JUVENIL</v>
      </c>
      <c r="J1003" s="9" t="str">
        <f>IF(AND(Tabela1[[#This Row],[Data nascimento]]&gt;=$P$2,Tabela1[[#This Row],[Data nascimento]]&lt;=$O$2),"JUVENIL","JÚNIOR")</f>
        <v>JUVENIL</v>
      </c>
    </row>
    <row r="1004" spans="1:10" ht="15" x14ac:dyDescent="0.4">
      <c r="A1004" s="13" t="s">
        <v>773</v>
      </c>
      <c r="B1004" s="2" t="s">
        <v>774</v>
      </c>
      <c r="C1004" s="4" t="s">
        <v>8</v>
      </c>
      <c r="D1004" s="11">
        <v>39390</v>
      </c>
      <c r="E1004" s="7" t="s">
        <v>775</v>
      </c>
      <c r="F1004" s="4" t="s">
        <v>4769</v>
      </c>
      <c r="G1004" s="12" t="str">
        <f>IF(AND(Tabela1[[#This Row],[Data nascimento]]&gt;=$J$2,Tabela1[[#This Row],[Data nascimento]]&lt;=$I$2),"INFANTIL A",H1004)</f>
        <v>JÚNIOR</v>
      </c>
      <c r="H1004" s="3" t="str">
        <f>IF(AND(Tabela1[[#This Row],[Data nascimento]]&gt;=$L$2,Tabela1[[#This Row],[Data nascimento]]&lt;=$K$2),"INFANTIL B",I1004)</f>
        <v>JÚNIOR</v>
      </c>
      <c r="I1004" s="9" t="str">
        <f>IF(AND(Tabela1[[#This Row],[Data nascimento]]&gt;=$N$2,Tabela1[[#This Row],[Data nascimento]]&lt;=$M$2),"INICIADO",J1004)</f>
        <v>JÚNIOR</v>
      </c>
      <c r="J1004" s="9" t="str">
        <f>IF(AND(Tabela1[[#This Row],[Data nascimento]]&gt;=$P$2,Tabela1[[#This Row],[Data nascimento]]&lt;=$O$2),"JUVENIL","JÚNIOR")</f>
        <v>JÚNIOR</v>
      </c>
    </row>
    <row r="1005" spans="1:10" ht="15" x14ac:dyDescent="0.4">
      <c r="A1005" s="13" t="s">
        <v>776</v>
      </c>
      <c r="B1005" s="2" t="s">
        <v>777</v>
      </c>
      <c r="C1005" s="4" t="s">
        <v>8</v>
      </c>
      <c r="D1005" s="11">
        <v>39209</v>
      </c>
      <c r="E1005" s="7" t="s">
        <v>778</v>
      </c>
      <c r="F1005" s="4" t="s">
        <v>4769</v>
      </c>
      <c r="G1005" s="12" t="str">
        <f>IF(AND(Tabela1[[#This Row],[Data nascimento]]&gt;=$J$2,Tabela1[[#This Row],[Data nascimento]]&lt;=$I$2),"INFANTIL A",H1005)</f>
        <v>JÚNIOR</v>
      </c>
      <c r="H1005" s="3" t="str">
        <f>IF(AND(Tabela1[[#This Row],[Data nascimento]]&gt;=$L$2,Tabela1[[#This Row],[Data nascimento]]&lt;=$K$2),"INFANTIL B",I1005)</f>
        <v>JÚNIOR</v>
      </c>
      <c r="I1005" s="9" t="str">
        <f>IF(AND(Tabela1[[#This Row],[Data nascimento]]&gt;=$N$2,Tabela1[[#This Row],[Data nascimento]]&lt;=$M$2),"INICIADO",J1005)</f>
        <v>JÚNIOR</v>
      </c>
      <c r="J1005" s="9" t="str">
        <f>IF(AND(Tabela1[[#This Row],[Data nascimento]]&gt;=$P$2,Tabela1[[#This Row],[Data nascimento]]&lt;=$O$2),"JUVENIL","JÚNIOR")</f>
        <v>JÚNIOR</v>
      </c>
    </row>
    <row r="1006" spans="1:10" ht="15" x14ac:dyDescent="0.4">
      <c r="A1006" s="13" t="s">
        <v>779</v>
      </c>
      <c r="B1006" s="2" t="s">
        <v>780</v>
      </c>
      <c r="C1006" s="4" t="s">
        <v>8</v>
      </c>
      <c r="D1006" s="11">
        <v>39417</v>
      </c>
      <c r="E1006" s="7" t="s">
        <v>781</v>
      </c>
      <c r="F1006" s="4" t="s">
        <v>4769</v>
      </c>
      <c r="G1006" s="12" t="str">
        <f>IF(AND(Tabela1[[#This Row],[Data nascimento]]&gt;=$J$2,Tabela1[[#This Row],[Data nascimento]]&lt;=$I$2),"INFANTIL A",H1006)</f>
        <v>JÚNIOR</v>
      </c>
      <c r="H1006" s="3" t="str">
        <f>IF(AND(Tabela1[[#This Row],[Data nascimento]]&gt;=$L$2,Tabela1[[#This Row],[Data nascimento]]&lt;=$K$2),"INFANTIL B",I1006)</f>
        <v>JÚNIOR</v>
      </c>
      <c r="I1006" s="9" t="str">
        <f>IF(AND(Tabela1[[#This Row],[Data nascimento]]&gt;=$N$2,Tabela1[[#This Row],[Data nascimento]]&lt;=$M$2),"INICIADO",J1006)</f>
        <v>JÚNIOR</v>
      </c>
      <c r="J1006" s="9" t="str">
        <f>IF(AND(Tabela1[[#This Row],[Data nascimento]]&gt;=$P$2,Tabela1[[#This Row],[Data nascimento]]&lt;=$O$2),"JUVENIL","JÚNIOR")</f>
        <v>JÚNIOR</v>
      </c>
    </row>
    <row r="1007" spans="1:10" ht="15" x14ac:dyDescent="0.4">
      <c r="A1007" s="13" t="s">
        <v>782</v>
      </c>
      <c r="B1007" s="2" t="s">
        <v>783</v>
      </c>
      <c r="C1007" s="4" t="s">
        <v>8</v>
      </c>
      <c r="D1007" s="11">
        <v>39634</v>
      </c>
      <c r="E1007" s="7" t="s">
        <v>784</v>
      </c>
      <c r="F1007" s="4" t="s">
        <v>4769</v>
      </c>
      <c r="G1007" s="12" t="str">
        <f>IF(AND(Tabela1[[#This Row],[Data nascimento]]&gt;=$J$2,Tabela1[[#This Row],[Data nascimento]]&lt;=$I$2),"INFANTIL A",H1007)</f>
        <v>JUVENIL</v>
      </c>
      <c r="H1007" s="3" t="str">
        <f>IF(AND(Tabela1[[#This Row],[Data nascimento]]&gt;=$L$2,Tabela1[[#This Row],[Data nascimento]]&lt;=$K$2),"INFANTIL B",I1007)</f>
        <v>JUVENIL</v>
      </c>
      <c r="I1007" s="9" t="str">
        <f>IF(AND(Tabela1[[#This Row],[Data nascimento]]&gt;=$N$2,Tabela1[[#This Row],[Data nascimento]]&lt;=$M$2),"INICIADO",J1007)</f>
        <v>JUVENIL</v>
      </c>
      <c r="J1007" s="9" t="str">
        <f>IF(AND(Tabela1[[#This Row],[Data nascimento]]&gt;=$P$2,Tabela1[[#This Row],[Data nascimento]]&lt;=$O$2),"JUVENIL","JÚNIOR")</f>
        <v>JUVENIL</v>
      </c>
    </row>
    <row r="1008" spans="1:10" ht="15" x14ac:dyDescent="0.4">
      <c r="A1008" s="13" t="s">
        <v>785</v>
      </c>
      <c r="B1008" s="2" t="s">
        <v>786</v>
      </c>
      <c r="C1008" s="4" t="s">
        <v>8</v>
      </c>
      <c r="D1008" s="11">
        <v>39621</v>
      </c>
      <c r="E1008" s="7" t="s">
        <v>787</v>
      </c>
      <c r="F1008" s="4" t="s">
        <v>4769</v>
      </c>
      <c r="G1008" s="12" t="str">
        <f>IF(AND(Tabela1[[#This Row],[Data nascimento]]&gt;=$J$2,Tabela1[[#This Row],[Data nascimento]]&lt;=$I$2),"INFANTIL A",H1008)</f>
        <v>JUVENIL</v>
      </c>
      <c r="H1008" s="3" t="str">
        <f>IF(AND(Tabela1[[#This Row],[Data nascimento]]&gt;=$L$2,Tabela1[[#This Row],[Data nascimento]]&lt;=$K$2),"INFANTIL B",I1008)</f>
        <v>JUVENIL</v>
      </c>
      <c r="I1008" s="9" t="str">
        <f>IF(AND(Tabela1[[#This Row],[Data nascimento]]&gt;=$N$2,Tabela1[[#This Row],[Data nascimento]]&lt;=$M$2),"INICIADO",J1008)</f>
        <v>JUVENIL</v>
      </c>
      <c r="J1008" s="9" t="str">
        <f>IF(AND(Tabela1[[#This Row],[Data nascimento]]&gt;=$P$2,Tabela1[[#This Row],[Data nascimento]]&lt;=$O$2),"JUVENIL","JÚNIOR")</f>
        <v>JUVENIL</v>
      </c>
    </row>
    <row r="1009" spans="1:10" ht="15" x14ac:dyDescent="0.4">
      <c r="A1009" s="13" t="s">
        <v>788</v>
      </c>
      <c r="B1009" s="2" t="s">
        <v>789</v>
      </c>
      <c r="C1009" s="4" t="s">
        <v>8</v>
      </c>
      <c r="D1009" s="11">
        <v>39042</v>
      </c>
      <c r="E1009" s="7" t="s">
        <v>790</v>
      </c>
      <c r="F1009" s="4" t="s">
        <v>4769</v>
      </c>
      <c r="G1009" s="12" t="str">
        <f>IF(AND(Tabela1[[#This Row],[Data nascimento]]&gt;=$J$2,Tabela1[[#This Row],[Data nascimento]]&lt;=$I$2),"INFANTIL A",H1009)</f>
        <v>JÚNIOR</v>
      </c>
      <c r="H1009" s="3" t="str">
        <f>IF(AND(Tabela1[[#This Row],[Data nascimento]]&gt;=$L$2,Tabela1[[#This Row],[Data nascimento]]&lt;=$K$2),"INFANTIL B",I1009)</f>
        <v>JÚNIOR</v>
      </c>
      <c r="I1009" s="9" t="str">
        <f>IF(AND(Tabela1[[#This Row],[Data nascimento]]&gt;=$N$2,Tabela1[[#This Row],[Data nascimento]]&lt;=$M$2),"INICIADO",J1009)</f>
        <v>JÚNIOR</v>
      </c>
      <c r="J1009" s="9" t="str">
        <f>IF(AND(Tabela1[[#This Row],[Data nascimento]]&gt;=$P$2,Tabela1[[#This Row],[Data nascimento]]&lt;=$O$2),"JUVENIL","JÚNIOR")</f>
        <v>JÚNIOR</v>
      </c>
    </row>
    <row r="1010" spans="1:10" ht="15" x14ac:dyDescent="0.4">
      <c r="A1010" s="13" t="s">
        <v>791</v>
      </c>
      <c r="B1010" s="2" t="s">
        <v>792</v>
      </c>
      <c r="C1010" s="4" t="s">
        <v>8</v>
      </c>
      <c r="D1010" s="11">
        <v>39266</v>
      </c>
      <c r="E1010" s="7" t="s">
        <v>793</v>
      </c>
      <c r="F1010" s="4" t="s">
        <v>4769</v>
      </c>
      <c r="G1010" s="12" t="str">
        <f>IF(AND(Tabela1[[#This Row],[Data nascimento]]&gt;=$J$2,Tabela1[[#This Row],[Data nascimento]]&lt;=$I$2),"INFANTIL A",H1010)</f>
        <v>JÚNIOR</v>
      </c>
      <c r="H1010" s="3" t="str">
        <f>IF(AND(Tabela1[[#This Row],[Data nascimento]]&gt;=$L$2,Tabela1[[#This Row],[Data nascimento]]&lt;=$K$2),"INFANTIL B",I1010)</f>
        <v>JÚNIOR</v>
      </c>
      <c r="I1010" s="9" t="str">
        <f>IF(AND(Tabela1[[#This Row],[Data nascimento]]&gt;=$N$2,Tabela1[[#This Row],[Data nascimento]]&lt;=$M$2),"INICIADO",J1010)</f>
        <v>JÚNIOR</v>
      </c>
      <c r="J1010" s="9" t="str">
        <f>IF(AND(Tabela1[[#This Row],[Data nascimento]]&gt;=$P$2,Tabela1[[#This Row],[Data nascimento]]&lt;=$O$2),"JUVENIL","JÚNIOR")</f>
        <v>JÚNIOR</v>
      </c>
    </row>
    <row r="1011" spans="1:10" ht="15" x14ac:dyDescent="0.4">
      <c r="A1011" s="13" t="s">
        <v>794</v>
      </c>
      <c r="B1011" s="2" t="s">
        <v>795</v>
      </c>
      <c r="C1011" s="4" t="s">
        <v>8</v>
      </c>
      <c r="D1011" s="11">
        <v>39541</v>
      </c>
      <c r="E1011" s="7" t="s">
        <v>796</v>
      </c>
      <c r="F1011" s="4" t="s">
        <v>4769</v>
      </c>
      <c r="G1011" s="12" t="str">
        <f>IF(AND(Tabela1[[#This Row],[Data nascimento]]&gt;=$J$2,Tabela1[[#This Row],[Data nascimento]]&lt;=$I$2),"INFANTIL A",H1011)</f>
        <v>JUVENIL</v>
      </c>
      <c r="H1011" s="3" t="str">
        <f>IF(AND(Tabela1[[#This Row],[Data nascimento]]&gt;=$L$2,Tabela1[[#This Row],[Data nascimento]]&lt;=$K$2),"INFANTIL B",I1011)</f>
        <v>JUVENIL</v>
      </c>
      <c r="I1011" s="9" t="str">
        <f>IF(AND(Tabela1[[#This Row],[Data nascimento]]&gt;=$N$2,Tabela1[[#This Row],[Data nascimento]]&lt;=$M$2),"INICIADO",J1011)</f>
        <v>JUVENIL</v>
      </c>
      <c r="J1011" s="9" t="str">
        <f>IF(AND(Tabela1[[#This Row],[Data nascimento]]&gt;=$P$2,Tabela1[[#This Row],[Data nascimento]]&lt;=$O$2),"JUVENIL","JÚNIOR")</f>
        <v>JUVENIL</v>
      </c>
    </row>
    <row r="1012" spans="1:10" ht="15" x14ac:dyDescent="0.4">
      <c r="A1012" s="13" t="s">
        <v>797</v>
      </c>
      <c r="B1012" s="2" t="s">
        <v>798</v>
      </c>
      <c r="C1012" s="4" t="s">
        <v>8</v>
      </c>
      <c r="D1012" s="11">
        <v>39756</v>
      </c>
      <c r="E1012" s="7" t="s">
        <v>799</v>
      </c>
      <c r="F1012" s="4" t="s">
        <v>4769</v>
      </c>
      <c r="G1012" s="12" t="str">
        <f>IF(AND(Tabela1[[#This Row],[Data nascimento]]&gt;=$J$2,Tabela1[[#This Row],[Data nascimento]]&lt;=$I$2),"INFANTIL A",H1012)</f>
        <v>JUVENIL</v>
      </c>
      <c r="H1012" s="3" t="str">
        <f>IF(AND(Tabela1[[#This Row],[Data nascimento]]&gt;=$L$2,Tabela1[[#This Row],[Data nascimento]]&lt;=$K$2),"INFANTIL B",I1012)</f>
        <v>JUVENIL</v>
      </c>
      <c r="I1012" s="9" t="str">
        <f>IF(AND(Tabela1[[#This Row],[Data nascimento]]&gt;=$N$2,Tabela1[[#This Row],[Data nascimento]]&lt;=$M$2),"INICIADO",J1012)</f>
        <v>JUVENIL</v>
      </c>
      <c r="J1012" s="9" t="str">
        <f>IF(AND(Tabela1[[#This Row],[Data nascimento]]&gt;=$P$2,Tabela1[[#This Row],[Data nascimento]]&lt;=$O$2),"JUVENIL","JÚNIOR")</f>
        <v>JUVENIL</v>
      </c>
    </row>
    <row r="1013" spans="1:10" ht="15" x14ac:dyDescent="0.4">
      <c r="A1013" s="13" t="s">
        <v>800</v>
      </c>
      <c r="B1013" s="2" t="s">
        <v>801</v>
      </c>
      <c r="C1013" s="4" t="s">
        <v>8</v>
      </c>
      <c r="D1013" s="11">
        <v>39751</v>
      </c>
      <c r="E1013" s="7" t="s">
        <v>802</v>
      </c>
      <c r="F1013" s="4" t="s">
        <v>4769</v>
      </c>
      <c r="G1013" s="12" t="str">
        <f>IF(AND(Tabela1[[#This Row],[Data nascimento]]&gt;=$J$2,Tabela1[[#This Row],[Data nascimento]]&lt;=$I$2),"INFANTIL A",H1013)</f>
        <v>JUVENIL</v>
      </c>
      <c r="H1013" s="3" t="str">
        <f>IF(AND(Tabela1[[#This Row],[Data nascimento]]&gt;=$L$2,Tabela1[[#This Row],[Data nascimento]]&lt;=$K$2),"INFANTIL B",I1013)</f>
        <v>JUVENIL</v>
      </c>
      <c r="I1013" s="9" t="str">
        <f>IF(AND(Tabela1[[#This Row],[Data nascimento]]&gt;=$N$2,Tabela1[[#This Row],[Data nascimento]]&lt;=$M$2),"INICIADO",J1013)</f>
        <v>JUVENIL</v>
      </c>
      <c r="J1013" s="9" t="str">
        <f>IF(AND(Tabela1[[#This Row],[Data nascimento]]&gt;=$P$2,Tabela1[[#This Row],[Data nascimento]]&lt;=$O$2),"JUVENIL","JÚNIOR")</f>
        <v>JUVENIL</v>
      </c>
    </row>
    <row r="1014" spans="1:10" ht="15" x14ac:dyDescent="0.4">
      <c r="A1014" s="13" t="s">
        <v>803</v>
      </c>
      <c r="B1014" s="2" t="s">
        <v>804</v>
      </c>
      <c r="C1014" s="4" t="s">
        <v>8</v>
      </c>
      <c r="D1014" s="11">
        <v>39486</v>
      </c>
      <c r="E1014" s="7" t="s">
        <v>805</v>
      </c>
      <c r="F1014" s="4" t="s">
        <v>4769</v>
      </c>
      <c r="G1014" s="12" t="str">
        <f>IF(AND(Tabela1[[#This Row],[Data nascimento]]&gt;=$J$2,Tabela1[[#This Row],[Data nascimento]]&lt;=$I$2),"INFANTIL A",H1014)</f>
        <v>JUVENIL</v>
      </c>
      <c r="H1014" s="3" t="str">
        <f>IF(AND(Tabela1[[#This Row],[Data nascimento]]&gt;=$L$2,Tabela1[[#This Row],[Data nascimento]]&lt;=$K$2),"INFANTIL B",I1014)</f>
        <v>JUVENIL</v>
      </c>
      <c r="I1014" s="9" t="str">
        <f>IF(AND(Tabela1[[#This Row],[Data nascimento]]&gt;=$N$2,Tabela1[[#This Row],[Data nascimento]]&lt;=$M$2),"INICIADO",J1014)</f>
        <v>JUVENIL</v>
      </c>
      <c r="J1014" s="9" t="str">
        <f>IF(AND(Tabela1[[#This Row],[Data nascimento]]&gt;=$P$2,Tabela1[[#This Row],[Data nascimento]]&lt;=$O$2),"JUVENIL","JÚNIOR")</f>
        <v>JUVENIL</v>
      </c>
    </row>
    <row r="1015" spans="1:10" ht="15" x14ac:dyDescent="0.4">
      <c r="A1015" s="13" t="s">
        <v>806</v>
      </c>
      <c r="B1015" s="2" t="s">
        <v>807</v>
      </c>
      <c r="C1015" s="4" t="s">
        <v>8</v>
      </c>
      <c r="D1015" s="11">
        <v>39036</v>
      </c>
      <c r="E1015" s="7" t="s">
        <v>808</v>
      </c>
      <c r="F1015" s="4" t="s">
        <v>4769</v>
      </c>
      <c r="G1015" s="12" t="str">
        <f>IF(AND(Tabela1[[#This Row],[Data nascimento]]&gt;=$J$2,Tabela1[[#This Row],[Data nascimento]]&lt;=$I$2),"INFANTIL A",H1015)</f>
        <v>JÚNIOR</v>
      </c>
      <c r="H1015" s="3" t="str">
        <f>IF(AND(Tabela1[[#This Row],[Data nascimento]]&gt;=$L$2,Tabela1[[#This Row],[Data nascimento]]&lt;=$K$2),"INFANTIL B",I1015)</f>
        <v>JÚNIOR</v>
      </c>
      <c r="I1015" s="9" t="str">
        <f>IF(AND(Tabela1[[#This Row],[Data nascimento]]&gt;=$N$2,Tabela1[[#This Row],[Data nascimento]]&lt;=$M$2),"INICIADO",J1015)</f>
        <v>JÚNIOR</v>
      </c>
      <c r="J1015" s="9" t="str">
        <f>IF(AND(Tabela1[[#This Row],[Data nascimento]]&gt;=$P$2,Tabela1[[#This Row],[Data nascimento]]&lt;=$O$2),"JUVENIL","JÚNIOR")</f>
        <v>JÚNIOR</v>
      </c>
    </row>
    <row r="1016" spans="1:10" ht="15" x14ac:dyDescent="0.4">
      <c r="A1016" s="13" t="s">
        <v>809</v>
      </c>
      <c r="B1016" s="2" t="s">
        <v>810</v>
      </c>
      <c r="C1016" s="4" t="s">
        <v>8</v>
      </c>
      <c r="D1016" s="11">
        <v>39311</v>
      </c>
      <c r="E1016" s="7" t="s">
        <v>811</v>
      </c>
      <c r="F1016" s="4" t="s">
        <v>4769</v>
      </c>
      <c r="G1016" s="12" t="str">
        <f>IF(AND(Tabela1[[#This Row],[Data nascimento]]&gt;=$J$2,Tabela1[[#This Row],[Data nascimento]]&lt;=$I$2),"INFANTIL A",H1016)</f>
        <v>JÚNIOR</v>
      </c>
      <c r="H1016" s="3" t="str">
        <f>IF(AND(Tabela1[[#This Row],[Data nascimento]]&gt;=$L$2,Tabela1[[#This Row],[Data nascimento]]&lt;=$K$2),"INFANTIL B",I1016)</f>
        <v>JÚNIOR</v>
      </c>
      <c r="I1016" s="9" t="str">
        <f>IF(AND(Tabela1[[#This Row],[Data nascimento]]&gt;=$N$2,Tabela1[[#This Row],[Data nascimento]]&lt;=$M$2),"INICIADO",J1016)</f>
        <v>JÚNIOR</v>
      </c>
      <c r="J1016" s="9" t="str">
        <f>IF(AND(Tabela1[[#This Row],[Data nascimento]]&gt;=$P$2,Tabela1[[#This Row],[Data nascimento]]&lt;=$O$2),"JUVENIL","JÚNIOR")</f>
        <v>JÚNIOR</v>
      </c>
    </row>
    <row r="1017" spans="1:10" ht="15" x14ac:dyDescent="0.4">
      <c r="A1017" s="13" t="s">
        <v>812</v>
      </c>
      <c r="B1017" s="2" t="s">
        <v>813</v>
      </c>
      <c r="C1017" s="4" t="s">
        <v>8</v>
      </c>
      <c r="D1017" s="11">
        <v>39357</v>
      </c>
      <c r="E1017" s="7" t="s">
        <v>814</v>
      </c>
      <c r="F1017" s="4" t="s">
        <v>4769</v>
      </c>
      <c r="G1017" s="12" t="str">
        <f>IF(AND(Tabela1[[#This Row],[Data nascimento]]&gt;=$J$2,Tabela1[[#This Row],[Data nascimento]]&lt;=$I$2),"INFANTIL A",H1017)</f>
        <v>JÚNIOR</v>
      </c>
      <c r="H1017" s="3" t="str">
        <f>IF(AND(Tabela1[[#This Row],[Data nascimento]]&gt;=$L$2,Tabela1[[#This Row],[Data nascimento]]&lt;=$K$2),"INFANTIL B",I1017)</f>
        <v>JÚNIOR</v>
      </c>
      <c r="I1017" s="9" t="str">
        <f>IF(AND(Tabela1[[#This Row],[Data nascimento]]&gt;=$N$2,Tabela1[[#This Row],[Data nascimento]]&lt;=$M$2),"INICIADO",J1017)</f>
        <v>JÚNIOR</v>
      </c>
      <c r="J1017" s="9" t="str">
        <f>IF(AND(Tabela1[[#This Row],[Data nascimento]]&gt;=$P$2,Tabela1[[#This Row],[Data nascimento]]&lt;=$O$2),"JUVENIL","JÚNIOR")</f>
        <v>JÚNIOR</v>
      </c>
    </row>
    <row r="1018" spans="1:10" ht="15" x14ac:dyDescent="0.4">
      <c r="A1018" s="13" t="s">
        <v>815</v>
      </c>
      <c r="B1018" s="2" t="s">
        <v>816</v>
      </c>
      <c r="C1018" s="4" t="s">
        <v>8</v>
      </c>
      <c r="D1018" s="11">
        <v>39602</v>
      </c>
      <c r="E1018" s="7" t="s">
        <v>817</v>
      </c>
      <c r="F1018" s="4" t="s">
        <v>4769</v>
      </c>
      <c r="G1018" s="12" t="str">
        <f>IF(AND(Tabela1[[#This Row],[Data nascimento]]&gt;=$J$2,Tabela1[[#This Row],[Data nascimento]]&lt;=$I$2),"INFANTIL A",H1018)</f>
        <v>JUVENIL</v>
      </c>
      <c r="H1018" s="3" t="str">
        <f>IF(AND(Tabela1[[#This Row],[Data nascimento]]&gt;=$L$2,Tabela1[[#This Row],[Data nascimento]]&lt;=$K$2),"INFANTIL B",I1018)</f>
        <v>JUVENIL</v>
      </c>
      <c r="I1018" s="9" t="str">
        <f>IF(AND(Tabela1[[#This Row],[Data nascimento]]&gt;=$N$2,Tabela1[[#This Row],[Data nascimento]]&lt;=$M$2),"INICIADO",J1018)</f>
        <v>JUVENIL</v>
      </c>
      <c r="J1018" s="9" t="str">
        <f>IF(AND(Tabela1[[#This Row],[Data nascimento]]&gt;=$P$2,Tabela1[[#This Row],[Data nascimento]]&lt;=$O$2),"JUVENIL","JÚNIOR")</f>
        <v>JUVENIL</v>
      </c>
    </row>
    <row r="1019" spans="1:10" ht="15" x14ac:dyDescent="0.4">
      <c r="A1019" s="13" t="s">
        <v>818</v>
      </c>
      <c r="B1019" s="2" t="s">
        <v>819</v>
      </c>
      <c r="C1019" s="4" t="s">
        <v>8</v>
      </c>
      <c r="D1019" s="11">
        <v>39573</v>
      </c>
      <c r="E1019" s="7" t="s">
        <v>820</v>
      </c>
      <c r="F1019" s="4" t="s">
        <v>4769</v>
      </c>
      <c r="G1019" s="12" t="str">
        <f>IF(AND(Tabela1[[#This Row],[Data nascimento]]&gt;=$J$2,Tabela1[[#This Row],[Data nascimento]]&lt;=$I$2),"INFANTIL A",H1019)</f>
        <v>JUVENIL</v>
      </c>
      <c r="H1019" s="3" t="str">
        <f>IF(AND(Tabela1[[#This Row],[Data nascimento]]&gt;=$L$2,Tabela1[[#This Row],[Data nascimento]]&lt;=$K$2),"INFANTIL B",I1019)</f>
        <v>JUVENIL</v>
      </c>
      <c r="I1019" s="9" t="str">
        <f>IF(AND(Tabela1[[#This Row],[Data nascimento]]&gt;=$N$2,Tabela1[[#This Row],[Data nascimento]]&lt;=$M$2),"INICIADO",J1019)</f>
        <v>JUVENIL</v>
      </c>
      <c r="J1019" s="9" t="str">
        <f>IF(AND(Tabela1[[#This Row],[Data nascimento]]&gt;=$P$2,Tabela1[[#This Row],[Data nascimento]]&lt;=$O$2),"JUVENIL","JÚNIOR")</f>
        <v>JUVENIL</v>
      </c>
    </row>
    <row r="1020" spans="1:10" ht="15" x14ac:dyDescent="0.4">
      <c r="A1020" s="13" t="s">
        <v>821</v>
      </c>
      <c r="B1020" s="2" t="s">
        <v>822</v>
      </c>
      <c r="C1020" s="4" t="s">
        <v>8</v>
      </c>
      <c r="D1020" s="11">
        <v>39500</v>
      </c>
      <c r="E1020" s="7" t="s">
        <v>823</v>
      </c>
      <c r="F1020" s="4" t="s">
        <v>4769</v>
      </c>
      <c r="G1020" s="12" t="str">
        <f>IF(AND(Tabela1[[#This Row],[Data nascimento]]&gt;=$J$2,Tabela1[[#This Row],[Data nascimento]]&lt;=$I$2),"INFANTIL A",H1020)</f>
        <v>JUVENIL</v>
      </c>
      <c r="H1020" s="3" t="str">
        <f>IF(AND(Tabela1[[#This Row],[Data nascimento]]&gt;=$L$2,Tabela1[[#This Row],[Data nascimento]]&lt;=$K$2),"INFANTIL B",I1020)</f>
        <v>JUVENIL</v>
      </c>
      <c r="I1020" s="9" t="str">
        <f>IF(AND(Tabela1[[#This Row],[Data nascimento]]&gt;=$N$2,Tabela1[[#This Row],[Data nascimento]]&lt;=$M$2),"INICIADO",J1020)</f>
        <v>JUVENIL</v>
      </c>
      <c r="J1020" s="9" t="str">
        <f>IF(AND(Tabela1[[#This Row],[Data nascimento]]&gt;=$P$2,Tabela1[[#This Row],[Data nascimento]]&lt;=$O$2),"JUVENIL","JÚNIOR")</f>
        <v>JUVENIL</v>
      </c>
    </row>
    <row r="1021" spans="1:10" ht="15" x14ac:dyDescent="0.4">
      <c r="A1021" s="13" t="s">
        <v>824</v>
      </c>
      <c r="B1021" s="2" t="s">
        <v>825</v>
      </c>
      <c r="C1021" s="4" t="s">
        <v>8</v>
      </c>
      <c r="D1021" s="11">
        <v>39162</v>
      </c>
      <c r="E1021" s="7" t="s">
        <v>826</v>
      </c>
      <c r="F1021" s="4" t="s">
        <v>4770</v>
      </c>
      <c r="G1021" s="12" t="str">
        <f>IF(AND(Tabela1[[#This Row],[Data nascimento]]&gt;=$J$2,Tabela1[[#This Row],[Data nascimento]]&lt;=$I$2),"INFANTIL A",H1021)</f>
        <v>JÚNIOR</v>
      </c>
      <c r="H1021" s="3" t="str">
        <f>IF(AND(Tabela1[[#This Row],[Data nascimento]]&gt;=$L$2,Tabela1[[#This Row],[Data nascimento]]&lt;=$K$2),"INFANTIL B",I1021)</f>
        <v>JÚNIOR</v>
      </c>
      <c r="I1021" s="9" t="str">
        <f>IF(AND(Tabela1[[#This Row],[Data nascimento]]&gt;=$N$2,Tabela1[[#This Row],[Data nascimento]]&lt;=$M$2),"INICIADO",J1021)</f>
        <v>JÚNIOR</v>
      </c>
      <c r="J1021" s="9" t="str">
        <f>IF(AND(Tabela1[[#This Row],[Data nascimento]]&gt;=$P$2,Tabela1[[#This Row],[Data nascimento]]&lt;=$O$2),"JUVENIL","JÚNIOR")</f>
        <v>JÚNIOR</v>
      </c>
    </row>
    <row r="1022" spans="1:10" ht="15" x14ac:dyDescent="0.4">
      <c r="A1022" s="13" t="s">
        <v>827</v>
      </c>
      <c r="B1022" s="2" t="s">
        <v>828</v>
      </c>
      <c r="C1022" s="4" t="s">
        <v>8</v>
      </c>
      <c r="D1022" s="11">
        <v>39766</v>
      </c>
      <c r="E1022" s="7" t="s">
        <v>829</v>
      </c>
      <c r="F1022" s="4" t="s">
        <v>4770</v>
      </c>
      <c r="G1022" s="12" t="str">
        <f>IF(AND(Tabela1[[#This Row],[Data nascimento]]&gt;=$J$2,Tabela1[[#This Row],[Data nascimento]]&lt;=$I$2),"INFANTIL A",H1022)</f>
        <v>JUVENIL</v>
      </c>
      <c r="H1022" s="3" t="str">
        <f>IF(AND(Tabela1[[#This Row],[Data nascimento]]&gt;=$L$2,Tabela1[[#This Row],[Data nascimento]]&lt;=$K$2),"INFANTIL B",I1022)</f>
        <v>JUVENIL</v>
      </c>
      <c r="I1022" s="9" t="str">
        <f>IF(AND(Tabela1[[#This Row],[Data nascimento]]&gt;=$N$2,Tabela1[[#This Row],[Data nascimento]]&lt;=$M$2),"INICIADO",J1022)</f>
        <v>JUVENIL</v>
      </c>
      <c r="J1022" s="9" t="str">
        <f>IF(AND(Tabela1[[#This Row],[Data nascimento]]&gt;=$P$2,Tabela1[[#This Row],[Data nascimento]]&lt;=$O$2),"JUVENIL","JÚNIOR")</f>
        <v>JUVENIL</v>
      </c>
    </row>
    <row r="1023" spans="1:10" ht="15" x14ac:dyDescent="0.4">
      <c r="A1023" s="13" t="s">
        <v>830</v>
      </c>
      <c r="B1023" s="2" t="s">
        <v>831</v>
      </c>
      <c r="C1023" s="4" t="s">
        <v>8</v>
      </c>
      <c r="D1023" s="11">
        <v>39240</v>
      </c>
      <c r="E1023" s="7" t="s">
        <v>832</v>
      </c>
      <c r="F1023" s="4" t="s">
        <v>4770</v>
      </c>
      <c r="G1023" s="12" t="str">
        <f>IF(AND(Tabela1[[#This Row],[Data nascimento]]&gt;=$J$2,Tabela1[[#This Row],[Data nascimento]]&lt;=$I$2),"INFANTIL A",H1023)</f>
        <v>JÚNIOR</v>
      </c>
      <c r="H1023" s="3" t="str">
        <f>IF(AND(Tabela1[[#This Row],[Data nascimento]]&gt;=$L$2,Tabela1[[#This Row],[Data nascimento]]&lt;=$K$2),"INFANTIL B",I1023)</f>
        <v>JÚNIOR</v>
      </c>
      <c r="I1023" s="9" t="str">
        <f>IF(AND(Tabela1[[#This Row],[Data nascimento]]&gt;=$N$2,Tabela1[[#This Row],[Data nascimento]]&lt;=$M$2),"INICIADO",J1023)</f>
        <v>JÚNIOR</v>
      </c>
      <c r="J1023" s="9" t="str">
        <f>IF(AND(Tabela1[[#This Row],[Data nascimento]]&gt;=$P$2,Tabela1[[#This Row],[Data nascimento]]&lt;=$O$2),"JUVENIL","JÚNIOR")</f>
        <v>JÚNIOR</v>
      </c>
    </row>
    <row r="1024" spans="1:10" ht="15" x14ac:dyDescent="0.4">
      <c r="A1024" s="13" t="s">
        <v>833</v>
      </c>
      <c r="B1024" s="2" t="s">
        <v>834</v>
      </c>
      <c r="C1024" s="4" t="s">
        <v>8</v>
      </c>
      <c r="D1024" s="11">
        <v>39087</v>
      </c>
      <c r="E1024" s="7" t="s">
        <v>835</v>
      </c>
      <c r="F1024" s="4" t="s">
        <v>4770</v>
      </c>
      <c r="G1024" s="12" t="str">
        <f>IF(AND(Tabela1[[#This Row],[Data nascimento]]&gt;=$J$2,Tabela1[[#This Row],[Data nascimento]]&lt;=$I$2),"INFANTIL A",H1024)</f>
        <v>JÚNIOR</v>
      </c>
      <c r="H1024" s="3" t="str">
        <f>IF(AND(Tabela1[[#This Row],[Data nascimento]]&gt;=$L$2,Tabela1[[#This Row],[Data nascimento]]&lt;=$K$2),"INFANTIL B",I1024)</f>
        <v>JÚNIOR</v>
      </c>
      <c r="I1024" s="9" t="str">
        <f>IF(AND(Tabela1[[#This Row],[Data nascimento]]&gt;=$N$2,Tabela1[[#This Row],[Data nascimento]]&lt;=$M$2),"INICIADO",J1024)</f>
        <v>JÚNIOR</v>
      </c>
      <c r="J1024" s="9" t="str">
        <f>IF(AND(Tabela1[[#This Row],[Data nascimento]]&gt;=$P$2,Tabela1[[#This Row],[Data nascimento]]&lt;=$O$2),"JUVENIL","JÚNIOR")</f>
        <v>JÚNIOR</v>
      </c>
    </row>
    <row r="1025" spans="1:10" ht="15" x14ac:dyDescent="0.4">
      <c r="A1025" s="13" t="s">
        <v>836</v>
      </c>
      <c r="B1025" s="2" t="s">
        <v>837</v>
      </c>
      <c r="C1025" s="4" t="s">
        <v>8</v>
      </c>
      <c r="D1025" s="11">
        <v>39682</v>
      </c>
      <c r="E1025" s="7" t="s">
        <v>838</v>
      </c>
      <c r="F1025" s="4" t="s">
        <v>4770</v>
      </c>
      <c r="G1025" s="12" t="str">
        <f>IF(AND(Tabela1[[#This Row],[Data nascimento]]&gt;=$J$2,Tabela1[[#This Row],[Data nascimento]]&lt;=$I$2),"INFANTIL A",H1025)</f>
        <v>JUVENIL</v>
      </c>
      <c r="H1025" s="3" t="str">
        <f>IF(AND(Tabela1[[#This Row],[Data nascimento]]&gt;=$L$2,Tabela1[[#This Row],[Data nascimento]]&lt;=$K$2),"INFANTIL B",I1025)</f>
        <v>JUVENIL</v>
      </c>
      <c r="I1025" s="9" t="str">
        <f>IF(AND(Tabela1[[#This Row],[Data nascimento]]&gt;=$N$2,Tabela1[[#This Row],[Data nascimento]]&lt;=$M$2),"INICIADO",J1025)</f>
        <v>JUVENIL</v>
      </c>
      <c r="J1025" s="9" t="str">
        <f>IF(AND(Tabela1[[#This Row],[Data nascimento]]&gt;=$P$2,Tabela1[[#This Row],[Data nascimento]]&lt;=$O$2),"JUVENIL","JÚNIOR")</f>
        <v>JUVENIL</v>
      </c>
    </row>
    <row r="1026" spans="1:10" ht="15" x14ac:dyDescent="0.4">
      <c r="A1026" s="13" t="s">
        <v>839</v>
      </c>
      <c r="B1026" s="2" t="s">
        <v>840</v>
      </c>
      <c r="C1026" s="4" t="s">
        <v>8</v>
      </c>
      <c r="D1026" s="11">
        <v>39142</v>
      </c>
      <c r="E1026" s="7" t="s">
        <v>841</v>
      </c>
      <c r="F1026" s="4" t="s">
        <v>4770</v>
      </c>
      <c r="G1026" s="12" t="str">
        <f>IF(AND(Tabela1[[#This Row],[Data nascimento]]&gt;=$J$2,Tabela1[[#This Row],[Data nascimento]]&lt;=$I$2),"INFANTIL A",H1026)</f>
        <v>JÚNIOR</v>
      </c>
      <c r="H1026" s="3" t="str">
        <f>IF(AND(Tabela1[[#This Row],[Data nascimento]]&gt;=$L$2,Tabela1[[#This Row],[Data nascimento]]&lt;=$K$2),"INFANTIL B",I1026)</f>
        <v>JÚNIOR</v>
      </c>
      <c r="I1026" s="9" t="str">
        <f>IF(AND(Tabela1[[#This Row],[Data nascimento]]&gt;=$N$2,Tabela1[[#This Row],[Data nascimento]]&lt;=$M$2),"INICIADO",J1026)</f>
        <v>JÚNIOR</v>
      </c>
      <c r="J1026" s="9" t="str">
        <f>IF(AND(Tabela1[[#This Row],[Data nascimento]]&gt;=$P$2,Tabela1[[#This Row],[Data nascimento]]&lt;=$O$2),"JUVENIL","JÚNIOR")</f>
        <v>JÚNIOR</v>
      </c>
    </row>
    <row r="1027" spans="1:10" ht="15" x14ac:dyDescent="0.4">
      <c r="A1027" s="13" t="s">
        <v>842</v>
      </c>
      <c r="B1027" s="2" t="s">
        <v>843</v>
      </c>
      <c r="C1027" s="4" t="s">
        <v>8</v>
      </c>
      <c r="D1027" s="11">
        <v>38732</v>
      </c>
      <c r="E1027" s="7" t="s">
        <v>844</v>
      </c>
      <c r="F1027" s="4" t="s">
        <v>4770</v>
      </c>
      <c r="G1027" s="12" t="str">
        <f>IF(AND(Tabela1[[#This Row],[Data nascimento]]&gt;=$J$2,Tabela1[[#This Row],[Data nascimento]]&lt;=$I$2),"INFANTIL A",H1027)</f>
        <v>JÚNIOR</v>
      </c>
      <c r="H1027" s="3" t="str">
        <f>IF(AND(Tabela1[[#This Row],[Data nascimento]]&gt;=$L$2,Tabela1[[#This Row],[Data nascimento]]&lt;=$K$2),"INFANTIL B",I1027)</f>
        <v>JÚNIOR</v>
      </c>
      <c r="I1027" s="9" t="str">
        <f>IF(AND(Tabela1[[#This Row],[Data nascimento]]&gt;=$N$2,Tabela1[[#This Row],[Data nascimento]]&lt;=$M$2),"INICIADO",J1027)</f>
        <v>JÚNIOR</v>
      </c>
      <c r="J1027" s="9" t="str">
        <f>IF(AND(Tabela1[[#This Row],[Data nascimento]]&gt;=$P$2,Tabela1[[#This Row],[Data nascimento]]&lt;=$O$2),"JUVENIL","JÚNIOR")</f>
        <v>JÚNIOR</v>
      </c>
    </row>
    <row r="1028" spans="1:10" ht="15" x14ac:dyDescent="0.4">
      <c r="A1028" s="13" t="s">
        <v>845</v>
      </c>
      <c r="B1028" s="2" t="s">
        <v>846</v>
      </c>
      <c r="C1028" s="4" t="s">
        <v>8</v>
      </c>
      <c r="D1028" s="11">
        <v>39577</v>
      </c>
      <c r="E1028" s="7" t="s">
        <v>847</v>
      </c>
      <c r="F1028" s="4" t="s">
        <v>4770</v>
      </c>
      <c r="G1028" s="12" t="str">
        <f>IF(AND(Tabela1[[#This Row],[Data nascimento]]&gt;=$J$2,Tabela1[[#This Row],[Data nascimento]]&lt;=$I$2),"INFANTIL A",H1028)</f>
        <v>JUVENIL</v>
      </c>
      <c r="H1028" s="3" t="str">
        <f>IF(AND(Tabela1[[#This Row],[Data nascimento]]&gt;=$L$2,Tabela1[[#This Row],[Data nascimento]]&lt;=$K$2),"INFANTIL B",I1028)</f>
        <v>JUVENIL</v>
      </c>
      <c r="I1028" s="9" t="str">
        <f>IF(AND(Tabela1[[#This Row],[Data nascimento]]&gt;=$N$2,Tabela1[[#This Row],[Data nascimento]]&lt;=$M$2),"INICIADO",J1028)</f>
        <v>JUVENIL</v>
      </c>
      <c r="J1028" s="9" t="str">
        <f>IF(AND(Tabela1[[#This Row],[Data nascimento]]&gt;=$P$2,Tabela1[[#This Row],[Data nascimento]]&lt;=$O$2),"JUVENIL","JÚNIOR")</f>
        <v>JUVENIL</v>
      </c>
    </row>
    <row r="1029" spans="1:10" ht="15" x14ac:dyDescent="0.4">
      <c r="A1029" s="13" t="s">
        <v>848</v>
      </c>
      <c r="B1029" s="2" t="s">
        <v>849</v>
      </c>
      <c r="C1029" s="4" t="s">
        <v>8</v>
      </c>
      <c r="D1029" s="11">
        <v>39642</v>
      </c>
      <c r="E1029" s="7" t="s">
        <v>850</v>
      </c>
      <c r="F1029" s="4" t="s">
        <v>4770</v>
      </c>
      <c r="G1029" s="12" t="str">
        <f>IF(AND(Tabela1[[#This Row],[Data nascimento]]&gt;=$J$2,Tabela1[[#This Row],[Data nascimento]]&lt;=$I$2),"INFANTIL A",H1029)</f>
        <v>JUVENIL</v>
      </c>
      <c r="H1029" s="3" t="str">
        <f>IF(AND(Tabela1[[#This Row],[Data nascimento]]&gt;=$L$2,Tabela1[[#This Row],[Data nascimento]]&lt;=$K$2),"INFANTIL B",I1029)</f>
        <v>JUVENIL</v>
      </c>
      <c r="I1029" s="9" t="str">
        <f>IF(AND(Tabela1[[#This Row],[Data nascimento]]&gt;=$N$2,Tabela1[[#This Row],[Data nascimento]]&lt;=$M$2),"INICIADO",J1029)</f>
        <v>JUVENIL</v>
      </c>
      <c r="J1029" s="9" t="str">
        <f>IF(AND(Tabela1[[#This Row],[Data nascimento]]&gt;=$P$2,Tabela1[[#This Row],[Data nascimento]]&lt;=$O$2),"JUVENIL","JÚNIOR")</f>
        <v>JUVENIL</v>
      </c>
    </row>
    <row r="1030" spans="1:10" ht="15" x14ac:dyDescent="0.4">
      <c r="A1030" s="13" t="s">
        <v>851</v>
      </c>
      <c r="B1030" s="2" t="s">
        <v>852</v>
      </c>
      <c r="C1030" s="4" t="s">
        <v>8</v>
      </c>
      <c r="D1030" s="11">
        <v>39462</v>
      </c>
      <c r="E1030" s="7" t="s">
        <v>853</v>
      </c>
      <c r="F1030" s="4" t="s">
        <v>4770</v>
      </c>
      <c r="G1030" s="12" t="str">
        <f>IF(AND(Tabela1[[#This Row],[Data nascimento]]&gt;=$J$2,Tabela1[[#This Row],[Data nascimento]]&lt;=$I$2),"INFANTIL A",H1030)</f>
        <v>JUVENIL</v>
      </c>
      <c r="H1030" s="3" t="str">
        <f>IF(AND(Tabela1[[#This Row],[Data nascimento]]&gt;=$L$2,Tabela1[[#This Row],[Data nascimento]]&lt;=$K$2),"INFANTIL B",I1030)</f>
        <v>JUVENIL</v>
      </c>
      <c r="I1030" s="9" t="str">
        <f>IF(AND(Tabela1[[#This Row],[Data nascimento]]&gt;=$N$2,Tabela1[[#This Row],[Data nascimento]]&lt;=$M$2),"INICIADO",J1030)</f>
        <v>JUVENIL</v>
      </c>
      <c r="J1030" s="9" t="str">
        <f>IF(AND(Tabela1[[#This Row],[Data nascimento]]&gt;=$P$2,Tabela1[[#This Row],[Data nascimento]]&lt;=$O$2),"JUVENIL","JÚNIOR")</f>
        <v>JUVENIL</v>
      </c>
    </row>
    <row r="1031" spans="1:10" ht="15" x14ac:dyDescent="0.4">
      <c r="A1031" s="13" t="s">
        <v>854</v>
      </c>
      <c r="B1031" s="2" t="s">
        <v>855</v>
      </c>
      <c r="C1031" s="4" t="s">
        <v>8</v>
      </c>
      <c r="D1031" s="11">
        <v>39065</v>
      </c>
      <c r="E1031" s="7" t="s">
        <v>856</v>
      </c>
      <c r="F1031" s="4" t="s">
        <v>4770</v>
      </c>
      <c r="G1031" s="12" t="str">
        <f>IF(AND(Tabela1[[#This Row],[Data nascimento]]&gt;=$J$2,Tabela1[[#This Row],[Data nascimento]]&lt;=$I$2),"INFANTIL A",H1031)</f>
        <v>JÚNIOR</v>
      </c>
      <c r="H1031" s="3" t="str">
        <f>IF(AND(Tabela1[[#This Row],[Data nascimento]]&gt;=$L$2,Tabela1[[#This Row],[Data nascimento]]&lt;=$K$2),"INFANTIL B",I1031)</f>
        <v>JÚNIOR</v>
      </c>
      <c r="I1031" s="9" t="str">
        <f>IF(AND(Tabela1[[#This Row],[Data nascimento]]&gt;=$N$2,Tabela1[[#This Row],[Data nascimento]]&lt;=$M$2),"INICIADO",J1031)</f>
        <v>JÚNIOR</v>
      </c>
      <c r="J1031" s="9" t="str">
        <f>IF(AND(Tabela1[[#This Row],[Data nascimento]]&gt;=$P$2,Tabela1[[#This Row],[Data nascimento]]&lt;=$O$2),"JUVENIL","JÚNIOR")</f>
        <v>JÚNIOR</v>
      </c>
    </row>
    <row r="1032" spans="1:10" ht="15" x14ac:dyDescent="0.4">
      <c r="A1032" s="13" t="s">
        <v>857</v>
      </c>
      <c r="B1032" s="2" t="s">
        <v>858</v>
      </c>
      <c r="C1032" s="4" t="s">
        <v>8</v>
      </c>
      <c r="D1032" s="11">
        <v>38812</v>
      </c>
      <c r="E1032" s="7" t="s">
        <v>859</v>
      </c>
      <c r="F1032" s="4" t="s">
        <v>4770</v>
      </c>
      <c r="G1032" s="12" t="str">
        <f>IF(AND(Tabela1[[#This Row],[Data nascimento]]&gt;=$J$2,Tabela1[[#This Row],[Data nascimento]]&lt;=$I$2),"INFANTIL A",H1032)</f>
        <v>JÚNIOR</v>
      </c>
      <c r="H1032" s="3" t="str">
        <f>IF(AND(Tabela1[[#This Row],[Data nascimento]]&gt;=$L$2,Tabela1[[#This Row],[Data nascimento]]&lt;=$K$2),"INFANTIL B",I1032)</f>
        <v>JÚNIOR</v>
      </c>
      <c r="I1032" s="9" t="str">
        <f>IF(AND(Tabela1[[#This Row],[Data nascimento]]&gt;=$N$2,Tabela1[[#This Row],[Data nascimento]]&lt;=$M$2),"INICIADO",J1032)</f>
        <v>JÚNIOR</v>
      </c>
      <c r="J1032" s="9" t="str">
        <f>IF(AND(Tabela1[[#This Row],[Data nascimento]]&gt;=$P$2,Tabela1[[#This Row],[Data nascimento]]&lt;=$O$2),"JUVENIL","JÚNIOR")</f>
        <v>JÚNIOR</v>
      </c>
    </row>
    <row r="1033" spans="1:10" ht="15" x14ac:dyDescent="0.4">
      <c r="A1033" s="13" t="s">
        <v>860</v>
      </c>
      <c r="B1033" s="2" t="s">
        <v>861</v>
      </c>
      <c r="C1033" s="4" t="s">
        <v>8</v>
      </c>
      <c r="D1033" s="11">
        <v>38781</v>
      </c>
      <c r="E1033" s="7" t="s">
        <v>862</v>
      </c>
      <c r="F1033" s="4" t="s">
        <v>4770</v>
      </c>
      <c r="G1033" s="12" t="str">
        <f>IF(AND(Tabela1[[#This Row],[Data nascimento]]&gt;=$J$2,Tabela1[[#This Row],[Data nascimento]]&lt;=$I$2),"INFANTIL A",H1033)</f>
        <v>JÚNIOR</v>
      </c>
      <c r="H1033" s="3" t="str">
        <f>IF(AND(Tabela1[[#This Row],[Data nascimento]]&gt;=$L$2,Tabela1[[#This Row],[Data nascimento]]&lt;=$K$2),"INFANTIL B",I1033)</f>
        <v>JÚNIOR</v>
      </c>
      <c r="I1033" s="9" t="str">
        <f>IF(AND(Tabela1[[#This Row],[Data nascimento]]&gt;=$N$2,Tabela1[[#This Row],[Data nascimento]]&lt;=$M$2),"INICIADO",J1033)</f>
        <v>JÚNIOR</v>
      </c>
      <c r="J1033" s="9" t="str">
        <f>IF(AND(Tabela1[[#This Row],[Data nascimento]]&gt;=$P$2,Tabela1[[#This Row],[Data nascimento]]&lt;=$O$2),"JUVENIL","JÚNIOR")</f>
        <v>JÚNIOR</v>
      </c>
    </row>
    <row r="1034" spans="1:10" ht="15" x14ac:dyDescent="0.4">
      <c r="A1034" s="13" t="s">
        <v>863</v>
      </c>
      <c r="B1034" s="2" t="s">
        <v>864</v>
      </c>
      <c r="C1034" s="4" t="s">
        <v>8</v>
      </c>
      <c r="D1034" s="11">
        <v>39593</v>
      </c>
      <c r="E1034" s="7" t="s">
        <v>865</v>
      </c>
      <c r="F1034" s="4" t="s">
        <v>4770</v>
      </c>
      <c r="G1034" s="12" t="str">
        <f>IF(AND(Tabela1[[#This Row],[Data nascimento]]&gt;=$J$2,Tabela1[[#This Row],[Data nascimento]]&lt;=$I$2),"INFANTIL A",H1034)</f>
        <v>JUVENIL</v>
      </c>
      <c r="H1034" s="3" t="str">
        <f>IF(AND(Tabela1[[#This Row],[Data nascimento]]&gt;=$L$2,Tabela1[[#This Row],[Data nascimento]]&lt;=$K$2),"INFANTIL B",I1034)</f>
        <v>JUVENIL</v>
      </c>
      <c r="I1034" s="9" t="str">
        <f>IF(AND(Tabela1[[#This Row],[Data nascimento]]&gt;=$N$2,Tabela1[[#This Row],[Data nascimento]]&lt;=$M$2),"INICIADO",J1034)</f>
        <v>JUVENIL</v>
      </c>
      <c r="J1034" s="9" t="str">
        <f>IF(AND(Tabela1[[#This Row],[Data nascimento]]&gt;=$P$2,Tabela1[[#This Row],[Data nascimento]]&lt;=$O$2),"JUVENIL","JÚNIOR")</f>
        <v>JUVENIL</v>
      </c>
    </row>
    <row r="1035" spans="1:10" ht="15" x14ac:dyDescent="0.4">
      <c r="A1035" s="13" t="s">
        <v>866</v>
      </c>
      <c r="B1035" s="2" t="s">
        <v>867</v>
      </c>
      <c r="C1035" s="4" t="s">
        <v>8</v>
      </c>
      <c r="D1035" s="11">
        <v>39386</v>
      </c>
      <c r="E1035" s="7" t="s">
        <v>868</v>
      </c>
      <c r="F1035" s="4" t="s">
        <v>4770</v>
      </c>
      <c r="G1035" s="12" t="str">
        <f>IF(AND(Tabela1[[#This Row],[Data nascimento]]&gt;=$J$2,Tabela1[[#This Row],[Data nascimento]]&lt;=$I$2),"INFANTIL A",H1035)</f>
        <v>JÚNIOR</v>
      </c>
      <c r="H1035" s="3" t="str">
        <f>IF(AND(Tabela1[[#This Row],[Data nascimento]]&gt;=$L$2,Tabela1[[#This Row],[Data nascimento]]&lt;=$K$2),"INFANTIL B",I1035)</f>
        <v>JÚNIOR</v>
      </c>
      <c r="I1035" s="9" t="str">
        <f>IF(AND(Tabela1[[#This Row],[Data nascimento]]&gt;=$N$2,Tabela1[[#This Row],[Data nascimento]]&lt;=$M$2),"INICIADO",J1035)</f>
        <v>JÚNIOR</v>
      </c>
      <c r="J1035" s="9" t="str">
        <f>IF(AND(Tabela1[[#This Row],[Data nascimento]]&gt;=$P$2,Tabela1[[#This Row],[Data nascimento]]&lt;=$O$2),"JUVENIL","JÚNIOR")</f>
        <v>JÚNIOR</v>
      </c>
    </row>
    <row r="1036" spans="1:10" ht="15" x14ac:dyDescent="0.4">
      <c r="A1036" s="13" t="s">
        <v>869</v>
      </c>
      <c r="B1036" s="2" t="s">
        <v>870</v>
      </c>
      <c r="C1036" s="4" t="s">
        <v>8</v>
      </c>
      <c r="D1036" s="11">
        <v>39120</v>
      </c>
      <c r="E1036" s="7" t="s">
        <v>871</v>
      </c>
      <c r="F1036" s="4" t="s">
        <v>4770</v>
      </c>
      <c r="G1036" s="12" t="str">
        <f>IF(AND(Tabela1[[#This Row],[Data nascimento]]&gt;=$J$2,Tabela1[[#This Row],[Data nascimento]]&lt;=$I$2),"INFANTIL A",H1036)</f>
        <v>JÚNIOR</v>
      </c>
      <c r="H1036" s="3" t="str">
        <f>IF(AND(Tabela1[[#This Row],[Data nascimento]]&gt;=$L$2,Tabela1[[#This Row],[Data nascimento]]&lt;=$K$2),"INFANTIL B",I1036)</f>
        <v>JÚNIOR</v>
      </c>
      <c r="I1036" s="9" t="str">
        <f>IF(AND(Tabela1[[#This Row],[Data nascimento]]&gt;=$N$2,Tabela1[[#This Row],[Data nascimento]]&lt;=$M$2),"INICIADO",J1036)</f>
        <v>JÚNIOR</v>
      </c>
      <c r="J1036" s="9" t="str">
        <f>IF(AND(Tabela1[[#This Row],[Data nascimento]]&gt;=$P$2,Tabela1[[#This Row],[Data nascimento]]&lt;=$O$2),"JUVENIL","JÚNIOR")</f>
        <v>JÚNIOR</v>
      </c>
    </row>
    <row r="1037" spans="1:10" ht="15" x14ac:dyDescent="0.4">
      <c r="A1037" s="13" t="s">
        <v>872</v>
      </c>
      <c r="B1037" s="2" t="s">
        <v>873</v>
      </c>
      <c r="C1037" s="4" t="s">
        <v>8</v>
      </c>
      <c r="D1037" s="11">
        <v>39875</v>
      </c>
      <c r="E1037" s="7" t="s">
        <v>874</v>
      </c>
      <c r="F1037" s="4" t="s">
        <v>4770</v>
      </c>
      <c r="G1037" s="12" t="str">
        <f>IF(AND(Tabela1[[#This Row],[Data nascimento]]&gt;=$J$2,Tabela1[[#This Row],[Data nascimento]]&lt;=$I$2),"INFANTIL A",H1037)</f>
        <v>JUVENIL</v>
      </c>
      <c r="H1037" s="3" t="str">
        <f>IF(AND(Tabela1[[#This Row],[Data nascimento]]&gt;=$L$2,Tabela1[[#This Row],[Data nascimento]]&lt;=$K$2),"INFANTIL B",I1037)</f>
        <v>JUVENIL</v>
      </c>
      <c r="I1037" s="9" t="str">
        <f>IF(AND(Tabela1[[#This Row],[Data nascimento]]&gt;=$N$2,Tabela1[[#This Row],[Data nascimento]]&lt;=$M$2),"INICIADO",J1037)</f>
        <v>JUVENIL</v>
      </c>
      <c r="J1037" s="9" t="str">
        <f>IF(AND(Tabela1[[#This Row],[Data nascimento]]&gt;=$P$2,Tabela1[[#This Row],[Data nascimento]]&lt;=$O$2),"JUVENIL","JÚNIOR")</f>
        <v>JUVENIL</v>
      </c>
    </row>
    <row r="1038" spans="1:10" ht="15" x14ac:dyDescent="0.4">
      <c r="A1038" s="13" t="s">
        <v>875</v>
      </c>
      <c r="B1038" s="2" t="s">
        <v>876</v>
      </c>
      <c r="C1038" s="4" t="s">
        <v>8</v>
      </c>
      <c r="D1038" s="11">
        <v>39413</v>
      </c>
      <c r="E1038" s="7" t="s">
        <v>877</v>
      </c>
      <c r="F1038" s="4" t="s">
        <v>4770</v>
      </c>
      <c r="G1038" s="12" t="str">
        <f>IF(AND(Tabela1[[#This Row],[Data nascimento]]&gt;=$J$2,Tabela1[[#This Row],[Data nascimento]]&lt;=$I$2),"INFANTIL A",H1038)</f>
        <v>JÚNIOR</v>
      </c>
      <c r="H1038" s="3" t="str">
        <f>IF(AND(Tabela1[[#This Row],[Data nascimento]]&gt;=$L$2,Tabela1[[#This Row],[Data nascimento]]&lt;=$K$2),"INFANTIL B",I1038)</f>
        <v>JÚNIOR</v>
      </c>
      <c r="I1038" s="9" t="str">
        <f>IF(AND(Tabela1[[#This Row],[Data nascimento]]&gt;=$N$2,Tabela1[[#This Row],[Data nascimento]]&lt;=$M$2),"INICIADO",J1038)</f>
        <v>JÚNIOR</v>
      </c>
      <c r="J1038" s="9" t="str">
        <f>IF(AND(Tabela1[[#This Row],[Data nascimento]]&gt;=$P$2,Tabela1[[#This Row],[Data nascimento]]&lt;=$O$2),"JUVENIL","JÚNIOR")</f>
        <v>JÚNIOR</v>
      </c>
    </row>
    <row r="1039" spans="1:10" ht="15" x14ac:dyDescent="0.4">
      <c r="A1039" s="13" t="s">
        <v>878</v>
      </c>
      <c r="B1039" s="2" t="s">
        <v>879</v>
      </c>
      <c r="C1039" s="4" t="s">
        <v>8</v>
      </c>
      <c r="D1039" s="11">
        <v>39555</v>
      </c>
      <c r="E1039" s="7" t="s">
        <v>880</v>
      </c>
      <c r="F1039" s="4" t="s">
        <v>4770</v>
      </c>
      <c r="G1039" s="12" t="str">
        <f>IF(AND(Tabela1[[#This Row],[Data nascimento]]&gt;=$J$2,Tabela1[[#This Row],[Data nascimento]]&lt;=$I$2),"INFANTIL A",H1039)</f>
        <v>JUVENIL</v>
      </c>
      <c r="H1039" s="3" t="str">
        <f>IF(AND(Tabela1[[#This Row],[Data nascimento]]&gt;=$L$2,Tabela1[[#This Row],[Data nascimento]]&lt;=$K$2),"INFANTIL B",I1039)</f>
        <v>JUVENIL</v>
      </c>
      <c r="I1039" s="9" t="str">
        <f>IF(AND(Tabela1[[#This Row],[Data nascimento]]&gt;=$N$2,Tabela1[[#This Row],[Data nascimento]]&lt;=$M$2),"INICIADO",J1039)</f>
        <v>JUVENIL</v>
      </c>
      <c r="J1039" s="9" t="str">
        <f>IF(AND(Tabela1[[#This Row],[Data nascimento]]&gt;=$P$2,Tabela1[[#This Row],[Data nascimento]]&lt;=$O$2),"JUVENIL","JÚNIOR")</f>
        <v>JUVENIL</v>
      </c>
    </row>
    <row r="1040" spans="1:10" ht="15" x14ac:dyDescent="0.4">
      <c r="A1040" s="13" t="s">
        <v>881</v>
      </c>
      <c r="B1040" s="2" t="s">
        <v>882</v>
      </c>
      <c r="C1040" s="4" t="s">
        <v>8</v>
      </c>
      <c r="D1040" s="11">
        <v>38793</v>
      </c>
      <c r="E1040" s="7" t="s">
        <v>883</v>
      </c>
      <c r="F1040" s="4" t="s">
        <v>4770</v>
      </c>
      <c r="G1040" s="12" t="str">
        <f>IF(AND(Tabela1[[#This Row],[Data nascimento]]&gt;=$J$2,Tabela1[[#This Row],[Data nascimento]]&lt;=$I$2),"INFANTIL A",H1040)</f>
        <v>JÚNIOR</v>
      </c>
      <c r="H1040" s="3" t="str">
        <f>IF(AND(Tabela1[[#This Row],[Data nascimento]]&gt;=$L$2,Tabela1[[#This Row],[Data nascimento]]&lt;=$K$2),"INFANTIL B",I1040)</f>
        <v>JÚNIOR</v>
      </c>
      <c r="I1040" s="9" t="str">
        <f>IF(AND(Tabela1[[#This Row],[Data nascimento]]&gt;=$N$2,Tabela1[[#This Row],[Data nascimento]]&lt;=$M$2),"INICIADO",J1040)</f>
        <v>JÚNIOR</v>
      </c>
      <c r="J1040" s="9" t="str">
        <f>IF(AND(Tabela1[[#This Row],[Data nascimento]]&gt;=$P$2,Tabela1[[#This Row],[Data nascimento]]&lt;=$O$2),"JUVENIL","JÚNIOR")</f>
        <v>JÚNIOR</v>
      </c>
    </row>
    <row r="1041" spans="1:10" ht="15" x14ac:dyDescent="0.4">
      <c r="A1041" s="13" t="s">
        <v>884</v>
      </c>
      <c r="B1041" s="2" t="s">
        <v>885</v>
      </c>
      <c r="C1041" s="4" t="s">
        <v>8</v>
      </c>
      <c r="D1041" s="11">
        <v>39672</v>
      </c>
      <c r="E1041" s="7" t="s">
        <v>886</v>
      </c>
      <c r="F1041" s="4" t="s">
        <v>4770</v>
      </c>
      <c r="G1041" s="12" t="str">
        <f>IF(AND(Tabela1[[#This Row],[Data nascimento]]&gt;=$J$2,Tabela1[[#This Row],[Data nascimento]]&lt;=$I$2),"INFANTIL A",H1041)</f>
        <v>JUVENIL</v>
      </c>
      <c r="H1041" s="3" t="str">
        <f>IF(AND(Tabela1[[#This Row],[Data nascimento]]&gt;=$L$2,Tabela1[[#This Row],[Data nascimento]]&lt;=$K$2),"INFANTIL B",I1041)</f>
        <v>JUVENIL</v>
      </c>
      <c r="I1041" s="9" t="str">
        <f>IF(AND(Tabela1[[#This Row],[Data nascimento]]&gt;=$N$2,Tabela1[[#This Row],[Data nascimento]]&lt;=$M$2),"INICIADO",J1041)</f>
        <v>JUVENIL</v>
      </c>
      <c r="J1041" s="9" t="str">
        <f>IF(AND(Tabela1[[#This Row],[Data nascimento]]&gt;=$P$2,Tabela1[[#This Row],[Data nascimento]]&lt;=$O$2),"JUVENIL","JÚNIOR")</f>
        <v>JUVENIL</v>
      </c>
    </row>
    <row r="1042" spans="1:10" ht="15" x14ac:dyDescent="0.4">
      <c r="A1042" s="13" t="s">
        <v>887</v>
      </c>
      <c r="B1042" s="2" t="s">
        <v>888</v>
      </c>
      <c r="C1042" s="4" t="s">
        <v>8</v>
      </c>
      <c r="D1042" s="11">
        <v>39558</v>
      </c>
      <c r="E1042" s="7" t="s">
        <v>889</v>
      </c>
      <c r="F1042" s="4" t="s">
        <v>4771</v>
      </c>
      <c r="G1042" s="12" t="str">
        <f>IF(AND(Tabela1[[#This Row],[Data nascimento]]&gt;=$J$2,Tabela1[[#This Row],[Data nascimento]]&lt;=$I$2),"INFANTIL A",H1042)</f>
        <v>JUVENIL</v>
      </c>
      <c r="H1042" s="3" t="str">
        <f>IF(AND(Tabela1[[#This Row],[Data nascimento]]&gt;=$L$2,Tabela1[[#This Row],[Data nascimento]]&lt;=$K$2),"INFANTIL B",I1042)</f>
        <v>JUVENIL</v>
      </c>
      <c r="I1042" s="9" t="str">
        <f>IF(AND(Tabela1[[#This Row],[Data nascimento]]&gt;=$N$2,Tabela1[[#This Row],[Data nascimento]]&lt;=$M$2),"INICIADO",J1042)</f>
        <v>JUVENIL</v>
      </c>
      <c r="J1042" s="9" t="str">
        <f>IF(AND(Tabela1[[#This Row],[Data nascimento]]&gt;=$P$2,Tabela1[[#This Row],[Data nascimento]]&lt;=$O$2),"JUVENIL","JÚNIOR")</f>
        <v>JUVENIL</v>
      </c>
    </row>
    <row r="1043" spans="1:10" ht="15" x14ac:dyDescent="0.4">
      <c r="A1043" s="13" t="s">
        <v>890</v>
      </c>
      <c r="B1043" s="2" t="s">
        <v>891</v>
      </c>
      <c r="C1043" s="4" t="s">
        <v>8</v>
      </c>
      <c r="D1043" s="11">
        <v>39674</v>
      </c>
      <c r="E1043" s="7" t="s">
        <v>892</v>
      </c>
      <c r="F1043" s="4" t="s">
        <v>4771</v>
      </c>
      <c r="G1043" s="12" t="str">
        <f>IF(AND(Tabela1[[#This Row],[Data nascimento]]&gt;=$J$2,Tabela1[[#This Row],[Data nascimento]]&lt;=$I$2),"INFANTIL A",H1043)</f>
        <v>JUVENIL</v>
      </c>
      <c r="H1043" s="3" t="str">
        <f>IF(AND(Tabela1[[#This Row],[Data nascimento]]&gt;=$L$2,Tabela1[[#This Row],[Data nascimento]]&lt;=$K$2),"INFANTIL B",I1043)</f>
        <v>JUVENIL</v>
      </c>
      <c r="I1043" s="9" t="str">
        <f>IF(AND(Tabela1[[#This Row],[Data nascimento]]&gt;=$N$2,Tabela1[[#This Row],[Data nascimento]]&lt;=$M$2),"INICIADO",J1043)</f>
        <v>JUVENIL</v>
      </c>
      <c r="J1043" s="9" t="str">
        <f>IF(AND(Tabela1[[#This Row],[Data nascimento]]&gt;=$P$2,Tabela1[[#This Row],[Data nascimento]]&lt;=$O$2),"JUVENIL","JÚNIOR")</f>
        <v>JUVENIL</v>
      </c>
    </row>
    <row r="1044" spans="1:10" ht="15" x14ac:dyDescent="0.4">
      <c r="A1044" s="13" t="s">
        <v>893</v>
      </c>
      <c r="B1044" s="2" t="s">
        <v>894</v>
      </c>
      <c r="C1044" s="4" t="s">
        <v>8</v>
      </c>
      <c r="D1044" s="11">
        <v>39347</v>
      </c>
      <c r="E1044" s="7" t="s">
        <v>895</v>
      </c>
      <c r="F1044" s="4" t="s">
        <v>4771</v>
      </c>
      <c r="G1044" s="12" t="str">
        <f>IF(AND(Tabela1[[#This Row],[Data nascimento]]&gt;=$J$2,Tabela1[[#This Row],[Data nascimento]]&lt;=$I$2),"INFANTIL A",H1044)</f>
        <v>JÚNIOR</v>
      </c>
      <c r="H1044" s="3" t="str">
        <f>IF(AND(Tabela1[[#This Row],[Data nascimento]]&gt;=$L$2,Tabela1[[#This Row],[Data nascimento]]&lt;=$K$2),"INFANTIL B",I1044)</f>
        <v>JÚNIOR</v>
      </c>
      <c r="I1044" s="9" t="str">
        <f>IF(AND(Tabela1[[#This Row],[Data nascimento]]&gt;=$N$2,Tabela1[[#This Row],[Data nascimento]]&lt;=$M$2),"INICIADO",J1044)</f>
        <v>JÚNIOR</v>
      </c>
      <c r="J1044" s="9" t="str">
        <f>IF(AND(Tabela1[[#This Row],[Data nascimento]]&gt;=$P$2,Tabela1[[#This Row],[Data nascimento]]&lt;=$O$2),"JUVENIL","JÚNIOR")</f>
        <v>JÚNIOR</v>
      </c>
    </row>
    <row r="1045" spans="1:10" ht="15" x14ac:dyDescent="0.4">
      <c r="A1045" s="13" t="s">
        <v>896</v>
      </c>
      <c r="B1045" s="2" t="s">
        <v>897</v>
      </c>
      <c r="C1045" s="4" t="s">
        <v>21</v>
      </c>
      <c r="D1045" s="11">
        <v>39563</v>
      </c>
      <c r="E1045" s="7" t="s">
        <v>898</v>
      </c>
      <c r="F1045" s="4" t="s">
        <v>4771</v>
      </c>
      <c r="G1045" s="12" t="str">
        <f>IF(AND(Tabela1[[#This Row],[Data nascimento]]&gt;=$J$2,Tabela1[[#This Row],[Data nascimento]]&lt;=$I$2),"INFANTIL A",H1045)</f>
        <v>JUVENIL</v>
      </c>
      <c r="H1045" s="3" t="str">
        <f>IF(AND(Tabela1[[#This Row],[Data nascimento]]&gt;=$L$2,Tabela1[[#This Row],[Data nascimento]]&lt;=$K$2),"INFANTIL B",I1045)</f>
        <v>JUVENIL</v>
      </c>
      <c r="I1045" s="9" t="str">
        <f>IF(AND(Tabela1[[#This Row],[Data nascimento]]&gt;=$N$2,Tabela1[[#This Row],[Data nascimento]]&lt;=$M$2),"INICIADO",J1045)</f>
        <v>JUVENIL</v>
      </c>
      <c r="J1045" s="9" t="str">
        <f>IF(AND(Tabela1[[#This Row],[Data nascimento]]&gt;=$P$2,Tabela1[[#This Row],[Data nascimento]]&lt;=$O$2),"JUVENIL","JÚNIOR")</f>
        <v>JUVENIL</v>
      </c>
    </row>
    <row r="1046" spans="1:10" ht="15" x14ac:dyDescent="0.4">
      <c r="A1046" s="13" t="s">
        <v>899</v>
      </c>
      <c r="B1046" s="2" t="s">
        <v>900</v>
      </c>
      <c r="C1046" s="4" t="s">
        <v>21</v>
      </c>
      <c r="D1046" s="11">
        <v>39142</v>
      </c>
      <c r="E1046" s="7" t="s">
        <v>901</v>
      </c>
      <c r="F1046" s="4" t="s">
        <v>4771</v>
      </c>
      <c r="G1046" s="12" t="str">
        <f>IF(AND(Tabela1[[#This Row],[Data nascimento]]&gt;=$J$2,Tabela1[[#This Row],[Data nascimento]]&lt;=$I$2),"INFANTIL A",H1046)</f>
        <v>JÚNIOR</v>
      </c>
      <c r="H1046" s="3" t="str">
        <f>IF(AND(Tabela1[[#This Row],[Data nascimento]]&gt;=$L$2,Tabela1[[#This Row],[Data nascimento]]&lt;=$K$2),"INFANTIL B",I1046)</f>
        <v>JÚNIOR</v>
      </c>
      <c r="I1046" s="9" t="str">
        <f>IF(AND(Tabela1[[#This Row],[Data nascimento]]&gt;=$N$2,Tabela1[[#This Row],[Data nascimento]]&lt;=$M$2),"INICIADO",J1046)</f>
        <v>JÚNIOR</v>
      </c>
      <c r="J1046" s="9" t="str">
        <f>IF(AND(Tabela1[[#This Row],[Data nascimento]]&gt;=$P$2,Tabela1[[#This Row],[Data nascimento]]&lt;=$O$2),"JUVENIL","JÚNIOR")</f>
        <v>JÚNIOR</v>
      </c>
    </row>
    <row r="1047" spans="1:10" ht="15" x14ac:dyDescent="0.4">
      <c r="A1047" s="13" t="s">
        <v>902</v>
      </c>
      <c r="B1047" s="2" t="s">
        <v>903</v>
      </c>
      <c r="C1047" s="4" t="s">
        <v>8</v>
      </c>
      <c r="D1047" s="11">
        <v>39579</v>
      </c>
      <c r="E1047" s="7" t="s">
        <v>904</v>
      </c>
      <c r="F1047" s="4" t="s">
        <v>4771</v>
      </c>
      <c r="G1047" s="12" t="str">
        <f>IF(AND(Tabela1[[#This Row],[Data nascimento]]&gt;=$J$2,Tabela1[[#This Row],[Data nascimento]]&lt;=$I$2),"INFANTIL A",H1047)</f>
        <v>JUVENIL</v>
      </c>
      <c r="H1047" s="3" t="str">
        <f>IF(AND(Tabela1[[#This Row],[Data nascimento]]&gt;=$L$2,Tabela1[[#This Row],[Data nascimento]]&lt;=$K$2),"INFANTIL B",I1047)</f>
        <v>JUVENIL</v>
      </c>
      <c r="I1047" s="9" t="str">
        <f>IF(AND(Tabela1[[#This Row],[Data nascimento]]&gt;=$N$2,Tabela1[[#This Row],[Data nascimento]]&lt;=$M$2),"INICIADO",J1047)</f>
        <v>JUVENIL</v>
      </c>
      <c r="J1047" s="9" t="str">
        <f>IF(AND(Tabela1[[#This Row],[Data nascimento]]&gt;=$P$2,Tabela1[[#This Row],[Data nascimento]]&lt;=$O$2),"JUVENIL","JÚNIOR")</f>
        <v>JUVENIL</v>
      </c>
    </row>
    <row r="1048" spans="1:10" ht="15" x14ac:dyDescent="0.4">
      <c r="A1048" s="13" t="s">
        <v>905</v>
      </c>
      <c r="B1048" s="2" t="s">
        <v>906</v>
      </c>
      <c r="C1048" s="4" t="s">
        <v>8</v>
      </c>
      <c r="D1048" s="11">
        <v>39381</v>
      </c>
      <c r="E1048" s="7" t="s">
        <v>907</v>
      </c>
      <c r="F1048" s="4" t="s">
        <v>4771</v>
      </c>
      <c r="G1048" s="12" t="str">
        <f>IF(AND(Tabela1[[#This Row],[Data nascimento]]&gt;=$J$2,Tabela1[[#This Row],[Data nascimento]]&lt;=$I$2),"INFANTIL A",H1048)</f>
        <v>JÚNIOR</v>
      </c>
      <c r="H1048" s="3" t="str">
        <f>IF(AND(Tabela1[[#This Row],[Data nascimento]]&gt;=$L$2,Tabela1[[#This Row],[Data nascimento]]&lt;=$K$2),"INFANTIL B",I1048)</f>
        <v>JÚNIOR</v>
      </c>
      <c r="I1048" s="9" t="str">
        <f>IF(AND(Tabela1[[#This Row],[Data nascimento]]&gt;=$N$2,Tabela1[[#This Row],[Data nascimento]]&lt;=$M$2),"INICIADO",J1048)</f>
        <v>JÚNIOR</v>
      </c>
      <c r="J1048" s="9" t="str">
        <f>IF(AND(Tabela1[[#This Row],[Data nascimento]]&gt;=$P$2,Tabela1[[#This Row],[Data nascimento]]&lt;=$O$2),"JUVENIL","JÚNIOR")</f>
        <v>JÚNIOR</v>
      </c>
    </row>
    <row r="1049" spans="1:10" ht="15" x14ac:dyDescent="0.4">
      <c r="A1049" s="13" t="s">
        <v>908</v>
      </c>
      <c r="B1049" s="2" t="s">
        <v>909</v>
      </c>
      <c r="C1049" s="4" t="s">
        <v>21</v>
      </c>
      <c r="D1049" s="11">
        <v>39770</v>
      </c>
      <c r="E1049" s="7" t="s">
        <v>910</v>
      </c>
      <c r="F1049" s="4" t="s">
        <v>4771</v>
      </c>
      <c r="G1049" s="12" t="str">
        <f>IF(AND(Tabela1[[#This Row],[Data nascimento]]&gt;=$J$2,Tabela1[[#This Row],[Data nascimento]]&lt;=$I$2),"INFANTIL A",H1049)</f>
        <v>JUVENIL</v>
      </c>
      <c r="H1049" s="3" t="str">
        <f>IF(AND(Tabela1[[#This Row],[Data nascimento]]&gt;=$L$2,Tabela1[[#This Row],[Data nascimento]]&lt;=$K$2),"INFANTIL B",I1049)</f>
        <v>JUVENIL</v>
      </c>
      <c r="I1049" s="9" t="str">
        <f>IF(AND(Tabela1[[#This Row],[Data nascimento]]&gt;=$N$2,Tabela1[[#This Row],[Data nascimento]]&lt;=$M$2),"INICIADO",J1049)</f>
        <v>JUVENIL</v>
      </c>
      <c r="J1049" s="9" t="str">
        <f>IF(AND(Tabela1[[#This Row],[Data nascimento]]&gt;=$P$2,Tabela1[[#This Row],[Data nascimento]]&lt;=$O$2),"JUVENIL","JÚNIOR")</f>
        <v>JUVENIL</v>
      </c>
    </row>
    <row r="1050" spans="1:10" ht="15" x14ac:dyDescent="0.4">
      <c r="A1050" s="13" t="s">
        <v>911</v>
      </c>
      <c r="B1050" s="2" t="s">
        <v>912</v>
      </c>
      <c r="C1050" s="4" t="s">
        <v>21</v>
      </c>
      <c r="D1050" s="11">
        <v>39091</v>
      </c>
      <c r="E1050" s="7" t="s">
        <v>913</v>
      </c>
      <c r="F1050" s="4" t="s">
        <v>4771</v>
      </c>
      <c r="G1050" s="12" t="str">
        <f>IF(AND(Tabela1[[#This Row],[Data nascimento]]&gt;=$J$2,Tabela1[[#This Row],[Data nascimento]]&lt;=$I$2),"INFANTIL A",H1050)</f>
        <v>JÚNIOR</v>
      </c>
      <c r="H1050" s="3" t="str">
        <f>IF(AND(Tabela1[[#This Row],[Data nascimento]]&gt;=$L$2,Tabela1[[#This Row],[Data nascimento]]&lt;=$K$2),"INFANTIL B",I1050)</f>
        <v>JÚNIOR</v>
      </c>
      <c r="I1050" s="9" t="str">
        <f>IF(AND(Tabela1[[#This Row],[Data nascimento]]&gt;=$N$2,Tabela1[[#This Row],[Data nascimento]]&lt;=$M$2),"INICIADO",J1050)</f>
        <v>JÚNIOR</v>
      </c>
      <c r="J1050" s="9" t="str">
        <f>IF(AND(Tabela1[[#This Row],[Data nascimento]]&gt;=$P$2,Tabela1[[#This Row],[Data nascimento]]&lt;=$O$2),"JUVENIL","JÚNIOR")</f>
        <v>JÚNIOR</v>
      </c>
    </row>
    <row r="1051" spans="1:10" ht="15" x14ac:dyDescent="0.4">
      <c r="A1051" s="13" t="s">
        <v>914</v>
      </c>
      <c r="B1051" s="2" t="s">
        <v>915</v>
      </c>
      <c r="C1051" s="4" t="s">
        <v>21</v>
      </c>
      <c r="D1051" s="11">
        <v>39090</v>
      </c>
      <c r="E1051" s="7" t="s">
        <v>916</v>
      </c>
      <c r="F1051" s="4" t="s">
        <v>4771</v>
      </c>
      <c r="G1051" s="12" t="str">
        <f>IF(AND(Tabela1[[#This Row],[Data nascimento]]&gt;=$J$2,Tabela1[[#This Row],[Data nascimento]]&lt;=$I$2),"INFANTIL A",H1051)</f>
        <v>JÚNIOR</v>
      </c>
      <c r="H1051" s="3" t="str">
        <f>IF(AND(Tabela1[[#This Row],[Data nascimento]]&gt;=$L$2,Tabela1[[#This Row],[Data nascimento]]&lt;=$K$2),"INFANTIL B",I1051)</f>
        <v>JÚNIOR</v>
      </c>
      <c r="I1051" s="9" t="str">
        <f>IF(AND(Tabela1[[#This Row],[Data nascimento]]&gt;=$N$2,Tabela1[[#This Row],[Data nascimento]]&lt;=$M$2),"INICIADO",J1051)</f>
        <v>JÚNIOR</v>
      </c>
      <c r="J1051" s="9" t="str">
        <f>IF(AND(Tabela1[[#This Row],[Data nascimento]]&gt;=$P$2,Tabela1[[#This Row],[Data nascimento]]&lt;=$O$2),"JUVENIL","JÚNIOR")</f>
        <v>JÚNIOR</v>
      </c>
    </row>
    <row r="1052" spans="1:10" ht="15" x14ac:dyDescent="0.4">
      <c r="A1052" s="13" t="s">
        <v>917</v>
      </c>
      <c r="B1052" s="2" t="s">
        <v>918</v>
      </c>
      <c r="C1052" s="4" t="s">
        <v>8</v>
      </c>
      <c r="D1052" s="11">
        <v>39231</v>
      </c>
      <c r="E1052" s="7" t="s">
        <v>919</v>
      </c>
      <c r="F1052" s="4" t="s">
        <v>4771</v>
      </c>
      <c r="G1052" s="12" t="str">
        <f>IF(AND(Tabela1[[#This Row],[Data nascimento]]&gt;=$J$2,Tabela1[[#This Row],[Data nascimento]]&lt;=$I$2),"INFANTIL A",H1052)</f>
        <v>JÚNIOR</v>
      </c>
      <c r="H1052" s="3" t="str">
        <f>IF(AND(Tabela1[[#This Row],[Data nascimento]]&gt;=$L$2,Tabela1[[#This Row],[Data nascimento]]&lt;=$K$2),"INFANTIL B",I1052)</f>
        <v>JÚNIOR</v>
      </c>
      <c r="I1052" s="9" t="str">
        <f>IF(AND(Tabela1[[#This Row],[Data nascimento]]&gt;=$N$2,Tabela1[[#This Row],[Data nascimento]]&lt;=$M$2),"INICIADO",J1052)</f>
        <v>JÚNIOR</v>
      </c>
      <c r="J1052" s="9" t="str">
        <f>IF(AND(Tabela1[[#This Row],[Data nascimento]]&gt;=$P$2,Tabela1[[#This Row],[Data nascimento]]&lt;=$O$2),"JUVENIL","JÚNIOR")</f>
        <v>JÚNIOR</v>
      </c>
    </row>
    <row r="1053" spans="1:10" ht="15" x14ac:dyDescent="0.4">
      <c r="A1053" s="13" t="s">
        <v>920</v>
      </c>
      <c r="B1053" s="2" t="s">
        <v>921</v>
      </c>
      <c r="C1053" s="4" t="s">
        <v>8</v>
      </c>
      <c r="D1053" s="11">
        <v>39125</v>
      </c>
      <c r="E1053" s="7" t="s">
        <v>922</v>
      </c>
      <c r="F1053" s="4" t="s">
        <v>4771</v>
      </c>
      <c r="G1053" s="12" t="str">
        <f>IF(AND(Tabela1[[#This Row],[Data nascimento]]&gt;=$J$2,Tabela1[[#This Row],[Data nascimento]]&lt;=$I$2),"INFANTIL A",H1053)</f>
        <v>JÚNIOR</v>
      </c>
      <c r="H1053" s="3" t="str">
        <f>IF(AND(Tabela1[[#This Row],[Data nascimento]]&gt;=$L$2,Tabela1[[#This Row],[Data nascimento]]&lt;=$K$2),"INFANTIL B",I1053)</f>
        <v>JÚNIOR</v>
      </c>
      <c r="I1053" s="9" t="str">
        <f>IF(AND(Tabela1[[#This Row],[Data nascimento]]&gt;=$N$2,Tabela1[[#This Row],[Data nascimento]]&lt;=$M$2),"INICIADO",J1053)</f>
        <v>JÚNIOR</v>
      </c>
      <c r="J1053" s="9" t="str">
        <f>IF(AND(Tabela1[[#This Row],[Data nascimento]]&gt;=$P$2,Tabela1[[#This Row],[Data nascimento]]&lt;=$O$2),"JUVENIL","JÚNIOR")</f>
        <v>JÚNIOR</v>
      </c>
    </row>
    <row r="1054" spans="1:10" ht="15" x14ac:dyDescent="0.4">
      <c r="A1054" s="13" t="s">
        <v>923</v>
      </c>
      <c r="B1054" s="2" t="s">
        <v>924</v>
      </c>
      <c r="C1054" s="4" t="s">
        <v>8</v>
      </c>
      <c r="D1054" s="11">
        <v>39405</v>
      </c>
      <c r="E1054" s="7" t="s">
        <v>925</v>
      </c>
      <c r="F1054" s="4" t="s">
        <v>4771</v>
      </c>
      <c r="G1054" s="12" t="str">
        <f>IF(AND(Tabela1[[#This Row],[Data nascimento]]&gt;=$J$2,Tabela1[[#This Row],[Data nascimento]]&lt;=$I$2),"INFANTIL A",H1054)</f>
        <v>JÚNIOR</v>
      </c>
      <c r="H1054" s="3" t="str">
        <f>IF(AND(Tabela1[[#This Row],[Data nascimento]]&gt;=$L$2,Tabela1[[#This Row],[Data nascimento]]&lt;=$K$2),"INFANTIL B",I1054)</f>
        <v>JÚNIOR</v>
      </c>
      <c r="I1054" s="9" t="str">
        <f>IF(AND(Tabela1[[#This Row],[Data nascimento]]&gt;=$N$2,Tabela1[[#This Row],[Data nascimento]]&lt;=$M$2),"INICIADO",J1054)</f>
        <v>JÚNIOR</v>
      </c>
      <c r="J1054" s="9" t="str">
        <f>IF(AND(Tabela1[[#This Row],[Data nascimento]]&gt;=$P$2,Tabela1[[#This Row],[Data nascimento]]&lt;=$O$2),"JUVENIL","JÚNIOR")</f>
        <v>JÚNIOR</v>
      </c>
    </row>
    <row r="1055" spans="1:10" ht="15" x14ac:dyDescent="0.4">
      <c r="A1055" s="13" t="s">
        <v>926</v>
      </c>
      <c r="B1055" s="2" t="s">
        <v>927</v>
      </c>
      <c r="C1055" s="4" t="s">
        <v>21</v>
      </c>
      <c r="D1055" s="11">
        <v>39113</v>
      </c>
      <c r="E1055" s="7" t="s">
        <v>928</v>
      </c>
      <c r="F1055" s="4" t="s">
        <v>4771</v>
      </c>
      <c r="G1055" s="12" t="str">
        <f>IF(AND(Tabela1[[#This Row],[Data nascimento]]&gt;=$J$2,Tabela1[[#This Row],[Data nascimento]]&lt;=$I$2),"INFANTIL A",H1055)</f>
        <v>JÚNIOR</v>
      </c>
      <c r="H1055" s="3" t="str">
        <f>IF(AND(Tabela1[[#This Row],[Data nascimento]]&gt;=$L$2,Tabela1[[#This Row],[Data nascimento]]&lt;=$K$2),"INFANTIL B",I1055)</f>
        <v>JÚNIOR</v>
      </c>
      <c r="I1055" s="9" t="str">
        <f>IF(AND(Tabela1[[#This Row],[Data nascimento]]&gt;=$N$2,Tabela1[[#This Row],[Data nascimento]]&lt;=$M$2),"INICIADO",J1055)</f>
        <v>JÚNIOR</v>
      </c>
      <c r="J1055" s="9" t="str">
        <f>IF(AND(Tabela1[[#This Row],[Data nascimento]]&gt;=$P$2,Tabela1[[#This Row],[Data nascimento]]&lt;=$O$2),"JUVENIL","JÚNIOR")</f>
        <v>JÚNIOR</v>
      </c>
    </row>
    <row r="1056" spans="1:10" ht="15" x14ac:dyDescent="0.4">
      <c r="A1056" s="13" t="s">
        <v>929</v>
      </c>
      <c r="B1056" s="2" t="s">
        <v>930</v>
      </c>
      <c r="C1056" s="4" t="s">
        <v>21</v>
      </c>
      <c r="D1056" s="11">
        <v>39553</v>
      </c>
      <c r="E1056" s="7" t="s">
        <v>931</v>
      </c>
      <c r="F1056" s="4" t="s">
        <v>4771</v>
      </c>
      <c r="G1056" s="12" t="str">
        <f>IF(AND(Tabela1[[#This Row],[Data nascimento]]&gt;=$J$2,Tabela1[[#This Row],[Data nascimento]]&lt;=$I$2),"INFANTIL A",H1056)</f>
        <v>JUVENIL</v>
      </c>
      <c r="H1056" s="3" t="str">
        <f>IF(AND(Tabela1[[#This Row],[Data nascimento]]&gt;=$L$2,Tabela1[[#This Row],[Data nascimento]]&lt;=$K$2),"INFANTIL B",I1056)</f>
        <v>JUVENIL</v>
      </c>
      <c r="I1056" s="9" t="str">
        <f>IF(AND(Tabela1[[#This Row],[Data nascimento]]&gt;=$N$2,Tabela1[[#This Row],[Data nascimento]]&lt;=$M$2),"INICIADO",J1056)</f>
        <v>JUVENIL</v>
      </c>
      <c r="J1056" s="9" t="str">
        <f>IF(AND(Tabela1[[#This Row],[Data nascimento]]&gt;=$P$2,Tabela1[[#This Row],[Data nascimento]]&lt;=$O$2),"JUVENIL","JÚNIOR")</f>
        <v>JUVENIL</v>
      </c>
    </row>
    <row r="1057" spans="1:10" ht="15" x14ac:dyDescent="0.4">
      <c r="A1057" s="13" t="s">
        <v>932</v>
      </c>
      <c r="B1057" s="2" t="s">
        <v>933</v>
      </c>
      <c r="C1057" s="4" t="s">
        <v>21</v>
      </c>
      <c r="D1057" s="11">
        <v>39435</v>
      </c>
      <c r="E1057" s="7" t="s">
        <v>934</v>
      </c>
      <c r="F1057" s="4" t="s">
        <v>4771</v>
      </c>
      <c r="G1057" s="12" t="str">
        <f>IF(AND(Tabela1[[#This Row],[Data nascimento]]&gt;=$J$2,Tabela1[[#This Row],[Data nascimento]]&lt;=$I$2),"INFANTIL A",H1057)</f>
        <v>JÚNIOR</v>
      </c>
      <c r="H1057" s="3" t="str">
        <f>IF(AND(Tabela1[[#This Row],[Data nascimento]]&gt;=$L$2,Tabela1[[#This Row],[Data nascimento]]&lt;=$K$2),"INFANTIL B",I1057)</f>
        <v>JÚNIOR</v>
      </c>
      <c r="I1057" s="9" t="str">
        <f>IF(AND(Tabela1[[#This Row],[Data nascimento]]&gt;=$N$2,Tabela1[[#This Row],[Data nascimento]]&lt;=$M$2),"INICIADO",J1057)</f>
        <v>JÚNIOR</v>
      </c>
      <c r="J1057" s="9" t="str">
        <f>IF(AND(Tabela1[[#This Row],[Data nascimento]]&gt;=$P$2,Tabela1[[#This Row],[Data nascimento]]&lt;=$O$2),"JUVENIL","JÚNIOR")</f>
        <v>JÚNIOR</v>
      </c>
    </row>
    <row r="1058" spans="1:10" ht="15" x14ac:dyDescent="0.4">
      <c r="A1058" s="13" t="s">
        <v>935</v>
      </c>
      <c r="B1058" s="2" t="s">
        <v>936</v>
      </c>
      <c r="C1058" s="4" t="s">
        <v>21</v>
      </c>
      <c r="D1058" s="11">
        <v>39626</v>
      </c>
      <c r="E1058" s="7" t="s">
        <v>937</v>
      </c>
      <c r="F1058" s="4" t="s">
        <v>4771</v>
      </c>
      <c r="G1058" s="12" t="str">
        <f>IF(AND(Tabela1[[#This Row],[Data nascimento]]&gt;=$J$2,Tabela1[[#This Row],[Data nascimento]]&lt;=$I$2),"INFANTIL A",H1058)</f>
        <v>JUVENIL</v>
      </c>
      <c r="H1058" s="3" t="str">
        <f>IF(AND(Tabela1[[#This Row],[Data nascimento]]&gt;=$L$2,Tabela1[[#This Row],[Data nascimento]]&lt;=$K$2),"INFANTIL B",I1058)</f>
        <v>JUVENIL</v>
      </c>
      <c r="I1058" s="9" t="str">
        <f>IF(AND(Tabela1[[#This Row],[Data nascimento]]&gt;=$N$2,Tabela1[[#This Row],[Data nascimento]]&lt;=$M$2),"INICIADO",J1058)</f>
        <v>JUVENIL</v>
      </c>
      <c r="J1058" s="9" t="str">
        <f>IF(AND(Tabela1[[#This Row],[Data nascimento]]&gt;=$P$2,Tabela1[[#This Row],[Data nascimento]]&lt;=$O$2),"JUVENIL","JÚNIOR")</f>
        <v>JUVENIL</v>
      </c>
    </row>
    <row r="1059" spans="1:10" ht="15" x14ac:dyDescent="0.4">
      <c r="A1059" s="13" t="s">
        <v>938</v>
      </c>
      <c r="B1059" s="2" t="s">
        <v>939</v>
      </c>
      <c r="C1059" s="4" t="s">
        <v>21</v>
      </c>
      <c r="D1059" s="11">
        <v>39380</v>
      </c>
      <c r="E1059" s="7" t="s">
        <v>940</v>
      </c>
      <c r="F1059" s="4" t="s">
        <v>4771</v>
      </c>
      <c r="G1059" s="12" t="str">
        <f>IF(AND(Tabela1[[#This Row],[Data nascimento]]&gt;=$J$2,Tabela1[[#This Row],[Data nascimento]]&lt;=$I$2),"INFANTIL A",H1059)</f>
        <v>JÚNIOR</v>
      </c>
      <c r="H1059" s="3" t="str">
        <f>IF(AND(Tabela1[[#This Row],[Data nascimento]]&gt;=$L$2,Tabela1[[#This Row],[Data nascimento]]&lt;=$K$2),"INFANTIL B",I1059)</f>
        <v>JÚNIOR</v>
      </c>
      <c r="I1059" s="9" t="str">
        <f>IF(AND(Tabela1[[#This Row],[Data nascimento]]&gt;=$N$2,Tabela1[[#This Row],[Data nascimento]]&lt;=$M$2),"INICIADO",J1059)</f>
        <v>JÚNIOR</v>
      </c>
      <c r="J1059" s="9" t="str">
        <f>IF(AND(Tabela1[[#This Row],[Data nascimento]]&gt;=$P$2,Tabela1[[#This Row],[Data nascimento]]&lt;=$O$2),"JUVENIL","JÚNIOR")</f>
        <v>JÚNIOR</v>
      </c>
    </row>
    <row r="1060" spans="1:10" ht="15" x14ac:dyDescent="0.4">
      <c r="A1060" s="13" t="s">
        <v>941</v>
      </c>
      <c r="B1060" s="2" t="s">
        <v>942</v>
      </c>
      <c r="C1060" s="4" t="s">
        <v>21</v>
      </c>
      <c r="D1060" s="11">
        <v>39307</v>
      </c>
      <c r="E1060" s="7" t="s">
        <v>943</v>
      </c>
      <c r="F1060" s="4" t="s">
        <v>4771</v>
      </c>
      <c r="G1060" s="12" t="str">
        <f>IF(AND(Tabela1[[#This Row],[Data nascimento]]&gt;=$J$2,Tabela1[[#This Row],[Data nascimento]]&lt;=$I$2),"INFANTIL A",H1060)</f>
        <v>JÚNIOR</v>
      </c>
      <c r="H1060" s="3" t="str">
        <f>IF(AND(Tabela1[[#This Row],[Data nascimento]]&gt;=$L$2,Tabela1[[#This Row],[Data nascimento]]&lt;=$K$2),"INFANTIL B",I1060)</f>
        <v>JÚNIOR</v>
      </c>
      <c r="I1060" s="9" t="str">
        <f>IF(AND(Tabela1[[#This Row],[Data nascimento]]&gt;=$N$2,Tabela1[[#This Row],[Data nascimento]]&lt;=$M$2),"INICIADO",J1060)</f>
        <v>JÚNIOR</v>
      </c>
      <c r="J1060" s="9" t="str">
        <f>IF(AND(Tabela1[[#This Row],[Data nascimento]]&gt;=$P$2,Tabela1[[#This Row],[Data nascimento]]&lt;=$O$2),"JUVENIL","JÚNIOR")</f>
        <v>JÚNIOR</v>
      </c>
    </row>
    <row r="1061" spans="1:10" ht="15" x14ac:dyDescent="0.4">
      <c r="A1061" s="13" t="s">
        <v>944</v>
      </c>
      <c r="B1061" s="2" t="s">
        <v>945</v>
      </c>
      <c r="C1061" s="4" t="s">
        <v>8</v>
      </c>
      <c r="D1061" s="11">
        <v>39440</v>
      </c>
      <c r="E1061" s="7" t="s">
        <v>946</v>
      </c>
      <c r="F1061" s="4" t="s">
        <v>4772</v>
      </c>
      <c r="G1061" s="12" t="str">
        <f>IF(AND(Tabela1[[#This Row],[Data nascimento]]&gt;=$J$2,Tabela1[[#This Row],[Data nascimento]]&lt;=$I$2),"INFANTIL A",H1061)</f>
        <v>JÚNIOR</v>
      </c>
      <c r="H1061" s="3" t="str">
        <f>IF(AND(Tabela1[[#This Row],[Data nascimento]]&gt;=$L$2,Tabela1[[#This Row],[Data nascimento]]&lt;=$K$2),"INFANTIL B",I1061)</f>
        <v>JÚNIOR</v>
      </c>
      <c r="I1061" s="9" t="str">
        <f>IF(AND(Tabela1[[#This Row],[Data nascimento]]&gt;=$N$2,Tabela1[[#This Row],[Data nascimento]]&lt;=$M$2),"INICIADO",J1061)</f>
        <v>JÚNIOR</v>
      </c>
      <c r="J1061" s="9" t="str">
        <f>IF(AND(Tabela1[[#This Row],[Data nascimento]]&gt;=$P$2,Tabela1[[#This Row],[Data nascimento]]&lt;=$O$2),"JUVENIL","JÚNIOR")</f>
        <v>JÚNIOR</v>
      </c>
    </row>
    <row r="1062" spans="1:10" ht="15" x14ac:dyDescent="0.4">
      <c r="A1062" s="13" t="s">
        <v>947</v>
      </c>
      <c r="B1062" s="2" t="s">
        <v>948</v>
      </c>
      <c r="C1062" s="4" t="s">
        <v>8</v>
      </c>
      <c r="D1062" s="11">
        <v>39492</v>
      </c>
      <c r="E1062" s="7" t="s">
        <v>949</v>
      </c>
      <c r="F1062" s="4" t="s">
        <v>4772</v>
      </c>
      <c r="G1062" s="12" t="str">
        <f>IF(AND(Tabela1[[#This Row],[Data nascimento]]&gt;=$J$2,Tabela1[[#This Row],[Data nascimento]]&lt;=$I$2),"INFANTIL A",H1062)</f>
        <v>JUVENIL</v>
      </c>
      <c r="H1062" s="3" t="str">
        <f>IF(AND(Tabela1[[#This Row],[Data nascimento]]&gt;=$L$2,Tabela1[[#This Row],[Data nascimento]]&lt;=$K$2),"INFANTIL B",I1062)</f>
        <v>JUVENIL</v>
      </c>
      <c r="I1062" s="9" t="str">
        <f>IF(AND(Tabela1[[#This Row],[Data nascimento]]&gt;=$N$2,Tabela1[[#This Row],[Data nascimento]]&lt;=$M$2),"INICIADO",J1062)</f>
        <v>JUVENIL</v>
      </c>
      <c r="J1062" s="9" t="str">
        <f>IF(AND(Tabela1[[#This Row],[Data nascimento]]&gt;=$P$2,Tabela1[[#This Row],[Data nascimento]]&lt;=$O$2),"JUVENIL","JÚNIOR")</f>
        <v>JUVENIL</v>
      </c>
    </row>
    <row r="1063" spans="1:10" ht="15" x14ac:dyDescent="0.4">
      <c r="A1063" s="13" t="s">
        <v>950</v>
      </c>
      <c r="B1063" s="2" t="s">
        <v>951</v>
      </c>
      <c r="C1063" s="4" t="s">
        <v>8</v>
      </c>
      <c r="D1063" s="11">
        <v>39235</v>
      </c>
      <c r="E1063" s="7" t="s">
        <v>952</v>
      </c>
      <c r="F1063" s="4" t="s">
        <v>4772</v>
      </c>
      <c r="G1063" s="12" t="str">
        <f>IF(AND(Tabela1[[#This Row],[Data nascimento]]&gt;=$J$2,Tabela1[[#This Row],[Data nascimento]]&lt;=$I$2),"INFANTIL A",H1063)</f>
        <v>JÚNIOR</v>
      </c>
      <c r="H1063" s="3" t="str">
        <f>IF(AND(Tabela1[[#This Row],[Data nascimento]]&gt;=$L$2,Tabela1[[#This Row],[Data nascimento]]&lt;=$K$2),"INFANTIL B",I1063)</f>
        <v>JÚNIOR</v>
      </c>
      <c r="I1063" s="9" t="str">
        <f>IF(AND(Tabela1[[#This Row],[Data nascimento]]&gt;=$N$2,Tabela1[[#This Row],[Data nascimento]]&lt;=$M$2),"INICIADO",J1063)</f>
        <v>JÚNIOR</v>
      </c>
      <c r="J1063" s="9" t="str">
        <f>IF(AND(Tabela1[[#This Row],[Data nascimento]]&gt;=$P$2,Tabela1[[#This Row],[Data nascimento]]&lt;=$O$2),"JUVENIL","JÚNIOR")</f>
        <v>JÚNIOR</v>
      </c>
    </row>
    <row r="1064" spans="1:10" ht="15" x14ac:dyDescent="0.4">
      <c r="A1064" s="13" t="s">
        <v>953</v>
      </c>
      <c r="B1064" s="2" t="s">
        <v>954</v>
      </c>
      <c r="C1064" s="4" t="s">
        <v>8</v>
      </c>
      <c r="D1064" s="11">
        <v>38444</v>
      </c>
      <c r="E1064" s="7" t="s">
        <v>955</v>
      </c>
      <c r="F1064" s="4" t="s">
        <v>4772</v>
      </c>
      <c r="G1064" s="12" t="str">
        <f>IF(AND(Tabela1[[#This Row],[Data nascimento]]&gt;=$J$2,Tabela1[[#This Row],[Data nascimento]]&lt;=$I$2),"INFANTIL A",H1064)</f>
        <v>JÚNIOR</v>
      </c>
      <c r="H1064" s="3" t="str">
        <f>IF(AND(Tabela1[[#This Row],[Data nascimento]]&gt;=$L$2,Tabela1[[#This Row],[Data nascimento]]&lt;=$K$2),"INFANTIL B",I1064)</f>
        <v>JÚNIOR</v>
      </c>
      <c r="I1064" s="9" t="str">
        <f>IF(AND(Tabela1[[#This Row],[Data nascimento]]&gt;=$N$2,Tabela1[[#This Row],[Data nascimento]]&lt;=$M$2),"INICIADO",J1064)</f>
        <v>JÚNIOR</v>
      </c>
      <c r="J1064" s="9" t="str">
        <f>IF(AND(Tabela1[[#This Row],[Data nascimento]]&gt;=$P$2,Tabela1[[#This Row],[Data nascimento]]&lt;=$O$2),"JUVENIL","JÚNIOR")</f>
        <v>JÚNIOR</v>
      </c>
    </row>
    <row r="1065" spans="1:10" ht="15" x14ac:dyDescent="0.4">
      <c r="A1065" s="13" t="s">
        <v>956</v>
      </c>
      <c r="B1065" s="2" t="s">
        <v>957</v>
      </c>
      <c r="C1065" s="4" t="s">
        <v>8</v>
      </c>
      <c r="D1065" s="11">
        <v>39805</v>
      </c>
      <c r="E1065" s="7" t="s">
        <v>958</v>
      </c>
      <c r="F1065" s="4" t="s">
        <v>4772</v>
      </c>
      <c r="G1065" s="12" t="str">
        <f>IF(AND(Tabela1[[#This Row],[Data nascimento]]&gt;=$J$2,Tabela1[[#This Row],[Data nascimento]]&lt;=$I$2),"INFANTIL A",H1065)</f>
        <v>JUVENIL</v>
      </c>
      <c r="H1065" s="3" t="str">
        <f>IF(AND(Tabela1[[#This Row],[Data nascimento]]&gt;=$L$2,Tabela1[[#This Row],[Data nascimento]]&lt;=$K$2),"INFANTIL B",I1065)</f>
        <v>JUVENIL</v>
      </c>
      <c r="I1065" s="9" t="str">
        <f>IF(AND(Tabela1[[#This Row],[Data nascimento]]&gt;=$N$2,Tabela1[[#This Row],[Data nascimento]]&lt;=$M$2),"INICIADO",J1065)</f>
        <v>JUVENIL</v>
      </c>
      <c r="J1065" s="9" t="str">
        <f>IF(AND(Tabela1[[#This Row],[Data nascimento]]&gt;=$P$2,Tabela1[[#This Row],[Data nascimento]]&lt;=$O$2),"JUVENIL","JÚNIOR")</f>
        <v>JUVENIL</v>
      </c>
    </row>
    <row r="1066" spans="1:10" ht="15" x14ac:dyDescent="0.4">
      <c r="A1066" s="13" t="s">
        <v>959</v>
      </c>
      <c r="B1066" s="2" t="s">
        <v>960</v>
      </c>
      <c r="C1066" s="4" t="s">
        <v>8</v>
      </c>
      <c r="D1066" s="11">
        <v>38947</v>
      </c>
      <c r="E1066" s="7" t="s">
        <v>961</v>
      </c>
      <c r="F1066" s="4" t="s">
        <v>4772</v>
      </c>
      <c r="G1066" s="12" t="str">
        <f>IF(AND(Tabela1[[#This Row],[Data nascimento]]&gt;=$J$2,Tabela1[[#This Row],[Data nascimento]]&lt;=$I$2),"INFANTIL A",H1066)</f>
        <v>JÚNIOR</v>
      </c>
      <c r="H1066" s="3" t="str">
        <f>IF(AND(Tabela1[[#This Row],[Data nascimento]]&gt;=$L$2,Tabela1[[#This Row],[Data nascimento]]&lt;=$K$2),"INFANTIL B",I1066)</f>
        <v>JÚNIOR</v>
      </c>
      <c r="I1066" s="9" t="str">
        <f>IF(AND(Tabela1[[#This Row],[Data nascimento]]&gt;=$N$2,Tabela1[[#This Row],[Data nascimento]]&lt;=$M$2),"INICIADO",J1066)</f>
        <v>JÚNIOR</v>
      </c>
      <c r="J1066" s="9" t="str">
        <f>IF(AND(Tabela1[[#This Row],[Data nascimento]]&gt;=$P$2,Tabela1[[#This Row],[Data nascimento]]&lt;=$O$2),"JUVENIL","JÚNIOR")</f>
        <v>JÚNIOR</v>
      </c>
    </row>
    <row r="1067" spans="1:10" ht="15" x14ac:dyDescent="0.4">
      <c r="A1067" s="13" t="s">
        <v>962</v>
      </c>
      <c r="B1067" s="2" t="s">
        <v>963</v>
      </c>
      <c r="C1067" s="4" t="s">
        <v>21</v>
      </c>
      <c r="D1067" s="11">
        <v>39429</v>
      </c>
      <c r="E1067" s="7" t="s">
        <v>964</v>
      </c>
      <c r="F1067" s="4" t="s">
        <v>4772</v>
      </c>
      <c r="G1067" s="12" t="str">
        <f>IF(AND(Tabela1[[#This Row],[Data nascimento]]&gt;=$J$2,Tabela1[[#This Row],[Data nascimento]]&lt;=$I$2),"INFANTIL A",H1067)</f>
        <v>JÚNIOR</v>
      </c>
      <c r="H1067" s="3" t="str">
        <f>IF(AND(Tabela1[[#This Row],[Data nascimento]]&gt;=$L$2,Tabela1[[#This Row],[Data nascimento]]&lt;=$K$2),"INFANTIL B",I1067)</f>
        <v>JÚNIOR</v>
      </c>
      <c r="I1067" s="9" t="str">
        <f>IF(AND(Tabela1[[#This Row],[Data nascimento]]&gt;=$N$2,Tabela1[[#This Row],[Data nascimento]]&lt;=$M$2),"INICIADO",J1067)</f>
        <v>JÚNIOR</v>
      </c>
      <c r="J1067" s="9" t="str">
        <f>IF(AND(Tabela1[[#This Row],[Data nascimento]]&gt;=$P$2,Tabela1[[#This Row],[Data nascimento]]&lt;=$O$2),"JUVENIL","JÚNIOR")</f>
        <v>JÚNIOR</v>
      </c>
    </row>
    <row r="1068" spans="1:10" ht="15" x14ac:dyDescent="0.4">
      <c r="A1068" s="13" t="s">
        <v>965</v>
      </c>
      <c r="B1068" s="2" t="s">
        <v>966</v>
      </c>
      <c r="C1068" s="4" t="s">
        <v>21</v>
      </c>
      <c r="D1068" s="11">
        <v>39482</v>
      </c>
      <c r="E1068" s="7" t="s">
        <v>967</v>
      </c>
      <c r="F1068" s="4" t="s">
        <v>4772</v>
      </c>
      <c r="G1068" s="12" t="str">
        <f>IF(AND(Tabela1[[#This Row],[Data nascimento]]&gt;=$J$2,Tabela1[[#This Row],[Data nascimento]]&lt;=$I$2),"INFANTIL A",H1068)</f>
        <v>JUVENIL</v>
      </c>
      <c r="H1068" s="3" t="str">
        <f>IF(AND(Tabela1[[#This Row],[Data nascimento]]&gt;=$L$2,Tabela1[[#This Row],[Data nascimento]]&lt;=$K$2),"INFANTIL B",I1068)</f>
        <v>JUVENIL</v>
      </c>
      <c r="I1068" s="9" t="str">
        <f>IF(AND(Tabela1[[#This Row],[Data nascimento]]&gt;=$N$2,Tabela1[[#This Row],[Data nascimento]]&lt;=$M$2),"INICIADO",J1068)</f>
        <v>JUVENIL</v>
      </c>
      <c r="J1068" s="9" t="str">
        <f>IF(AND(Tabela1[[#This Row],[Data nascimento]]&gt;=$P$2,Tabela1[[#This Row],[Data nascimento]]&lt;=$O$2),"JUVENIL","JÚNIOR")</f>
        <v>JUVENIL</v>
      </c>
    </row>
    <row r="1069" spans="1:10" ht="15" x14ac:dyDescent="0.4">
      <c r="A1069" s="13" t="s">
        <v>968</v>
      </c>
      <c r="B1069" s="2" t="s">
        <v>969</v>
      </c>
      <c r="C1069" s="4" t="s">
        <v>8</v>
      </c>
      <c r="D1069" s="11">
        <v>38547</v>
      </c>
      <c r="E1069" s="7" t="s">
        <v>970</v>
      </c>
      <c r="F1069" s="4" t="s">
        <v>4772</v>
      </c>
      <c r="G1069" s="12" t="str">
        <f>IF(AND(Tabela1[[#This Row],[Data nascimento]]&gt;=$J$2,Tabela1[[#This Row],[Data nascimento]]&lt;=$I$2),"INFANTIL A",H1069)</f>
        <v>JÚNIOR</v>
      </c>
      <c r="H1069" s="3" t="str">
        <f>IF(AND(Tabela1[[#This Row],[Data nascimento]]&gt;=$L$2,Tabela1[[#This Row],[Data nascimento]]&lt;=$K$2),"INFANTIL B",I1069)</f>
        <v>JÚNIOR</v>
      </c>
      <c r="I1069" s="9" t="str">
        <f>IF(AND(Tabela1[[#This Row],[Data nascimento]]&gt;=$N$2,Tabela1[[#This Row],[Data nascimento]]&lt;=$M$2),"INICIADO",J1069)</f>
        <v>JÚNIOR</v>
      </c>
      <c r="J1069" s="9" t="str">
        <f>IF(AND(Tabela1[[#This Row],[Data nascimento]]&gt;=$P$2,Tabela1[[#This Row],[Data nascimento]]&lt;=$O$2),"JUVENIL","JÚNIOR")</f>
        <v>JÚNIOR</v>
      </c>
    </row>
    <row r="1070" spans="1:10" ht="15" x14ac:dyDescent="0.4">
      <c r="A1070" s="13" t="s">
        <v>971</v>
      </c>
      <c r="B1070" s="2" t="s">
        <v>972</v>
      </c>
      <c r="C1070" s="4" t="s">
        <v>8</v>
      </c>
      <c r="D1070" s="11">
        <v>39644</v>
      </c>
      <c r="E1070" s="7" t="s">
        <v>973</v>
      </c>
      <c r="F1070" s="4" t="s">
        <v>4772</v>
      </c>
      <c r="G1070" s="12" t="str">
        <f>IF(AND(Tabela1[[#This Row],[Data nascimento]]&gt;=$J$2,Tabela1[[#This Row],[Data nascimento]]&lt;=$I$2),"INFANTIL A",H1070)</f>
        <v>JUVENIL</v>
      </c>
      <c r="H1070" s="3" t="str">
        <f>IF(AND(Tabela1[[#This Row],[Data nascimento]]&gt;=$L$2,Tabela1[[#This Row],[Data nascimento]]&lt;=$K$2),"INFANTIL B",I1070)</f>
        <v>JUVENIL</v>
      </c>
      <c r="I1070" s="9" t="str">
        <f>IF(AND(Tabela1[[#This Row],[Data nascimento]]&gt;=$N$2,Tabela1[[#This Row],[Data nascimento]]&lt;=$M$2),"INICIADO",J1070)</f>
        <v>JUVENIL</v>
      </c>
      <c r="J1070" s="9" t="str">
        <f>IF(AND(Tabela1[[#This Row],[Data nascimento]]&gt;=$P$2,Tabela1[[#This Row],[Data nascimento]]&lt;=$O$2),"JUVENIL","JÚNIOR")</f>
        <v>JUVENIL</v>
      </c>
    </row>
    <row r="1071" spans="1:10" ht="15" x14ac:dyDescent="0.4">
      <c r="A1071" s="13" t="s">
        <v>974</v>
      </c>
      <c r="B1071" s="2" t="s">
        <v>975</v>
      </c>
      <c r="C1071" s="4" t="s">
        <v>8</v>
      </c>
      <c r="D1071" s="11">
        <v>39520</v>
      </c>
      <c r="E1071" s="7" t="s">
        <v>976</v>
      </c>
      <c r="F1071" s="4" t="s">
        <v>4772</v>
      </c>
      <c r="G1071" s="12" t="str">
        <f>IF(AND(Tabela1[[#This Row],[Data nascimento]]&gt;=$J$2,Tabela1[[#This Row],[Data nascimento]]&lt;=$I$2),"INFANTIL A",H1071)</f>
        <v>JUVENIL</v>
      </c>
      <c r="H1071" s="3" t="str">
        <f>IF(AND(Tabela1[[#This Row],[Data nascimento]]&gt;=$L$2,Tabela1[[#This Row],[Data nascimento]]&lt;=$K$2),"INFANTIL B",I1071)</f>
        <v>JUVENIL</v>
      </c>
      <c r="I1071" s="9" t="str">
        <f>IF(AND(Tabela1[[#This Row],[Data nascimento]]&gt;=$N$2,Tabela1[[#This Row],[Data nascimento]]&lt;=$M$2),"INICIADO",J1071)</f>
        <v>JUVENIL</v>
      </c>
      <c r="J1071" s="9" t="str">
        <f>IF(AND(Tabela1[[#This Row],[Data nascimento]]&gt;=$P$2,Tabela1[[#This Row],[Data nascimento]]&lt;=$O$2),"JUVENIL","JÚNIOR")</f>
        <v>JUVENIL</v>
      </c>
    </row>
    <row r="1072" spans="1:10" ht="15" x14ac:dyDescent="0.4">
      <c r="A1072" s="13" t="s">
        <v>977</v>
      </c>
      <c r="B1072" s="2" t="s">
        <v>978</v>
      </c>
      <c r="C1072" s="4" t="s">
        <v>8</v>
      </c>
      <c r="D1072" s="11">
        <v>38815</v>
      </c>
      <c r="E1072" s="7" t="s">
        <v>979</v>
      </c>
      <c r="F1072" s="4" t="s">
        <v>4772</v>
      </c>
      <c r="G1072" s="12" t="str">
        <f>IF(AND(Tabela1[[#This Row],[Data nascimento]]&gt;=$J$2,Tabela1[[#This Row],[Data nascimento]]&lt;=$I$2),"INFANTIL A",H1072)</f>
        <v>JÚNIOR</v>
      </c>
      <c r="H1072" s="3" t="str">
        <f>IF(AND(Tabela1[[#This Row],[Data nascimento]]&gt;=$L$2,Tabela1[[#This Row],[Data nascimento]]&lt;=$K$2),"INFANTIL B",I1072)</f>
        <v>JÚNIOR</v>
      </c>
      <c r="I1072" s="9" t="str">
        <f>IF(AND(Tabela1[[#This Row],[Data nascimento]]&gt;=$N$2,Tabela1[[#This Row],[Data nascimento]]&lt;=$M$2),"INICIADO",J1072)</f>
        <v>JÚNIOR</v>
      </c>
      <c r="J1072" s="9" t="str">
        <f>IF(AND(Tabela1[[#This Row],[Data nascimento]]&gt;=$P$2,Tabela1[[#This Row],[Data nascimento]]&lt;=$O$2),"JUVENIL","JÚNIOR")</f>
        <v>JÚNIOR</v>
      </c>
    </row>
    <row r="1073" spans="1:10" ht="15" x14ac:dyDescent="0.4">
      <c r="A1073" s="13" t="s">
        <v>980</v>
      </c>
      <c r="B1073" s="2" t="s">
        <v>981</v>
      </c>
      <c r="C1073" s="4" t="s">
        <v>8</v>
      </c>
      <c r="D1073" s="11">
        <v>39248</v>
      </c>
      <c r="E1073" s="7" t="s">
        <v>982</v>
      </c>
      <c r="F1073" s="4" t="s">
        <v>4772</v>
      </c>
      <c r="G1073" s="12" t="str">
        <f>IF(AND(Tabela1[[#This Row],[Data nascimento]]&gt;=$J$2,Tabela1[[#This Row],[Data nascimento]]&lt;=$I$2),"INFANTIL A",H1073)</f>
        <v>JÚNIOR</v>
      </c>
      <c r="H1073" s="3" t="str">
        <f>IF(AND(Tabela1[[#This Row],[Data nascimento]]&gt;=$L$2,Tabela1[[#This Row],[Data nascimento]]&lt;=$K$2),"INFANTIL B",I1073)</f>
        <v>JÚNIOR</v>
      </c>
      <c r="I1073" s="9" t="str">
        <f>IF(AND(Tabela1[[#This Row],[Data nascimento]]&gt;=$N$2,Tabela1[[#This Row],[Data nascimento]]&lt;=$M$2),"INICIADO",J1073)</f>
        <v>JÚNIOR</v>
      </c>
      <c r="J1073" s="9" t="str">
        <f>IF(AND(Tabela1[[#This Row],[Data nascimento]]&gt;=$P$2,Tabela1[[#This Row],[Data nascimento]]&lt;=$O$2),"JUVENIL","JÚNIOR")</f>
        <v>JÚNIOR</v>
      </c>
    </row>
    <row r="1074" spans="1:10" ht="15" x14ac:dyDescent="0.4">
      <c r="A1074" s="13" t="s">
        <v>983</v>
      </c>
      <c r="B1074" s="2" t="s">
        <v>984</v>
      </c>
      <c r="C1074" s="4" t="s">
        <v>8</v>
      </c>
      <c r="D1074" s="11">
        <v>39547</v>
      </c>
      <c r="E1074" s="7" t="s">
        <v>985</v>
      </c>
      <c r="F1074" s="4" t="s">
        <v>4772</v>
      </c>
      <c r="G1074" s="12" t="str">
        <f>IF(AND(Tabela1[[#This Row],[Data nascimento]]&gt;=$J$2,Tabela1[[#This Row],[Data nascimento]]&lt;=$I$2),"INFANTIL A",H1074)</f>
        <v>JUVENIL</v>
      </c>
      <c r="H1074" s="3" t="str">
        <f>IF(AND(Tabela1[[#This Row],[Data nascimento]]&gt;=$L$2,Tabela1[[#This Row],[Data nascimento]]&lt;=$K$2),"INFANTIL B",I1074)</f>
        <v>JUVENIL</v>
      </c>
      <c r="I1074" s="9" t="str">
        <f>IF(AND(Tabela1[[#This Row],[Data nascimento]]&gt;=$N$2,Tabela1[[#This Row],[Data nascimento]]&lt;=$M$2),"INICIADO",J1074)</f>
        <v>JUVENIL</v>
      </c>
      <c r="J1074" s="9" t="str">
        <f>IF(AND(Tabela1[[#This Row],[Data nascimento]]&gt;=$P$2,Tabela1[[#This Row],[Data nascimento]]&lt;=$O$2),"JUVENIL","JÚNIOR")</f>
        <v>JUVENIL</v>
      </c>
    </row>
    <row r="1075" spans="1:10" ht="15" x14ac:dyDescent="0.4">
      <c r="A1075" s="13" t="s">
        <v>986</v>
      </c>
      <c r="B1075" s="2" t="s">
        <v>987</v>
      </c>
      <c r="C1075" s="4" t="s">
        <v>21</v>
      </c>
      <c r="D1075" s="11">
        <v>39232</v>
      </c>
      <c r="E1075" s="7" t="s">
        <v>988</v>
      </c>
      <c r="F1075" s="4" t="s">
        <v>4772</v>
      </c>
      <c r="G1075" s="12" t="str">
        <f>IF(AND(Tabela1[[#This Row],[Data nascimento]]&gt;=$J$2,Tabela1[[#This Row],[Data nascimento]]&lt;=$I$2),"INFANTIL A",H1075)</f>
        <v>JÚNIOR</v>
      </c>
      <c r="H1075" s="3" t="str">
        <f>IF(AND(Tabela1[[#This Row],[Data nascimento]]&gt;=$L$2,Tabela1[[#This Row],[Data nascimento]]&lt;=$K$2),"INFANTIL B",I1075)</f>
        <v>JÚNIOR</v>
      </c>
      <c r="I1075" s="9" t="str">
        <f>IF(AND(Tabela1[[#This Row],[Data nascimento]]&gt;=$N$2,Tabela1[[#This Row],[Data nascimento]]&lt;=$M$2),"INICIADO",J1075)</f>
        <v>JÚNIOR</v>
      </c>
      <c r="J1075" s="9" t="str">
        <f>IF(AND(Tabela1[[#This Row],[Data nascimento]]&gt;=$P$2,Tabela1[[#This Row],[Data nascimento]]&lt;=$O$2),"JUVENIL","JÚNIOR")</f>
        <v>JÚNIOR</v>
      </c>
    </row>
    <row r="1076" spans="1:10" ht="15" x14ac:dyDescent="0.4">
      <c r="A1076" s="13" t="s">
        <v>989</v>
      </c>
      <c r="B1076" s="2" t="s">
        <v>990</v>
      </c>
      <c r="C1076" s="4" t="s">
        <v>21</v>
      </c>
      <c r="D1076" s="11">
        <v>39510</v>
      </c>
      <c r="E1076" s="7" t="s">
        <v>991</v>
      </c>
      <c r="F1076" s="4" t="s">
        <v>4772</v>
      </c>
      <c r="G1076" s="12" t="str">
        <f>IF(AND(Tabela1[[#This Row],[Data nascimento]]&gt;=$J$2,Tabela1[[#This Row],[Data nascimento]]&lt;=$I$2),"INFANTIL A",H1076)</f>
        <v>JUVENIL</v>
      </c>
      <c r="H1076" s="3" t="str">
        <f>IF(AND(Tabela1[[#This Row],[Data nascimento]]&gt;=$L$2,Tabela1[[#This Row],[Data nascimento]]&lt;=$K$2),"INFANTIL B",I1076)</f>
        <v>JUVENIL</v>
      </c>
      <c r="I1076" s="9" t="str">
        <f>IF(AND(Tabela1[[#This Row],[Data nascimento]]&gt;=$N$2,Tabela1[[#This Row],[Data nascimento]]&lt;=$M$2),"INICIADO",J1076)</f>
        <v>JUVENIL</v>
      </c>
      <c r="J1076" s="9" t="str">
        <f>IF(AND(Tabela1[[#This Row],[Data nascimento]]&gt;=$P$2,Tabela1[[#This Row],[Data nascimento]]&lt;=$O$2),"JUVENIL","JÚNIOR")</f>
        <v>JUVENIL</v>
      </c>
    </row>
    <row r="1077" spans="1:10" ht="15" x14ac:dyDescent="0.4">
      <c r="A1077" s="13" t="s">
        <v>992</v>
      </c>
      <c r="B1077" s="2" t="s">
        <v>993</v>
      </c>
      <c r="C1077" s="4" t="s">
        <v>8</v>
      </c>
      <c r="D1077" s="11">
        <v>39063</v>
      </c>
      <c r="E1077" s="7" t="s">
        <v>994</v>
      </c>
      <c r="F1077" s="4" t="s">
        <v>4772</v>
      </c>
      <c r="G1077" s="12" t="str">
        <f>IF(AND(Tabela1[[#This Row],[Data nascimento]]&gt;=$J$2,Tabela1[[#This Row],[Data nascimento]]&lt;=$I$2),"INFANTIL A",H1077)</f>
        <v>JÚNIOR</v>
      </c>
      <c r="H1077" s="3" t="str">
        <f>IF(AND(Tabela1[[#This Row],[Data nascimento]]&gt;=$L$2,Tabela1[[#This Row],[Data nascimento]]&lt;=$K$2),"INFANTIL B",I1077)</f>
        <v>JÚNIOR</v>
      </c>
      <c r="I1077" s="9" t="str">
        <f>IF(AND(Tabela1[[#This Row],[Data nascimento]]&gt;=$N$2,Tabela1[[#This Row],[Data nascimento]]&lt;=$M$2),"INICIADO",J1077)</f>
        <v>JÚNIOR</v>
      </c>
      <c r="J1077" s="9" t="str">
        <f>IF(AND(Tabela1[[#This Row],[Data nascimento]]&gt;=$P$2,Tabela1[[#This Row],[Data nascimento]]&lt;=$O$2),"JUVENIL","JÚNIOR")</f>
        <v>JÚNIOR</v>
      </c>
    </row>
    <row r="1078" spans="1:10" ht="15" x14ac:dyDescent="0.4">
      <c r="A1078" s="13" t="s">
        <v>995</v>
      </c>
      <c r="B1078" s="2" t="s">
        <v>996</v>
      </c>
      <c r="C1078" s="4" t="s">
        <v>8</v>
      </c>
      <c r="D1078" s="11">
        <v>39348</v>
      </c>
      <c r="E1078" s="7" t="s">
        <v>997</v>
      </c>
      <c r="F1078" s="4" t="s">
        <v>4772</v>
      </c>
      <c r="G1078" s="12" t="str">
        <f>IF(AND(Tabela1[[#This Row],[Data nascimento]]&gt;=$J$2,Tabela1[[#This Row],[Data nascimento]]&lt;=$I$2),"INFANTIL A",H1078)</f>
        <v>JÚNIOR</v>
      </c>
      <c r="H1078" s="3" t="str">
        <f>IF(AND(Tabela1[[#This Row],[Data nascimento]]&gt;=$L$2,Tabela1[[#This Row],[Data nascimento]]&lt;=$K$2),"INFANTIL B",I1078)</f>
        <v>JÚNIOR</v>
      </c>
      <c r="I1078" s="9" t="str">
        <f>IF(AND(Tabela1[[#This Row],[Data nascimento]]&gt;=$N$2,Tabela1[[#This Row],[Data nascimento]]&lt;=$M$2),"INICIADO",J1078)</f>
        <v>JÚNIOR</v>
      </c>
      <c r="J1078" s="9" t="str">
        <f>IF(AND(Tabela1[[#This Row],[Data nascimento]]&gt;=$P$2,Tabela1[[#This Row],[Data nascimento]]&lt;=$O$2),"JUVENIL","JÚNIOR")</f>
        <v>JÚNIOR</v>
      </c>
    </row>
    <row r="1079" spans="1:10" ht="15" x14ac:dyDescent="0.4">
      <c r="A1079" s="13" t="s">
        <v>998</v>
      </c>
      <c r="B1079" s="2" t="s">
        <v>999</v>
      </c>
      <c r="C1079" s="4" t="s">
        <v>8</v>
      </c>
      <c r="D1079" s="11">
        <v>39673</v>
      </c>
      <c r="E1079" s="7" t="s">
        <v>1000</v>
      </c>
      <c r="F1079" s="4" t="s">
        <v>4773</v>
      </c>
      <c r="G1079" s="12" t="str">
        <f>IF(AND(Tabela1[[#This Row],[Data nascimento]]&gt;=$J$2,Tabela1[[#This Row],[Data nascimento]]&lt;=$I$2),"INFANTIL A",H1079)</f>
        <v>JUVENIL</v>
      </c>
      <c r="H1079" s="3" t="str">
        <f>IF(AND(Tabela1[[#This Row],[Data nascimento]]&gt;=$L$2,Tabela1[[#This Row],[Data nascimento]]&lt;=$K$2),"INFANTIL B",I1079)</f>
        <v>JUVENIL</v>
      </c>
      <c r="I1079" s="9" t="str">
        <f>IF(AND(Tabela1[[#This Row],[Data nascimento]]&gt;=$N$2,Tabela1[[#This Row],[Data nascimento]]&lt;=$M$2),"INICIADO",J1079)</f>
        <v>JUVENIL</v>
      </c>
      <c r="J1079" s="9" t="str">
        <f>IF(AND(Tabela1[[#This Row],[Data nascimento]]&gt;=$P$2,Tabela1[[#This Row],[Data nascimento]]&lt;=$O$2),"JUVENIL","JÚNIOR")</f>
        <v>JUVENIL</v>
      </c>
    </row>
    <row r="1080" spans="1:10" ht="15" x14ac:dyDescent="0.4">
      <c r="A1080" s="13" t="s">
        <v>1001</v>
      </c>
      <c r="B1080" s="2" t="s">
        <v>1002</v>
      </c>
      <c r="C1080" s="4" t="s">
        <v>8</v>
      </c>
      <c r="D1080" s="11">
        <v>39307</v>
      </c>
      <c r="E1080" s="7" t="s">
        <v>1003</v>
      </c>
      <c r="F1080" s="4" t="s">
        <v>4773</v>
      </c>
      <c r="G1080" s="12" t="str">
        <f>IF(AND(Tabela1[[#This Row],[Data nascimento]]&gt;=$J$2,Tabela1[[#This Row],[Data nascimento]]&lt;=$I$2),"INFANTIL A",H1080)</f>
        <v>JÚNIOR</v>
      </c>
      <c r="H1080" s="3" t="str">
        <f>IF(AND(Tabela1[[#This Row],[Data nascimento]]&gt;=$L$2,Tabela1[[#This Row],[Data nascimento]]&lt;=$K$2),"INFANTIL B",I1080)</f>
        <v>JÚNIOR</v>
      </c>
      <c r="I1080" s="9" t="str">
        <f>IF(AND(Tabela1[[#This Row],[Data nascimento]]&gt;=$N$2,Tabela1[[#This Row],[Data nascimento]]&lt;=$M$2),"INICIADO",J1080)</f>
        <v>JÚNIOR</v>
      </c>
      <c r="J1080" s="9" t="str">
        <f>IF(AND(Tabela1[[#This Row],[Data nascimento]]&gt;=$P$2,Tabela1[[#This Row],[Data nascimento]]&lt;=$O$2),"JUVENIL","JÚNIOR")</f>
        <v>JÚNIOR</v>
      </c>
    </row>
    <row r="1081" spans="1:10" ht="15" x14ac:dyDescent="0.4">
      <c r="A1081" s="13" t="s">
        <v>1004</v>
      </c>
      <c r="B1081" s="2" t="s">
        <v>1005</v>
      </c>
      <c r="C1081" s="4" t="s">
        <v>8</v>
      </c>
      <c r="D1081" s="11">
        <v>38968</v>
      </c>
      <c r="E1081" s="7" t="s">
        <v>1006</v>
      </c>
      <c r="F1081" s="4" t="s">
        <v>4773</v>
      </c>
      <c r="G1081" s="12" t="str">
        <f>IF(AND(Tabela1[[#This Row],[Data nascimento]]&gt;=$J$2,Tabela1[[#This Row],[Data nascimento]]&lt;=$I$2),"INFANTIL A",H1081)</f>
        <v>JÚNIOR</v>
      </c>
      <c r="H1081" s="3" t="str">
        <f>IF(AND(Tabela1[[#This Row],[Data nascimento]]&gt;=$L$2,Tabela1[[#This Row],[Data nascimento]]&lt;=$K$2),"INFANTIL B",I1081)</f>
        <v>JÚNIOR</v>
      </c>
      <c r="I1081" s="9" t="str">
        <f>IF(AND(Tabela1[[#This Row],[Data nascimento]]&gt;=$N$2,Tabela1[[#This Row],[Data nascimento]]&lt;=$M$2),"INICIADO",J1081)</f>
        <v>JÚNIOR</v>
      </c>
      <c r="J1081" s="9" t="str">
        <f>IF(AND(Tabela1[[#This Row],[Data nascimento]]&gt;=$P$2,Tabela1[[#This Row],[Data nascimento]]&lt;=$O$2),"JUVENIL","JÚNIOR")</f>
        <v>JÚNIOR</v>
      </c>
    </row>
    <row r="1082" spans="1:10" ht="15" x14ac:dyDescent="0.4">
      <c r="A1082" s="13" t="s">
        <v>1007</v>
      </c>
      <c r="B1082" s="2" t="s">
        <v>1008</v>
      </c>
      <c r="C1082" s="4" t="s">
        <v>8</v>
      </c>
      <c r="D1082" s="11">
        <v>39476</v>
      </c>
      <c r="E1082" s="7" t="s">
        <v>1009</v>
      </c>
      <c r="F1082" s="4" t="s">
        <v>4773</v>
      </c>
      <c r="G1082" s="12" t="str">
        <f>IF(AND(Tabela1[[#This Row],[Data nascimento]]&gt;=$J$2,Tabela1[[#This Row],[Data nascimento]]&lt;=$I$2),"INFANTIL A",H1082)</f>
        <v>JUVENIL</v>
      </c>
      <c r="H1082" s="3" t="str">
        <f>IF(AND(Tabela1[[#This Row],[Data nascimento]]&gt;=$L$2,Tabela1[[#This Row],[Data nascimento]]&lt;=$K$2),"INFANTIL B",I1082)</f>
        <v>JUVENIL</v>
      </c>
      <c r="I1082" s="9" t="str">
        <f>IF(AND(Tabela1[[#This Row],[Data nascimento]]&gt;=$N$2,Tabela1[[#This Row],[Data nascimento]]&lt;=$M$2),"INICIADO",J1082)</f>
        <v>JUVENIL</v>
      </c>
      <c r="J1082" s="9" t="str">
        <f>IF(AND(Tabela1[[#This Row],[Data nascimento]]&gt;=$P$2,Tabela1[[#This Row],[Data nascimento]]&lt;=$O$2),"JUVENIL","JÚNIOR")</f>
        <v>JUVENIL</v>
      </c>
    </row>
    <row r="1083" spans="1:10" ht="15" x14ac:dyDescent="0.4">
      <c r="A1083" s="13" t="s">
        <v>1010</v>
      </c>
      <c r="B1083" s="2" t="s">
        <v>1011</v>
      </c>
      <c r="C1083" s="4" t="s">
        <v>8</v>
      </c>
      <c r="D1083" s="11">
        <v>39581</v>
      </c>
      <c r="E1083" s="7" t="s">
        <v>1012</v>
      </c>
      <c r="F1083" s="4" t="s">
        <v>4773</v>
      </c>
      <c r="G1083" s="12" t="str">
        <f>IF(AND(Tabela1[[#This Row],[Data nascimento]]&gt;=$J$2,Tabela1[[#This Row],[Data nascimento]]&lt;=$I$2),"INFANTIL A",H1083)</f>
        <v>JUVENIL</v>
      </c>
      <c r="H1083" s="3" t="str">
        <f>IF(AND(Tabela1[[#This Row],[Data nascimento]]&gt;=$L$2,Tabela1[[#This Row],[Data nascimento]]&lt;=$K$2),"INFANTIL B",I1083)</f>
        <v>JUVENIL</v>
      </c>
      <c r="I1083" s="9" t="str">
        <f>IF(AND(Tabela1[[#This Row],[Data nascimento]]&gt;=$N$2,Tabela1[[#This Row],[Data nascimento]]&lt;=$M$2),"INICIADO",J1083)</f>
        <v>JUVENIL</v>
      </c>
      <c r="J1083" s="9" t="str">
        <f>IF(AND(Tabela1[[#This Row],[Data nascimento]]&gt;=$P$2,Tabela1[[#This Row],[Data nascimento]]&lt;=$O$2),"JUVENIL","JÚNIOR")</f>
        <v>JUVENIL</v>
      </c>
    </row>
    <row r="1084" spans="1:10" ht="15" x14ac:dyDescent="0.4">
      <c r="A1084" s="13" t="s">
        <v>1013</v>
      </c>
      <c r="B1084" s="2" t="s">
        <v>1014</v>
      </c>
      <c r="C1084" s="4" t="s">
        <v>8</v>
      </c>
      <c r="D1084" s="11">
        <v>39591</v>
      </c>
      <c r="E1084" s="7" t="s">
        <v>1015</v>
      </c>
      <c r="F1084" s="4" t="s">
        <v>4773</v>
      </c>
      <c r="G1084" s="12" t="str">
        <f>IF(AND(Tabela1[[#This Row],[Data nascimento]]&gt;=$J$2,Tabela1[[#This Row],[Data nascimento]]&lt;=$I$2),"INFANTIL A",H1084)</f>
        <v>JUVENIL</v>
      </c>
      <c r="H1084" s="3" t="str">
        <f>IF(AND(Tabela1[[#This Row],[Data nascimento]]&gt;=$L$2,Tabela1[[#This Row],[Data nascimento]]&lt;=$K$2),"INFANTIL B",I1084)</f>
        <v>JUVENIL</v>
      </c>
      <c r="I1084" s="9" t="str">
        <f>IF(AND(Tabela1[[#This Row],[Data nascimento]]&gt;=$N$2,Tabela1[[#This Row],[Data nascimento]]&lt;=$M$2),"INICIADO",J1084)</f>
        <v>JUVENIL</v>
      </c>
      <c r="J1084" s="9" t="str">
        <f>IF(AND(Tabela1[[#This Row],[Data nascimento]]&gt;=$P$2,Tabela1[[#This Row],[Data nascimento]]&lt;=$O$2),"JUVENIL","JÚNIOR")</f>
        <v>JUVENIL</v>
      </c>
    </row>
    <row r="1085" spans="1:10" ht="15" x14ac:dyDescent="0.4">
      <c r="A1085" s="13" t="s">
        <v>1016</v>
      </c>
      <c r="B1085" s="2" t="s">
        <v>1017</v>
      </c>
      <c r="C1085" s="4" t="s">
        <v>8</v>
      </c>
      <c r="D1085" s="11">
        <v>39517</v>
      </c>
      <c r="E1085" s="7" t="s">
        <v>1018</v>
      </c>
      <c r="F1085" s="4" t="s">
        <v>4773</v>
      </c>
      <c r="G1085" s="12" t="str">
        <f>IF(AND(Tabela1[[#This Row],[Data nascimento]]&gt;=$J$2,Tabela1[[#This Row],[Data nascimento]]&lt;=$I$2),"INFANTIL A",H1085)</f>
        <v>JUVENIL</v>
      </c>
      <c r="H1085" s="3" t="str">
        <f>IF(AND(Tabela1[[#This Row],[Data nascimento]]&gt;=$L$2,Tabela1[[#This Row],[Data nascimento]]&lt;=$K$2),"INFANTIL B",I1085)</f>
        <v>JUVENIL</v>
      </c>
      <c r="I1085" s="9" t="str">
        <f>IF(AND(Tabela1[[#This Row],[Data nascimento]]&gt;=$N$2,Tabela1[[#This Row],[Data nascimento]]&lt;=$M$2),"INICIADO",J1085)</f>
        <v>JUVENIL</v>
      </c>
      <c r="J1085" s="9" t="str">
        <f>IF(AND(Tabela1[[#This Row],[Data nascimento]]&gt;=$P$2,Tabela1[[#This Row],[Data nascimento]]&lt;=$O$2),"JUVENIL","JÚNIOR")</f>
        <v>JUVENIL</v>
      </c>
    </row>
    <row r="1086" spans="1:10" ht="15" x14ac:dyDescent="0.4">
      <c r="A1086" s="13" t="s">
        <v>1019</v>
      </c>
      <c r="B1086" s="2" t="s">
        <v>1020</v>
      </c>
      <c r="C1086" s="4" t="s">
        <v>8</v>
      </c>
      <c r="D1086" s="11">
        <v>39487</v>
      </c>
      <c r="E1086" s="7" t="s">
        <v>1021</v>
      </c>
      <c r="F1086" s="4" t="s">
        <v>4773</v>
      </c>
      <c r="G1086" s="12" t="str">
        <f>IF(AND(Tabela1[[#This Row],[Data nascimento]]&gt;=$J$2,Tabela1[[#This Row],[Data nascimento]]&lt;=$I$2),"INFANTIL A",H1086)</f>
        <v>JUVENIL</v>
      </c>
      <c r="H1086" s="3" t="str">
        <f>IF(AND(Tabela1[[#This Row],[Data nascimento]]&gt;=$L$2,Tabela1[[#This Row],[Data nascimento]]&lt;=$K$2),"INFANTIL B",I1086)</f>
        <v>JUVENIL</v>
      </c>
      <c r="I1086" s="9" t="str">
        <f>IF(AND(Tabela1[[#This Row],[Data nascimento]]&gt;=$N$2,Tabela1[[#This Row],[Data nascimento]]&lt;=$M$2),"INICIADO",J1086)</f>
        <v>JUVENIL</v>
      </c>
      <c r="J1086" s="9" t="str">
        <f>IF(AND(Tabela1[[#This Row],[Data nascimento]]&gt;=$P$2,Tabela1[[#This Row],[Data nascimento]]&lt;=$O$2),"JUVENIL","JÚNIOR")</f>
        <v>JUVENIL</v>
      </c>
    </row>
    <row r="1087" spans="1:10" ht="15" x14ac:dyDescent="0.4">
      <c r="A1087" s="13" t="s">
        <v>1022</v>
      </c>
      <c r="B1087" s="2" t="s">
        <v>1023</v>
      </c>
      <c r="C1087" s="4" t="s">
        <v>8</v>
      </c>
      <c r="D1087" s="11">
        <v>39447</v>
      </c>
      <c r="E1087" s="7" t="s">
        <v>1024</v>
      </c>
      <c r="F1087" s="4" t="s">
        <v>4773</v>
      </c>
      <c r="G1087" s="12" t="str">
        <f>IF(AND(Tabela1[[#This Row],[Data nascimento]]&gt;=$J$2,Tabela1[[#This Row],[Data nascimento]]&lt;=$I$2),"INFANTIL A",H1087)</f>
        <v>JÚNIOR</v>
      </c>
      <c r="H1087" s="3" t="str">
        <f>IF(AND(Tabela1[[#This Row],[Data nascimento]]&gt;=$L$2,Tabela1[[#This Row],[Data nascimento]]&lt;=$K$2),"INFANTIL B",I1087)</f>
        <v>JÚNIOR</v>
      </c>
      <c r="I1087" s="9" t="str">
        <f>IF(AND(Tabela1[[#This Row],[Data nascimento]]&gt;=$N$2,Tabela1[[#This Row],[Data nascimento]]&lt;=$M$2),"INICIADO",J1087)</f>
        <v>JÚNIOR</v>
      </c>
      <c r="J1087" s="9" t="str">
        <f>IF(AND(Tabela1[[#This Row],[Data nascimento]]&gt;=$P$2,Tabela1[[#This Row],[Data nascimento]]&lt;=$O$2),"JUVENIL","JÚNIOR")</f>
        <v>JÚNIOR</v>
      </c>
    </row>
    <row r="1088" spans="1:10" ht="15" x14ac:dyDescent="0.4">
      <c r="A1088" s="13" t="s">
        <v>1025</v>
      </c>
      <c r="B1088" s="2" t="s">
        <v>1026</v>
      </c>
      <c r="C1088" s="4" t="s">
        <v>8</v>
      </c>
      <c r="D1088" s="11">
        <v>39476</v>
      </c>
      <c r="E1088" s="7" t="s">
        <v>1027</v>
      </c>
      <c r="F1088" s="4" t="s">
        <v>4773</v>
      </c>
      <c r="G1088" s="12" t="str">
        <f>IF(AND(Tabela1[[#This Row],[Data nascimento]]&gt;=$J$2,Tabela1[[#This Row],[Data nascimento]]&lt;=$I$2),"INFANTIL A",H1088)</f>
        <v>JUVENIL</v>
      </c>
      <c r="H1088" s="3" t="str">
        <f>IF(AND(Tabela1[[#This Row],[Data nascimento]]&gt;=$L$2,Tabela1[[#This Row],[Data nascimento]]&lt;=$K$2),"INFANTIL B",I1088)</f>
        <v>JUVENIL</v>
      </c>
      <c r="I1088" s="9" t="str">
        <f>IF(AND(Tabela1[[#This Row],[Data nascimento]]&gt;=$N$2,Tabela1[[#This Row],[Data nascimento]]&lt;=$M$2),"INICIADO",J1088)</f>
        <v>JUVENIL</v>
      </c>
      <c r="J1088" s="9" t="str">
        <f>IF(AND(Tabela1[[#This Row],[Data nascimento]]&gt;=$P$2,Tabela1[[#This Row],[Data nascimento]]&lt;=$O$2),"JUVENIL","JÚNIOR")</f>
        <v>JUVENIL</v>
      </c>
    </row>
    <row r="1089" spans="1:10" ht="15" x14ac:dyDescent="0.4">
      <c r="A1089" s="13" t="s">
        <v>1028</v>
      </c>
      <c r="B1089" s="2" t="s">
        <v>1029</v>
      </c>
      <c r="C1089" s="4" t="s">
        <v>8</v>
      </c>
      <c r="D1089" s="11">
        <v>39527</v>
      </c>
      <c r="E1089" s="7" t="s">
        <v>1030</v>
      </c>
      <c r="F1089" s="4" t="s">
        <v>4773</v>
      </c>
      <c r="G1089" s="12" t="str">
        <f>IF(AND(Tabela1[[#This Row],[Data nascimento]]&gt;=$J$2,Tabela1[[#This Row],[Data nascimento]]&lt;=$I$2),"INFANTIL A",H1089)</f>
        <v>JUVENIL</v>
      </c>
      <c r="H1089" s="3" t="str">
        <f>IF(AND(Tabela1[[#This Row],[Data nascimento]]&gt;=$L$2,Tabela1[[#This Row],[Data nascimento]]&lt;=$K$2),"INFANTIL B",I1089)</f>
        <v>JUVENIL</v>
      </c>
      <c r="I1089" s="9" t="str">
        <f>IF(AND(Tabela1[[#This Row],[Data nascimento]]&gt;=$N$2,Tabela1[[#This Row],[Data nascimento]]&lt;=$M$2),"INICIADO",J1089)</f>
        <v>JUVENIL</v>
      </c>
      <c r="J1089" s="9" t="str">
        <f>IF(AND(Tabela1[[#This Row],[Data nascimento]]&gt;=$P$2,Tabela1[[#This Row],[Data nascimento]]&lt;=$O$2),"JUVENIL","JÚNIOR")</f>
        <v>JUVENIL</v>
      </c>
    </row>
    <row r="1090" spans="1:10" ht="15" x14ac:dyDescent="0.4">
      <c r="A1090" s="13" t="s">
        <v>1031</v>
      </c>
      <c r="B1090" s="2" t="s">
        <v>1032</v>
      </c>
      <c r="C1090" s="4" t="s">
        <v>8</v>
      </c>
      <c r="D1090" s="11">
        <v>39434</v>
      </c>
      <c r="E1090" s="7" t="s">
        <v>1033</v>
      </c>
      <c r="F1090" s="4" t="s">
        <v>4773</v>
      </c>
      <c r="G1090" s="12" t="str">
        <f>IF(AND(Tabela1[[#This Row],[Data nascimento]]&gt;=$J$2,Tabela1[[#This Row],[Data nascimento]]&lt;=$I$2),"INFANTIL A",H1090)</f>
        <v>JÚNIOR</v>
      </c>
      <c r="H1090" s="3" t="str">
        <f>IF(AND(Tabela1[[#This Row],[Data nascimento]]&gt;=$L$2,Tabela1[[#This Row],[Data nascimento]]&lt;=$K$2),"INFANTIL B",I1090)</f>
        <v>JÚNIOR</v>
      </c>
      <c r="I1090" s="9" t="str">
        <f>IF(AND(Tabela1[[#This Row],[Data nascimento]]&gt;=$N$2,Tabela1[[#This Row],[Data nascimento]]&lt;=$M$2),"INICIADO",J1090)</f>
        <v>JÚNIOR</v>
      </c>
      <c r="J1090" s="9" t="str">
        <f>IF(AND(Tabela1[[#This Row],[Data nascimento]]&gt;=$P$2,Tabela1[[#This Row],[Data nascimento]]&lt;=$O$2),"JUVENIL","JÚNIOR")</f>
        <v>JÚNIOR</v>
      </c>
    </row>
    <row r="1091" spans="1:10" ht="15" x14ac:dyDescent="0.4">
      <c r="A1091" s="13" t="s">
        <v>1034</v>
      </c>
      <c r="B1091" s="2" t="s">
        <v>1035</v>
      </c>
      <c r="C1091" s="4" t="s">
        <v>8</v>
      </c>
      <c r="D1091" s="11">
        <v>38987</v>
      </c>
      <c r="E1091" s="7" t="s">
        <v>1036</v>
      </c>
      <c r="F1091" s="4" t="s">
        <v>4773</v>
      </c>
      <c r="G1091" s="12" t="str">
        <f>IF(AND(Tabela1[[#This Row],[Data nascimento]]&gt;=$J$2,Tabela1[[#This Row],[Data nascimento]]&lt;=$I$2),"INFANTIL A",H1091)</f>
        <v>JÚNIOR</v>
      </c>
      <c r="H1091" s="3" t="str">
        <f>IF(AND(Tabela1[[#This Row],[Data nascimento]]&gt;=$L$2,Tabela1[[#This Row],[Data nascimento]]&lt;=$K$2),"INFANTIL B",I1091)</f>
        <v>JÚNIOR</v>
      </c>
      <c r="I1091" s="9" t="str">
        <f>IF(AND(Tabela1[[#This Row],[Data nascimento]]&gt;=$N$2,Tabela1[[#This Row],[Data nascimento]]&lt;=$M$2),"INICIADO",J1091)</f>
        <v>JÚNIOR</v>
      </c>
      <c r="J1091" s="9" t="str">
        <f>IF(AND(Tabela1[[#This Row],[Data nascimento]]&gt;=$P$2,Tabela1[[#This Row],[Data nascimento]]&lt;=$O$2),"JUVENIL","JÚNIOR")</f>
        <v>JÚNIOR</v>
      </c>
    </row>
    <row r="1092" spans="1:10" ht="15" x14ac:dyDescent="0.4">
      <c r="A1092" s="13" t="s">
        <v>1037</v>
      </c>
      <c r="B1092" s="2" t="s">
        <v>1038</v>
      </c>
      <c r="C1092" s="4" t="s">
        <v>8</v>
      </c>
      <c r="D1092" s="11">
        <v>39450</v>
      </c>
      <c r="E1092" s="7" t="s">
        <v>1039</v>
      </c>
      <c r="F1092" s="4" t="s">
        <v>4773</v>
      </c>
      <c r="G1092" s="12" t="str">
        <f>IF(AND(Tabela1[[#This Row],[Data nascimento]]&gt;=$J$2,Tabela1[[#This Row],[Data nascimento]]&lt;=$I$2),"INFANTIL A",H1092)</f>
        <v>JUVENIL</v>
      </c>
      <c r="H1092" s="3" t="str">
        <f>IF(AND(Tabela1[[#This Row],[Data nascimento]]&gt;=$L$2,Tabela1[[#This Row],[Data nascimento]]&lt;=$K$2),"INFANTIL B",I1092)</f>
        <v>JUVENIL</v>
      </c>
      <c r="I1092" s="9" t="str">
        <f>IF(AND(Tabela1[[#This Row],[Data nascimento]]&gt;=$N$2,Tabela1[[#This Row],[Data nascimento]]&lt;=$M$2),"INICIADO",J1092)</f>
        <v>JUVENIL</v>
      </c>
      <c r="J1092" s="9" t="str">
        <f>IF(AND(Tabela1[[#This Row],[Data nascimento]]&gt;=$P$2,Tabela1[[#This Row],[Data nascimento]]&lt;=$O$2),"JUVENIL","JÚNIOR")</f>
        <v>JUVENIL</v>
      </c>
    </row>
    <row r="1093" spans="1:10" ht="15" x14ac:dyDescent="0.4">
      <c r="A1093" s="13" t="s">
        <v>1040</v>
      </c>
      <c r="B1093" s="2" t="s">
        <v>1041</v>
      </c>
      <c r="C1093" s="4" t="s">
        <v>8</v>
      </c>
      <c r="D1093" s="11">
        <v>39596</v>
      </c>
      <c r="E1093" s="7" t="s">
        <v>1042</v>
      </c>
      <c r="F1093" s="4" t="s">
        <v>4773</v>
      </c>
      <c r="G1093" s="12" t="str">
        <f>IF(AND(Tabela1[[#This Row],[Data nascimento]]&gt;=$J$2,Tabela1[[#This Row],[Data nascimento]]&lt;=$I$2),"INFANTIL A",H1093)</f>
        <v>JUVENIL</v>
      </c>
      <c r="H1093" s="3" t="str">
        <f>IF(AND(Tabela1[[#This Row],[Data nascimento]]&gt;=$L$2,Tabela1[[#This Row],[Data nascimento]]&lt;=$K$2),"INFANTIL B",I1093)</f>
        <v>JUVENIL</v>
      </c>
      <c r="I1093" s="9" t="str">
        <f>IF(AND(Tabela1[[#This Row],[Data nascimento]]&gt;=$N$2,Tabela1[[#This Row],[Data nascimento]]&lt;=$M$2),"INICIADO",J1093)</f>
        <v>JUVENIL</v>
      </c>
      <c r="J1093" s="9" t="str">
        <f>IF(AND(Tabela1[[#This Row],[Data nascimento]]&gt;=$P$2,Tabela1[[#This Row],[Data nascimento]]&lt;=$O$2),"JUVENIL","JÚNIOR")</f>
        <v>JUVENIL</v>
      </c>
    </row>
    <row r="1094" spans="1:10" ht="15" x14ac:dyDescent="0.4">
      <c r="A1094" s="13" t="s">
        <v>1043</v>
      </c>
      <c r="B1094" s="2" t="s">
        <v>1044</v>
      </c>
      <c r="C1094" s="4" t="s">
        <v>8</v>
      </c>
      <c r="D1094" s="11">
        <v>39542</v>
      </c>
      <c r="E1094" s="7" t="s">
        <v>1045</v>
      </c>
      <c r="F1094" s="4" t="s">
        <v>4773</v>
      </c>
      <c r="G1094" s="12" t="str">
        <f>IF(AND(Tabela1[[#This Row],[Data nascimento]]&gt;=$J$2,Tabela1[[#This Row],[Data nascimento]]&lt;=$I$2),"INFANTIL A",H1094)</f>
        <v>JUVENIL</v>
      </c>
      <c r="H1094" s="3" t="str">
        <f>IF(AND(Tabela1[[#This Row],[Data nascimento]]&gt;=$L$2,Tabela1[[#This Row],[Data nascimento]]&lt;=$K$2),"INFANTIL B",I1094)</f>
        <v>JUVENIL</v>
      </c>
      <c r="I1094" s="9" t="str">
        <f>IF(AND(Tabela1[[#This Row],[Data nascimento]]&gt;=$N$2,Tabela1[[#This Row],[Data nascimento]]&lt;=$M$2),"INICIADO",J1094)</f>
        <v>JUVENIL</v>
      </c>
      <c r="J1094" s="9" t="str">
        <f>IF(AND(Tabela1[[#This Row],[Data nascimento]]&gt;=$P$2,Tabela1[[#This Row],[Data nascimento]]&lt;=$O$2),"JUVENIL","JÚNIOR")</f>
        <v>JUVENIL</v>
      </c>
    </row>
    <row r="1095" spans="1:10" ht="15" x14ac:dyDescent="0.4">
      <c r="A1095" s="13" t="s">
        <v>1046</v>
      </c>
      <c r="B1095" s="2" t="s">
        <v>1047</v>
      </c>
      <c r="C1095" s="4" t="s">
        <v>8</v>
      </c>
      <c r="D1095" s="11">
        <v>39564</v>
      </c>
      <c r="E1095" s="7" t="s">
        <v>1048</v>
      </c>
      <c r="F1095" s="4" t="s">
        <v>4773</v>
      </c>
      <c r="G1095" s="12" t="str">
        <f>IF(AND(Tabela1[[#This Row],[Data nascimento]]&gt;=$J$2,Tabela1[[#This Row],[Data nascimento]]&lt;=$I$2),"INFANTIL A",H1095)</f>
        <v>JUVENIL</v>
      </c>
      <c r="H1095" s="3" t="str">
        <f>IF(AND(Tabela1[[#This Row],[Data nascimento]]&gt;=$L$2,Tabela1[[#This Row],[Data nascimento]]&lt;=$K$2),"INFANTIL B",I1095)</f>
        <v>JUVENIL</v>
      </c>
      <c r="I1095" s="9" t="str">
        <f>IF(AND(Tabela1[[#This Row],[Data nascimento]]&gt;=$N$2,Tabela1[[#This Row],[Data nascimento]]&lt;=$M$2),"INICIADO",J1095)</f>
        <v>JUVENIL</v>
      </c>
      <c r="J1095" s="9" t="str">
        <f>IF(AND(Tabela1[[#This Row],[Data nascimento]]&gt;=$P$2,Tabela1[[#This Row],[Data nascimento]]&lt;=$O$2),"JUVENIL","JÚNIOR")</f>
        <v>JUVENIL</v>
      </c>
    </row>
    <row r="1096" spans="1:10" ht="15" x14ac:dyDescent="0.4">
      <c r="A1096" s="13" t="s">
        <v>1049</v>
      </c>
      <c r="B1096" s="2" t="s">
        <v>1050</v>
      </c>
      <c r="C1096" s="4" t="s">
        <v>8</v>
      </c>
      <c r="D1096" s="11">
        <v>39654</v>
      </c>
      <c r="E1096" s="7" t="s">
        <v>1051</v>
      </c>
      <c r="F1096" s="4" t="s">
        <v>4773</v>
      </c>
      <c r="G1096" s="12" t="str">
        <f>IF(AND(Tabela1[[#This Row],[Data nascimento]]&gt;=$J$2,Tabela1[[#This Row],[Data nascimento]]&lt;=$I$2),"INFANTIL A",H1096)</f>
        <v>JUVENIL</v>
      </c>
      <c r="H1096" s="3" t="str">
        <f>IF(AND(Tabela1[[#This Row],[Data nascimento]]&gt;=$L$2,Tabela1[[#This Row],[Data nascimento]]&lt;=$K$2),"INFANTIL B",I1096)</f>
        <v>JUVENIL</v>
      </c>
      <c r="I1096" s="9" t="str">
        <f>IF(AND(Tabela1[[#This Row],[Data nascimento]]&gt;=$N$2,Tabela1[[#This Row],[Data nascimento]]&lt;=$M$2),"INICIADO",J1096)</f>
        <v>JUVENIL</v>
      </c>
      <c r="J1096" s="9" t="str">
        <f>IF(AND(Tabela1[[#This Row],[Data nascimento]]&gt;=$P$2,Tabela1[[#This Row],[Data nascimento]]&lt;=$O$2),"JUVENIL","JÚNIOR")</f>
        <v>JUVENIL</v>
      </c>
    </row>
    <row r="1097" spans="1:10" ht="15" x14ac:dyDescent="0.4">
      <c r="A1097" s="13" t="s">
        <v>1052</v>
      </c>
      <c r="B1097" s="2" t="s">
        <v>1053</v>
      </c>
      <c r="C1097" s="4" t="s">
        <v>8</v>
      </c>
      <c r="D1097" s="11">
        <v>39791</v>
      </c>
      <c r="E1097" s="7" t="s">
        <v>1054</v>
      </c>
      <c r="F1097" s="4" t="s">
        <v>4773</v>
      </c>
      <c r="G1097" s="12" t="str">
        <f>IF(AND(Tabela1[[#This Row],[Data nascimento]]&gt;=$J$2,Tabela1[[#This Row],[Data nascimento]]&lt;=$I$2),"INFANTIL A",H1097)</f>
        <v>JUVENIL</v>
      </c>
      <c r="H1097" s="3" t="str">
        <f>IF(AND(Tabela1[[#This Row],[Data nascimento]]&gt;=$L$2,Tabela1[[#This Row],[Data nascimento]]&lt;=$K$2),"INFANTIL B",I1097)</f>
        <v>JUVENIL</v>
      </c>
      <c r="I1097" s="9" t="str">
        <f>IF(AND(Tabela1[[#This Row],[Data nascimento]]&gt;=$N$2,Tabela1[[#This Row],[Data nascimento]]&lt;=$M$2),"INICIADO",J1097)</f>
        <v>JUVENIL</v>
      </c>
      <c r="J1097" s="9" t="str">
        <f>IF(AND(Tabela1[[#This Row],[Data nascimento]]&gt;=$P$2,Tabela1[[#This Row],[Data nascimento]]&lt;=$O$2),"JUVENIL","JÚNIOR")</f>
        <v>JUVENIL</v>
      </c>
    </row>
    <row r="1098" spans="1:10" ht="15" x14ac:dyDescent="0.4">
      <c r="A1098" s="13" t="s">
        <v>1055</v>
      </c>
      <c r="B1098" s="2" t="s">
        <v>1056</v>
      </c>
      <c r="C1098" s="4" t="s">
        <v>8</v>
      </c>
      <c r="D1098" s="11">
        <v>39297</v>
      </c>
      <c r="E1098" s="7" t="s">
        <v>1057</v>
      </c>
      <c r="F1098" s="4" t="s">
        <v>4773</v>
      </c>
      <c r="G1098" s="12" t="str">
        <f>IF(AND(Tabela1[[#This Row],[Data nascimento]]&gt;=$J$2,Tabela1[[#This Row],[Data nascimento]]&lt;=$I$2),"INFANTIL A",H1098)</f>
        <v>JÚNIOR</v>
      </c>
      <c r="H1098" s="3" t="str">
        <f>IF(AND(Tabela1[[#This Row],[Data nascimento]]&gt;=$L$2,Tabela1[[#This Row],[Data nascimento]]&lt;=$K$2),"INFANTIL B",I1098)</f>
        <v>JÚNIOR</v>
      </c>
      <c r="I1098" s="9" t="str">
        <f>IF(AND(Tabela1[[#This Row],[Data nascimento]]&gt;=$N$2,Tabela1[[#This Row],[Data nascimento]]&lt;=$M$2),"INICIADO",J1098)</f>
        <v>JÚNIOR</v>
      </c>
      <c r="J1098" s="9" t="str">
        <f>IF(AND(Tabela1[[#This Row],[Data nascimento]]&gt;=$P$2,Tabela1[[#This Row],[Data nascimento]]&lt;=$O$2),"JUVENIL","JÚNIOR")</f>
        <v>JÚNIOR</v>
      </c>
    </row>
    <row r="1099" spans="1:10" ht="15" x14ac:dyDescent="0.4">
      <c r="A1099" s="13" t="s">
        <v>1058</v>
      </c>
      <c r="B1099" s="2" t="s">
        <v>1059</v>
      </c>
      <c r="C1099" s="4" t="s">
        <v>8</v>
      </c>
      <c r="D1099" s="11">
        <v>39016</v>
      </c>
      <c r="E1099" s="7" t="s">
        <v>1060</v>
      </c>
      <c r="F1099" s="4" t="s">
        <v>4773</v>
      </c>
      <c r="G1099" s="12" t="str">
        <f>IF(AND(Tabela1[[#This Row],[Data nascimento]]&gt;=$J$2,Tabela1[[#This Row],[Data nascimento]]&lt;=$I$2),"INFANTIL A",H1099)</f>
        <v>JÚNIOR</v>
      </c>
      <c r="H1099" s="3" t="str">
        <f>IF(AND(Tabela1[[#This Row],[Data nascimento]]&gt;=$L$2,Tabela1[[#This Row],[Data nascimento]]&lt;=$K$2),"INFANTIL B",I1099)</f>
        <v>JÚNIOR</v>
      </c>
      <c r="I1099" s="9" t="str">
        <f>IF(AND(Tabela1[[#This Row],[Data nascimento]]&gt;=$N$2,Tabela1[[#This Row],[Data nascimento]]&lt;=$M$2),"INICIADO",J1099)</f>
        <v>JÚNIOR</v>
      </c>
      <c r="J1099" s="9" t="str">
        <f>IF(AND(Tabela1[[#This Row],[Data nascimento]]&gt;=$P$2,Tabela1[[#This Row],[Data nascimento]]&lt;=$O$2),"JUVENIL","JÚNIOR")</f>
        <v>JÚNIOR</v>
      </c>
    </row>
    <row r="1100" spans="1:10" ht="15" x14ac:dyDescent="0.4">
      <c r="A1100" s="13" t="s">
        <v>1061</v>
      </c>
      <c r="B1100" s="2" t="s">
        <v>1062</v>
      </c>
      <c r="C1100" s="4" t="s">
        <v>8</v>
      </c>
      <c r="D1100" s="11">
        <v>39679</v>
      </c>
      <c r="E1100" s="7" t="s">
        <v>1063</v>
      </c>
      <c r="F1100" s="4" t="s">
        <v>4774</v>
      </c>
      <c r="G1100" s="12" t="str">
        <f>IF(AND(Tabela1[[#This Row],[Data nascimento]]&gt;=$J$2,Tabela1[[#This Row],[Data nascimento]]&lt;=$I$2),"INFANTIL A",H1100)</f>
        <v>JUVENIL</v>
      </c>
      <c r="H1100" s="3" t="str">
        <f>IF(AND(Tabela1[[#This Row],[Data nascimento]]&gt;=$L$2,Tabela1[[#This Row],[Data nascimento]]&lt;=$K$2),"INFANTIL B",I1100)</f>
        <v>JUVENIL</v>
      </c>
      <c r="I1100" s="9" t="str">
        <f>IF(AND(Tabela1[[#This Row],[Data nascimento]]&gt;=$N$2,Tabela1[[#This Row],[Data nascimento]]&lt;=$M$2),"INICIADO",J1100)</f>
        <v>JUVENIL</v>
      </c>
      <c r="J1100" s="9" t="str">
        <f>IF(AND(Tabela1[[#This Row],[Data nascimento]]&gt;=$P$2,Tabela1[[#This Row],[Data nascimento]]&lt;=$O$2),"JUVENIL","JÚNIOR")</f>
        <v>JUVENIL</v>
      </c>
    </row>
    <row r="1101" spans="1:10" ht="15" x14ac:dyDescent="0.4">
      <c r="A1101" s="13" t="s">
        <v>1064</v>
      </c>
      <c r="B1101" s="2" t="s">
        <v>1065</v>
      </c>
      <c r="C1101" s="4" t="s">
        <v>8</v>
      </c>
      <c r="D1101" s="11">
        <v>38820</v>
      </c>
      <c r="E1101" s="7" t="s">
        <v>1066</v>
      </c>
      <c r="F1101" s="4" t="s">
        <v>4774</v>
      </c>
      <c r="G1101" s="12" t="str">
        <f>IF(AND(Tabela1[[#This Row],[Data nascimento]]&gt;=$J$2,Tabela1[[#This Row],[Data nascimento]]&lt;=$I$2),"INFANTIL A",H1101)</f>
        <v>JÚNIOR</v>
      </c>
      <c r="H1101" s="3" t="str">
        <f>IF(AND(Tabela1[[#This Row],[Data nascimento]]&gt;=$L$2,Tabela1[[#This Row],[Data nascimento]]&lt;=$K$2),"INFANTIL B",I1101)</f>
        <v>JÚNIOR</v>
      </c>
      <c r="I1101" s="9" t="str">
        <f>IF(AND(Tabela1[[#This Row],[Data nascimento]]&gt;=$N$2,Tabela1[[#This Row],[Data nascimento]]&lt;=$M$2),"INICIADO",J1101)</f>
        <v>JÚNIOR</v>
      </c>
      <c r="J1101" s="9" t="str">
        <f>IF(AND(Tabela1[[#This Row],[Data nascimento]]&gt;=$P$2,Tabela1[[#This Row],[Data nascimento]]&lt;=$O$2),"JUVENIL","JÚNIOR")</f>
        <v>JÚNIOR</v>
      </c>
    </row>
    <row r="1102" spans="1:10" ht="15" x14ac:dyDescent="0.4">
      <c r="A1102" s="13" t="s">
        <v>1067</v>
      </c>
      <c r="B1102" s="2" t="s">
        <v>1068</v>
      </c>
      <c r="C1102" s="4" t="s">
        <v>8</v>
      </c>
      <c r="D1102" s="11">
        <v>39332</v>
      </c>
      <c r="E1102" s="7" t="s">
        <v>1069</v>
      </c>
      <c r="F1102" s="4" t="s">
        <v>4774</v>
      </c>
      <c r="G1102" s="12" t="str">
        <f>IF(AND(Tabela1[[#This Row],[Data nascimento]]&gt;=$J$2,Tabela1[[#This Row],[Data nascimento]]&lt;=$I$2),"INFANTIL A",H1102)</f>
        <v>JÚNIOR</v>
      </c>
      <c r="H1102" s="3" t="str">
        <f>IF(AND(Tabela1[[#This Row],[Data nascimento]]&gt;=$L$2,Tabela1[[#This Row],[Data nascimento]]&lt;=$K$2),"INFANTIL B",I1102)</f>
        <v>JÚNIOR</v>
      </c>
      <c r="I1102" s="9" t="str">
        <f>IF(AND(Tabela1[[#This Row],[Data nascimento]]&gt;=$N$2,Tabela1[[#This Row],[Data nascimento]]&lt;=$M$2),"INICIADO",J1102)</f>
        <v>JÚNIOR</v>
      </c>
      <c r="J1102" s="9" t="str">
        <f>IF(AND(Tabela1[[#This Row],[Data nascimento]]&gt;=$P$2,Tabela1[[#This Row],[Data nascimento]]&lt;=$O$2),"JUVENIL","JÚNIOR")</f>
        <v>JÚNIOR</v>
      </c>
    </row>
    <row r="1103" spans="1:10" ht="15" x14ac:dyDescent="0.4">
      <c r="A1103" s="13" t="s">
        <v>1070</v>
      </c>
      <c r="B1103" s="2" t="s">
        <v>1071</v>
      </c>
      <c r="C1103" s="4" t="s">
        <v>8</v>
      </c>
      <c r="D1103" s="11">
        <v>39527</v>
      </c>
      <c r="E1103" s="7" t="s">
        <v>1072</v>
      </c>
      <c r="F1103" s="4" t="s">
        <v>4774</v>
      </c>
      <c r="G1103" s="12" t="str">
        <f>IF(AND(Tabela1[[#This Row],[Data nascimento]]&gt;=$J$2,Tabela1[[#This Row],[Data nascimento]]&lt;=$I$2),"INFANTIL A",H1103)</f>
        <v>JUVENIL</v>
      </c>
      <c r="H1103" s="3" t="str">
        <f>IF(AND(Tabela1[[#This Row],[Data nascimento]]&gt;=$L$2,Tabela1[[#This Row],[Data nascimento]]&lt;=$K$2),"INFANTIL B",I1103)</f>
        <v>JUVENIL</v>
      </c>
      <c r="I1103" s="9" t="str">
        <f>IF(AND(Tabela1[[#This Row],[Data nascimento]]&gt;=$N$2,Tabela1[[#This Row],[Data nascimento]]&lt;=$M$2),"INICIADO",J1103)</f>
        <v>JUVENIL</v>
      </c>
      <c r="J1103" s="9" t="str">
        <f>IF(AND(Tabela1[[#This Row],[Data nascimento]]&gt;=$P$2,Tabela1[[#This Row],[Data nascimento]]&lt;=$O$2),"JUVENIL","JÚNIOR")</f>
        <v>JUVENIL</v>
      </c>
    </row>
    <row r="1104" spans="1:10" ht="15" x14ac:dyDescent="0.4">
      <c r="A1104" s="13" t="s">
        <v>1073</v>
      </c>
      <c r="B1104" s="2" t="s">
        <v>1074</v>
      </c>
      <c r="C1104" s="4" t="s">
        <v>8</v>
      </c>
      <c r="D1104" s="11">
        <v>39568</v>
      </c>
      <c r="E1104" s="7" t="s">
        <v>1075</v>
      </c>
      <c r="F1104" s="4" t="s">
        <v>4774</v>
      </c>
      <c r="G1104" s="12" t="str">
        <f>IF(AND(Tabela1[[#This Row],[Data nascimento]]&gt;=$J$2,Tabela1[[#This Row],[Data nascimento]]&lt;=$I$2),"INFANTIL A",H1104)</f>
        <v>JUVENIL</v>
      </c>
      <c r="H1104" s="3" t="str">
        <f>IF(AND(Tabela1[[#This Row],[Data nascimento]]&gt;=$L$2,Tabela1[[#This Row],[Data nascimento]]&lt;=$K$2),"INFANTIL B",I1104)</f>
        <v>JUVENIL</v>
      </c>
      <c r="I1104" s="9" t="str">
        <f>IF(AND(Tabela1[[#This Row],[Data nascimento]]&gt;=$N$2,Tabela1[[#This Row],[Data nascimento]]&lt;=$M$2),"INICIADO",J1104)</f>
        <v>JUVENIL</v>
      </c>
      <c r="J1104" s="9" t="str">
        <f>IF(AND(Tabela1[[#This Row],[Data nascimento]]&gt;=$P$2,Tabela1[[#This Row],[Data nascimento]]&lt;=$O$2),"JUVENIL","JÚNIOR")</f>
        <v>JUVENIL</v>
      </c>
    </row>
    <row r="1105" spans="1:10" ht="15" x14ac:dyDescent="0.4">
      <c r="A1105" s="13" t="s">
        <v>1076</v>
      </c>
      <c r="B1105" s="2" t="s">
        <v>1077</v>
      </c>
      <c r="C1105" s="4" t="s">
        <v>8</v>
      </c>
      <c r="D1105" s="11">
        <v>39545</v>
      </c>
      <c r="E1105" s="7" t="s">
        <v>1078</v>
      </c>
      <c r="F1105" s="4" t="s">
        <v>4774</v>
      </c>
      <c r="G1105" s="12" t="str">
        <f>IF(AND(Tabela1[[#This Row],[Data nascimento]]&gt;=$J$2,Tabela1[[#This Row],[Data nascimento]]&lt;=$I$2),"INFANTIL A",H1105)</f>
        <v>JUVENIL</v>
      </c>
      <c r="H1105" s="3" t="str">
        <f>IF(AND(Tabela1[[#This Row],[Data nascimento]]&gt;=$L$2,Tabela1[[#This Row],[Data nascimento]]&lt;=$K$2),"INFANTIL B",I1105)</f>
        <v>JUVENIL</v>
      </c>
      <c r="I1105" s="9" t="str">
        <f>IF(AND(Tabela1[[#This Row],[Data nascimento]]&gt;=$N$2,Tabela1[[#This Row],[Data nascimento]]&lt;=$M$2),"INICIADO",J1105)</f>
        <v>JUVENIL</v>
      </c>
      <c r="J1105" s="9" t="str">
        <f>IF(AND(Tabela1[[#This Row],[Data nascimento]]&gt;=$P$2,Tabela1[[#This Row],[Data nascimento]]&lt;=$O$2),"JUVENIL","JÚNIOR")</f>
        <v>JUVENIL</v>
      </c>
    </row>
    <row r="1106" spans="1:10" ht="15" x14ac:dyDescent="0.4">
      <c r="A1106" s="13" t="s">
        <v>1079</v>
      </c>
      <c r="B1106" s="2" t="s">
        <v>1080</v>
      </c>
      <c r="C1106" s="4" t="s">
        <v>8</v>
      </c>
      <c r="D1106" s="11">
        <v>39652</v>
      </c>
      <c r="E1106" s="7" t="s">
        <v>1081</v>
      </c>
      <c r="F1106" s="4" t="s">
        <v>4774</v>
      </c>
      <c r="G1106" s="12" t="str">
        <f>IF(AND(Tabela1[[#This Row],[Data nascimento]]&gt;=$J$2,Tabela1[[#This Row],[Data nascimento]]&lt;=$I$2),"INFANTIL A",H1106)</f>
        <v>JUVENIL</v>
      </c>
      <c r="H1106" s="3" t="str">
        <f>IF(AND(Tabela1[[#This Row],[Data nascimento]]&gt;=$L$2,Tabela1[[#This Row],[Data nascimento]]&lt;=$K$2),"INFANTIL B",I1106)</f>
        <v>JUVENIL</v>
      </c>
      <c r="I1106" s="9" t="str">
        <f>IF(AND(Tabela1[[#This Row],[Data nascimento]]&gt;=$N$2,Tabela1[[#This Row],[Data nascimento]]&lt;=$M$2),"INICIADO",J1106)</f>
        <v>JUVENIL</v>
      </c>
      <c r="J1106" s="9" t="str">
        <f>IF(AND(Tabela1[[#This Row],[Data nascimento]]&gt;=$P$2,Tabela1[[#This Row],[Data nascimento]]&lt;=$O$2),"JUVENIL","JÚNIOR")</f>
        <v>JUVENIL</v>
      </c>
    </row>
    <row r="1107" spans="1:10" ht="15" x14ac:dyDescent="0.4">
      <c r="A1107" s="13" t="s">
        <v>1082</v>
      </c>
      <c r="B1107" s="2" t="s">
        <v>1083</v>
      </c>
      <c r="C1107" s="4" t="s">
        <v>8</v>
      </c>
      <c r="D1107" s="11">
        <v>39780</v>
      </c>
      <c r="E1107" s="7" t="s">
        <v>1084</v>
      </c>
      <c r="F1107" s="4" t="s">
        <v>4774</v>
      </c>
      <c r="G1107" s="12" t="str">
        <f>IF(AND(Tabela1[[#This Row],[Data nascimento]]&gt;=$J$2,Tabela1[[#This Row],[Data nascimento]]&lt;=$I$2),"INFANTIL A",H1107)</f>
        <v>JUVENIL</v>
      </c>
      <c r="H1107" s="3" t="str">
        <f>IF(AND(Tabela1[[#This Row],[Data nascimento]]&gt;=$L$2,Tabela1[[#This Row],[Data nascimento]]&lt;=$K$2),"INFANTIL B",I1107)</f>
        <v>JUVENIL</v>
      </c>
      <c r="I1107" s="9" t="str">
        <f>IF(AND(Tabela1[[#This Row],[Data nascimento]]&gt;=$N$2,Tabela1[[#This Row],[Data nascimento]]&lt;=$M$2),"INICIADO",J1107)</f>
        <v>JUVENIL</v>
      </c>
      <c r="J1107" s="9" t="str">
        <f>IF(AND(Tabela1[[#This Row],[Data nascimento]]&gt;=$P$2,Tabela1[[#This Row],[Data nascimento]]&lt;=$O$2),"JUVENIL","JÚNIOR")</f>
        <v>JUVENIL</v>
      </c>
    </row>
    <row r="1108" spans="1:10" ht="15" x14ac:dyDescent="0.4">
      <c r="A1108" s="13" t="s">
        <v>1085</v>
      </c>
      <c r="B1108" s="2" t="s">
        <v>1086</v>
      </c>
      <c r="C1108" s="4" t="s">
        <v>8</v>
      </c>
      <c r="D1108" s="11">
        <v>38977</v>
      </c>
      <c r="E1108" s="7" t="s">
        <v>1087</v>
      </c>
      <c r="F1108" s="4" t="s">
        <v>4774</v>
      </c>
      <c r="G1108" s="12" t="str">
        <f>IF(AND(Tabela1[[#This Row],[Data nascimento]]&gt;=$J$2,Tabela1[[#This Row],[Data nascimento]]&lt;=$I$2),"INFANTIL A",H1108)</f>
        <v>JÚNIOR</v>
      </c>
      <c r="H1108" s="3" t="str">
        <f>IF(AND(Tabela1[[#This Row],[Data nascimento]]&gt;=$L$2,Tabela1[[#This Row],[Data nascimento]]&lt;=$K$2),"INFANTIL B",I1108)</f>
        <v>JÚNIOR</v>
      </c>
      <c r="I1108" s="9" t="str">
        <f>IF(AND(Tabela1[[#This Row],[Data nascimento]]&gt;=$N$2,Tabela1[[#This Row],[Data nascimento]]&lt;=$M$2),"INICIADO",J1108)</f>
        <v>JÚNIOR</v>
      </c>
      <c r="J1108" s="9" t="str">
        <f>IF(AND(Tabela1[[#This Row],[Data nascimento]]&gt;=$P$2,Tabela1[[#This Row],[Data nascimento]]&lt;=$O$2),"JUVENIL","JÚNIOR")</f>
        <v>JÚNIOR</v>
      </c>
    </row>
    <row r="1109" spans="1:10" ht="15" x14ac:dyDescent="0.4">
      <c r="A1109" s="13" t="s">
        <v>1088</v>
      </c>
      <c r="B1109" s="2" t="s">
        <v>1089</v>
      </c>
      <c r="C1109" s="4" t="s">
        <v>8</v>
      </c>
      <c r="D1109" s="11">
        <v>39478</v>
      </c>
      <c r="E1109" s="7" t="s">
        <v>1090</v>
      </c>
      <c r="F1109" s="4" t="s">
        <v>4774</v>
      </c>
      <c r="G1109" s="12" t="str">
        <f>IF(AND(Tabela1[[#This Row],[Data nascimento]]&gt;=$J$2,Tabela1[[#This Row],[Data nascimento]]&lt;=$I$2),"INFANTIL A",H1109)</f>
        <v>JUVENIL</v>
      </c>
      <c r="H1109" s="3" t="str">
        <f>IF(AND(Tabela1[[#This Row],[Data nascimento]]&gt;=$L$2,Tabela1[[#This Row],[Data nascimento]]&lt;=$K$2),"INFANTIL B",I1109)</f>
        <v>JUVENIL</v>
      </c>
      <c r="I1109" s="9" t="str">
        <f>IF(AND(Tabela1[[#This Row],[Data nascimento]]&gt;=$N$2,Tabela1[[#This Row],[Data nascimento]]&lt;=$M$2),"INICIADO",J1109)</f>
        <v>JUVENIL</v>
      </c>
      <c r="J1109" s="9" t="str">
        <f>IF(AND(Tabela1[[#This Row],[Data nascimento]]&gt;=$P$2,Tabela1[[#This Row],[Data nascimento]]&lt;=$O$2),"JUVENIL","JÚNIOR")</f>
        <v>JUVENIL</v>
      </c>
    </row>
    <row r="1110" spans="1:10" ht="15" x14ac:dyDescent="0.4">
      <c r="A1110" s="13" t="s">
        <v>1091</v>
      </c>
      <c r="B1110" s="2" t="s">
        <v>1092</v>
      </c>
      <c r="C1110" s="4" t="s">
        <v>8</v>
      </c>
      <c r="D1110" s="11">
        <v>39423</v>
      </c>
      <c r="E1110" s="7" t="s">
        <v>1093</v>
      </c>
      <c r="F1110" s="4" t="s">
        <v>4774</v>
      </c>
      <c r="G1110" s="12" t="str">
        <f>IF(AND(Tabela1[[#This Row],[Data nascimento]]&gt;=$J$2,Tabela1[[#This Row],[Data nascimento]]&lt;=$I$2),"INFANTIL A",H1110)</f>
        <v>JÚNIOR</v>
      </c>
      <c r="H1110" s="3" t="str">
        <f>IF(AND(Tabela1[[#This Row],[Data nascimento]]&gt;=$L$2,Tabela1[[#This Row],[Data nascimento]]&lt;=$K$2),"INFANTIL B",I1110)</f>
        <v>JÚNIOR</v>
      </c>
      <c r="I1110" s="9" t="str">
        <f>IF(AND(Tabela1[[#This Row],[Data nascimento]]&gt;=$N$2,Tabela1[[#This Row],[Data nascimento]]&lt;=$M$2),"INICIADO",J1110)</f>
        <v>JÚNIOR</v>
      </c>
      <c r="J1110" s="9" t="str">
        <f>IF(AND(Tabela1[[#This Row],[Data nascimento]]&gt;=$P$2,Tabela1[[#This Row],[Data nascimento]]&lt;=$O$2),"JUVENIL","JÚNIOR")</f>
        <v>JÚNIOR</v>
      </c>
    </row>
    <row r="1111" spans="1:10" ht="15" x14ac:dyDescent="0.4">
      <c r="A1111" s="13" t="s">
        <v>1094</v>
      </c>
      <c r="B1111" s="2" t="s">
        <v>1095</v>
      </c>
      <c r="C1111" s="4" t="s">
        <v>8</v>
      </c>
      <c r="D1111" s="11">
        <v>39569</v>
      </c>
      <c r="E1111" s="7" t="s">
        <v>1096</v>
      </c>
      <c r="F1111" s="4" t="s">
        <v>4774</v>
      </c>
      <c r="G1111" s="12" t="str">
        <f>IF(AND(Tabela1[[#This Row],[Data nascimento]]&gt;=$J$2,Tabela1[[#This Row],[Data nascimento]]&lt;=$I$2),"INFANTIL A",H1111)</f>
        <v>JUVENIL</v>
      </c>
      <c r="H1111" s="3" t="str">
        <f>IF(AND(Tabela1[[#This Row],[Data nascimento]]&gt;=$L$2,Tabela1[[#This Row],[Data nascimento]]&lt;=$K$2),"INFANTIL B",I1111)</f>
        <v>JUVENIL</v>
      </c>
      <c r="I1111" s="9" t="str">
        <f>IF(AND(Tabela1[[#This Row],[Data nascimento]]&gt;=$N$2,Tabela1[[#This Row],[Data nascimento]]&lt;=$M$2),"INICIADO",J1111)</f>
        <v>JUVENIL</v>
      </c>
      <c r="J1111" s="9" t="str">
        <f>IF(AND(Tabela1[[#This Row],[Data nascimento]]&gt;=$P$2,Tabela1[[#This Row],[Data nascimento]]&lt;=$O$2),"JUVENIL","JÚNIOR")</f>
        <v>JUVENIL</v>
      </c>
    </row>
    <row r="1112" spans="1:10" ht="15" x14ac:dyDescent="0.4">
      <c r="A1112" s="13" t="s">
        <v>1097</v>
      </c>
      <c r="B1112" s="2" t="s">
        <v>1098</v>
      </c>
      <c r="C1112" s="4" t="s">
        <v>8</v>
      </c>
      <c r="D1112" s="11">
        <v>39317</v>
      </c>
      <c r="E1112" s="7" t="s">
        <v>1099</v>
      </c>
      <c r="F1112" s="4" t="s">
        <v>4774</v>
      </c>
      <c r="G1112" s="12" t="str">
        <f>IF(AND(Tabela1[[#This Row],[Data nascimento]]&gt;=$J$2,Tabela1[[#This Row],[Data nascimento]]&lt;=$I$2),"INFANTIL A",H1112)</f>
        <v>JÚNIOR</v>
      </c>
      <c r="H1112" s="3" t="str">
        <f>IF(AND(Tabela1[[#This Row],[Data nascimento]]&gt;=$L$2,Tabela1[[#This Row],[Data nascimento]]&lt;=$K$2),"INFANTIL B",I1112)</f>
        <v>JÚNIOR</v>
      </c>
      <c r="I1112" s="9" t="str">
        <f>IF(AND(Tabela1[[#This Row],[Data nascimento]]&gt;=$N$2,Tabela1[[#This Row],[Data nascimento]]&lt;=$M$2),"INICIADO",J1112)</f>
        <v>JÚNIOR</v>
      </c>
      <c r="J1112" s="9" t="str">
        <f>IF(AND(Tabela1[[#This Row],[Data nascimento]]&gt;=$P$2,Tabela1[[#This Row],[Data nascimento]]&lt;=$O$2),"JUVENIL","JÚNIOR")</f>
        <v>JÚNIOR</v>
      </c>
    </row>
    <row r="1113" spans="1:10" ht="15" x14ac:dyDescent="0.4">
      <c r="A1113" s="13" t="s">
        <v>1100</v>
      </c>
      <c r="B1113" s="2" t="s">
        <v>1101</v>
      </c>
      <c r="C1113" s="4" t="s">
        <v>8</v>
      </c>
      <c r="D1113" s="11">
        <v>39205</v>
      </c>
      <c r="E1113" s="7" t="s">
        <v>1102</v>
      </c>
      <c r="F1113" s="4" t="s">
        <v>4774</v>
      </c>
      <c r="G1113" s="12" t="str">
        <f>IF(AND(Tabela1[[#This Row],[Data nascimento]]&gt;=$J$2,Tabela1[[#This Row],[Data nascimento]]&lt;=$I$2),"INFANTIL A",H1113)</f>
        <v>JÚNIOR</v>
      </c>
      <c r="H1113" s="3" t="str">
        <f>IF(AND(Tabela1[[#This Row],[Data nascimento]]&gt;=$L$2,Tabela1[[#This Row],[Data nascimento]]&lt;=$K$2),"INFANTIL B",I1113)</f>
        <v>JÚNIOR</v>
      </c>
      <c r="I1113" s="9" t="str">
        <f>IF(AND(Tabela1[[#This Row],[Data nascimento]]&gt;=$N$2,Tabela1[[#This Row],[Data nascimento]]&lt;=$M$2),"INICIADO",J1113)</f>
        <v>JÚNIOR</v>
      </c>
      <c r="J1113" s="9" t="str">
        <f>IF(AND(Tabela1[[#This Row],[Data nascimento]]&gt;=$P$2,Tabela1[[#This Row],[Data nascimento]]&lt;=$O$2),"JUVENIL","JÚNIOR")</f>
        <v>JÚNIOR</v>
      </c>
    </row>
    <row r="1114" spans="1:10" ht="15" x14ac:dyDescent="0.4">
      <c r="A1114" s="13" t="s">
        <v>1103</v>
      </c>
      <c r="B1114" s="2" t="s">
        <v>1104</v>
      </c>
      <c r="C1114" s="4" t="s">
        <v>8</v>
      </c>
      <c r="D1114" s="11">
        <v>39419</v>
      </c>
      <c r="E1114" s="7" t="s">
        <v>1105</v>
      </c>
      <c r="F1114" s="4" t="s">
        <v>4774</v>
      </c>
      <c r="G1114" s="12" t="str">
        <f>IF(AND(Tabela1[[#This Row],[Data nascimento]]&gt;=$J$2,Tabela1[[#This Row],[Data nascimento]]&lt;=$I$2),"INFANTIL A",H1114)</f>
        <v>JÚNIOR</v>
      </c>
      <c r="H1114" s="3" t="str">
        <f>IF(AND(Tabela1[[#This Row],[Data nascimento]]&gt;=$L$2,Tabela1[[#This Row],[Data nascimento]]&lt;=$K$2),"INFANTIL B",I1114)</f>
        <v>JÚNIOR</v>
      </c>
      <c r="I1114" s="9" t="str">
        <f>IF(AND(Tabela1[[#This Row],[Data nascimento]]&gt;=$N$2,Tabela1[[#This Row],[Data nascimento]]&lt;=$M$2),"INICIADO",J1114)</f>
        <v>JÚNIOR</v>
      </c>
      <c r="J1114" s="9" t="str">
        <f>IF(AND(Tabela1[[#This Row],[Data nascimento]]&gt;=$P$2,Tabela1[[#This Row],[Data nascimento]]&lt;=$O$2),"JUVENIL","JÚNIOR")</f>
        <v>JÚNIOR</v>
      </c>
    </row>
    <row r="1115" spans="1:10" ht="15" x14ac:dyDescent="0.4">
      <c r="A1115" s="13" t="s">
        <v>1106</v>
      </c>
      <c r="B1115" s="2" t="s">
        <v>1107</v>
      </c>
      <c r="C1115" s="4" t="s">
        <v>8</v>
      </c>
      <c r="D1115" s="11">
        <v>39291</v>
      </c>
      <c r="E1115" s="7" t="s">
        <v>1108</v>
      </c>
      <c r="F1115" s="4" t="s">
        <v>4774</v>
      </c>
      <c r="G1115" s="12" t="str">
        <f>IF(AND(Tabela1[[#This Row],[Data nascimento]]&gt;=$J$2,Tabela1[[#This Row],[Data nascimento]]&lt;=$I$2),"INFANTIL A",H1115)</f>
        <v>JÚNIOR</v>
      </c>
      <c r="H1115" s="3" t="str">
        <f>IF(AND(Tabela1[[#This Row],[Data nascimento]]&gt;=$L$2,Tabela1[[#This Row],[Data nascimento]]&lt;=$K$2),"INFANTIL B",I1115)</f>
        <v>JÚNIOR</v>
      </c>
      <c r="I1115" s="9" t="str">
        <f>IF(AND(Tabela1[[#This Row],[Data nascimento]]&gt;=$N$2,Tabela1[[#This Row],[Data nascimento]]&lt;=$M$2),"INICIADO",J1115)</f>
        <v>JÚNIOR</v>
      </c>
      <c r="J1115" s="9" t="str">
        <f>IF(AND(Tabela1[[#This Row],[Data nascimento]]&gt;=$P$2,Tabela1[[#This Row],[Data nascimento]]&lt;=$O$2),"JUVENIL","JÚNIOR")</f>
        <v>JÚNIOR</v>
      </c>
    </row>
    <row r="1116" spans="1:10" ht="15" x14ac:dyDescent="0.4">
      <c r="A1116" s="13" t="s">
        <v>1109</v>
      </c>
      <c r="B1116" s="2" t="s">
        <v>1110</v>
      </c>
      <c r="C1116" s="4" t="s">
        <v>8</v>
      </c>
      <c r="D1116" s="11">
        <v>39771</v>
      </c>
      <c r="E1116" s="7" t="s">
        <v>1111</v>
      </c>
      <c r="F1116" s="4" t="s">
        <v>4774</v>
      </c>
      <c r="G1116" s="12" t="str">
        <f>IF(AND(Tabela1[[#This Row],[Data nascimento]]&gt;=$J$2,Tabela1[[#This Row],[Data nascimento]]&lt;=$I$2),"INFANTIL A",H1116)</f>
        <v>JUVENIL</v>
      </c>
      <c r="H1116" s="3" t="str">
        <f>IF(AND(Tabela1[[#This Row],[Data nascimento]]&gt;=$L$2,Tabela1[[#This Row],[Data nascimento]]&lt;=$K$2),"INFANTIL B",I1116)</f>
        <v>JUVENIL</v>
      </c>
      <c r="I1116" s="9" t="str">
        <f>IF(AND(Tabela1[[#This Row],[Data nascimento]]&gt;=$N$2,Tabela1[[#This Row],[Data nascimento]]&lt;=$M$2),"INICIADO",J1116)</f>
        <v>JUVENIL</v>
      </c>
      <c r="J1116" s="9" t="str">
        <f>IF(AND(Tabela1[[#This Row],[Data nascimento]]&gt;=$P$2,Tabela1[[#This Row],[Data nascimento]]&lt;=$O$2),"JUVENIL","JÚNIOR")</f>
        <v>JUVENIL</v>
      </c>
    </row>
    <row r="1117" spans="1:10" ht="15" x14ac:dyDescent="0.4">
      <c r="A1117" s="13" t="s">
        <v>1112</v>
      </c>
      <c r="B1117" s="2" t="s">
        <v>1113</v>
      </c>
      <c r="C1117" s="4" t="s">
        <v>8</v>
      </c>
      <c r="D1117" s="11">
        <v>39731</v>
      </c>
      <c r="E1117" s="7" t="s">
        <v>1114</v>
      </c>
      <c r="F1117" s="4" t="s">
        <v>4766</v>
      </c>
      <c r="G1117" s="12" t="str">
        <f>IF(AND(Tabela1[[#This Row],[Data nascimento]]&gt;=$J$2,Tabela1[[#This Row],[Data nascimento]]&lt;=$I$2),"INFANTIL A",H1117)</f>
        <v>JUVENIL</v>
      </c>
      <c r="H1117" s="3" t="str">
        <f>IF(AND(Tabela1[[#This Row],[Data nascimento]]&gt;=$L$2,Tabela1[[#This Row],[Data nascimento]]&lt;=$K$2),"INFANTIL B",I1117)</f>
        <v>JUVENIL</v>
      </c>
      <c r="I1117" s="9" t="str">
        <f>IF(AND(Tabela1[[#This Row],[Data nascimento]]&gt;=$N$2,Tabela1[[#This Row],[Data nascimento]]&lt;=$M$2),"INICIADO",J1117)</f>
        <v>JUVENIL</v>
      </c>
      <c r="J1117" s="9" t="str">
        <f>IF(AND(Tabela1[[#This Row],[Data nascimento]]&gt;=$P$2,Tabela1[[#This Row],[Data nascimento]]&lt;=$O$2),"JUVENIL","JÚNIOR")</f>
        <v>JUVENIL</v>
      </c>
    </row>
    <row r="1118" spans="1:10" ht="15" x14ac:dyDescent="0.4">
      <c r="A1118" s="13" t="s">
        <v>1643</v>
      </c>
      <c r="B1118" s="2" t="s">
        <v>1644</v>
      </c>
      <c r="C1118" s="4" t="s">
        <v>21</v>
      </c>
      <c r="D1118" s="11">
        <v>39642</v>
      </c>
      <c r="E1118" s="7" t="s">
        <v>1645</v>
      </c>
      <c r="F1118" s="4" t="s">
        <v>4765</v>
      </c>
      <c r="G1118" s="12" t="str">
        <f>IF(AND(Tabela1[[#This Row],[Data nascimento]]&gt;=$J$2,Tabela1[[#This Row],[Data nascimento]]&lt;=$I$2),"INFANTIL A",H1118)</f>
        <v>JUVENIL</v>
      </c>
      <c r="H1118" s="3" t="str">
        <f>IF(AND(Tabela1[[#This Row],[Data nascimento]]&gt;=$L$2,Tabela1[[#This Row],[Data nascimento]]&lt;=$K$2),"INFANTIL B",I1118)</f>
        <v>JUVENIL</v>
      </c>
      <c r="I1118" s="9" t="str">
        <f>IF(AND(Tabela1[[#This Row],[Data nascimento]]&gt;=$N$2,Tabela1[[#This Row],[Data nascimento]]&lt;=$M$2),"INICIADO",J1118)</f>
        <v>JUVENIL</v>
      </c>
      <c r="J1118" s="9" t="str">
        <f>IF(AND(Tabela1[[#This Row],[Data nascimento]]&gt;=$P$2,Tabela1[[#This Row],[Data nascimento]]&lt;=$O$2),"JUVENIL","JÚNIOR")</f>
        <v>JUVENIL</v>
      </c>
    </row>
    <row r="1119" spans="1:10" ht="15" x14ac:dyDescent="0.4">
      <c r="A1119" s="13" t="s">
        <v>3149</v>
      </c>
      <c r="B1119" s="2" t="s">
        <v>3150</v>
      </c>
      <c r="C1119" s="4" t="s">
        <v>8</v>
      </c>
      <c r="D1119" s="11">
        <v>42157</v>
      </c>
      <c r="E1119" s="7" t="s">
        <v>3151</v>
      </c>
      <c r="F1119" s="4" t="s">
        <v>4775</v>
      </c>
      <c r="G1119" s="12" t="str">
        <f>IF(AND(Tabela1[[#This Row],[Data nascimento]]&gt;=$J$2,Tabela1[[#This Row],[Data nascimento]]&lt;=$I$2),"INFANTIL A",H1119)</f>
        <v>INFANTIL A</v>
      </c>
      <c r="H1119" s="3" t="str">
        <f>IF(AND(Tabela1[[#This Row],[Data nascimento]]&gt;=$L$2,Tabela1[[#This Row],[Data nascimento]]&lt;=$K$2),"INFANTIL B",I1119)</f>
        <v>JÚNIOR</v>
      </c>
      <c r="I1119" s="9" t="str">
        <f>IF(AND(Tabela1[[#This Row],[Data nascimento]]&gt;=$N$2,Tabela1[[#This Row],[Data nascimento]]&lt;=$M$2),"INICIADO",J1119)</f>
        <v>JÚNIOR</v>
      </c>
      <c r="J1119" s="9" t="str">
        <f>IF(AND(Tabela1[[#This Row],[Data nascimento]]&gt;=$P$2,Tabela1[[#This Row],[Data nascimento]]&lt;=$O$2),"JUVENIL","JÚNIOR")</f>
        <v>JÚNIOR</v>
      </c>
    </row>
    <row r="1120" spans="1:10" ht="15" x14ac:dyDescent="0.4">
      <c r="A1120" s="13" t="s">
        <v>3152</v>
      </c>
      <c r="B1120" s="2" t="s">
        <v>3153</v>
      </c>
      <c r="C1120" s="4" t="s">
        <v>21</v>
      </c>
      <c r="D1120" s="11">
        <v>41907</v>
      </c>
      <c r="E1120" s="7" t="s">
        <v>3154</v>
      </c>
      <c r="F1120" s="4" t="s">
        <v>4776</v>
      </c>
      <c r="G1120" s="12" t="str">
        <f>IF(AND(Tabela1[[#This Row],[Data nascimento]]&gt;=$J$2,Tabela1[[#This Row],[Data nascimento]]&lt;=$I$2),"INFANTIL A",H1120)</f>
        <v>INFANTIL B</v>
      </c>
      <c r="H1120" s="3" t="str">
        <f>IF(AND(Tabela1[[#This Row],[Data nascimento]]&gt;=$L$2,Tabela1[[#This Row],[Data nascimento]]&lt;=$K$2),"INFANTIL B",I1120)</f>
        <v>INFANTIL B</v>
      </c>
      <c r="I1120" s="9" t="str">
        <f>IF(AND(Tabela1[[#This Row],[Data nascimento]]&gt;=$N$2,Tabela1[[#This Row],[Data nascimento]]&lt;=$M$2),"INICIADO",J1120)</f>
        <v>JÚNIOR</v>
      </c>
      <c r="J1120" s="9" t="str">
        <f>IF(AND(Tabela1[[#This Row],[Data nascimento]]&gt;=$P$2,Tabela1[[#This Row],[Data nascimento]]&lt;=$O$2),"JUVENIL","JÚNIOR")</f>
        <v>JÚNIOR</v>
      </c>
    </row>
    <row r="1121" spans="1:10" ht="15" x14ac:dyDescent="0.4">
      <c r="A1121" s="13" t="s">
        <v>3155</v>
      </c>
      <c r="B1121" s="2" t="s">
        <v>3156</v>
      </c>
      <c r="C1121" s="4" t="s">
        <v>21</v>
      </c>
      <c r="D1121" s="11">
        <v>42334</v>
      </c>
      <c r="E1121" s="7" t="s">
        <v>3157</v>
      </c>
      <c r="F1121" s="4" t="s">
        <v>4775</v>
      </c>
      <c r="G1121" s="12" t="str">
        <f>IF(AND(Tabela1[[#This Row],[Data nascimento]]&gt;=$J$2,Tabela1[[#This Row],[Data nascimento]]&lt;=$I$2),"INFANTIL A",H1121)</f>
        <v>INFANTIL A</v>
      </c>
      <c r="H1121" s="3" t="str">
        <f>IF(AND(Tabela1[[#This Row],[Data nascimento]]&gt;=$L$2,Tabela1[[#This Row],[Data nascimento]]&lt;=$K$2),"INFANTIL B",I1121)</f>
        <v>JÚNIOR</v>
      </c>
      <c r="I1121" s="9" t="str">
        <f>IF(AND(Tabela1[[#This Row],[Data nascimento]]&gt;=$N$2,Tabela1[[#This Row],[Data nascimento]]&lt;=$M$2),"INICIADO",J1121)</f>
        <v>JÚNIOR</v>
      </c>
      <c r="J1121" s="9" t="str">
        <f>IF(AND(Tabela1[[#This Row],[Data nascimento]]&gt;=$P$2,Tabela1[[#This Row],[Data nascimento]]&lt;=$O$2),"JUVENIL","JÚNIOR")</f>
        <v>JÚNIOR</v>
      </c>
    </row>
    <row r="1122" spans="1:10" ht="15" x14ac:dyDescent="0.4">
      <c r="A1122" s="13" t="s">
        <v>3158</v>
      </c>
      <c r="B1122" s="2" t="s">
        <v>3159</v>
      </c>
      <c r="C1122" s="4" t="s">
        <v>8</v>
      </c>
      <c r="D1122" s="11">
        <v>42245</v>
      </c>
      <c r="E1122" s="7" t="s">
        <v>3160</v>
      </c>
      <c r="F1122" s="4" t="s">
        <v>4776</v>
      </c>
      <c r="G1122" s="12" t="str">
        <f>IF(AND(Tabela1[[#This Row],[Data nascimento]]&gt;=$J$2,Tabela1[[#This Row],[Data nascimento]]&lt;=$I$2),"INFANTIL A",H1122)</f>
        <v>INFANTIL A</v>
      </c>
      <c r="H1122" s="3" t="str">
        <f>IF(AND(Tabela1[[#This Row],[Data nascimento]]&gt;=$L$2,Tabela1[[#This Row],[Data nascimento]]&lt;=$K$2),"INFANTIL B",I1122)</f>
        <v>JÚNIOR</v>
      </c>
      <c r="I1122" s="9" t="str">
        <f>IF(AND(Tabela1[[#This Row],[Data nascimento]]&gt;=$N$2,Tabela1[[#This Row],[Data nascimento]]&lt;=$M$2),"INICIADO",J1122)</f>
        <v>JÚNIOR</v>
      </c>
      <c r="J1122" s="9" t="str">
        <f>IF(AND(Tabela1[[#This Row],[Data nascimento]]&gt;=$P$2,Tabela1[[#This Row],[Data nascimento]]&lt;=$O$2),"JUVENIL","JÚNIOR")</f>
        <v>JÚNIOR</v>
      </c>
    </row>
    <row r="1123" spans="1:10" ht="15" x14ac:dyDescent="0.4">
      <c r="A1123" s="13" t="s">
        <v>3161</v>
      </c>
      <c r="B1123" s="2" t="s">
        <v>3162</v>
      </c>
      <c r="C1123" s="4" t="s">
        <v>8</v>
      </c>
      <c r="D1123" s="11">
        <v>42229</v>
      </c>
      <c r="E1123" s="7" t="s">
        <v>3163</v>
      </c>
      <c r="F1123" s="4" t="s">
        <v>4777</v>
      </c>
      <c r="G1123" s="12" t="str">
        <f>IF(AND(Tabela1[[#This Row],[Data nascimento]]&gt;=$J$2,Tabela1[[#This Row],[Data nascimento]]&lt;=$I$2),"INFANTIL A",H1123)</f>
        <v>INFANTIL A</v>
      </c>
      <c r="H1123" s="3" t="str">
        <f>IF(AND(Tabela1[[#This Row],[Data nascimento]]&gt;=$L$2,Tabela1[[#This Row],[Data nascimento]]&lt;=$K$2),"INFANTIL B",I1123)</f>
        <v>JÚNIOR</v>
      </c>
      <c r="I1123" s="9" t="str">
        <f>IF(AND(Tabela1[[#This Row],[Data nascimento]]&gt;=$N$2,Tabela1[[#This Row],[Data nascimento]]&lt;=$M$2),"INICIADO",J1123)</f>
        <v>JÚNIOR</v>
      </c>
      <c r="J1123" s="9" t="str">
        <f>IF(AND(Tabela1[[#This Row],[Data nascimento]]&gt;=$P$2,Tabela1[[#This Row],[Data nascimento]]&lt;=$O$2),"JUVENIL","JÚNIOR")</f>
        <v>JÚNIOR</v>
      </c>
    </row>
    <row r="1124" spans="1:10" ht="15" x14ac:dyDescent="0.4">
      <c r="A1124" s="13" t="s">
        <v>3164</v>
      </c>
      <c r="B1124" s="2" t="s">
        <v>3165</v>
      </c>
      <c r="C1124" s="4" t="s">
        <v>8</v>
      </c>
      <c r="D1124" s="11">
        <v>42256</v>
      </c>
      <c r="E1124" s="7" t="s">
        <v>3166</v>
      </c>
      <c r="F1124" s="4" t="s">
        <v>4777</v>
      </c>
      <c r="G1124" s="12" t="str">
        <f>IF(AND(Tabela1[[#This Row],[Data nascimento]]&gt;=$J$2,Tabela1[[#This Row],[Data nascimento]]&lt;=$I$2),"INFANTIL A",H1124)</f>
        <v>INFANTIL A</v>
      </c>
      <c r="H1124" s="3" t="str">
        <f>IF(AND(Tabela1[[#This Row],[Data nascimento]]&gt;=$L$2,Tabela1[[#This Row],[Data nascimento]]&lt;=$K$2),"INFANTIL B",I1124)</f>
        <v>JÚNIOR</v>
      </c>
      <c r="I1124" s="9" t="str">
        <f>IF(AND(Tabela1[[#This Row],[Data nascimento]]&gt;=$N$2,Tabela1[[#This Row],[Data nascimento]]&lt;=$M$2),"INICIADO",J1124)</f>
        <v>JÚNIOR</v>
      </c>
      <c r="J1124" s="9" t="str">
        <f>IF(AND(Tabela1[[#This Row],[Data nascimento]]&gt;=$P$2,Tabela1[[#This Row],[Data nascimento]]&lt;=$O$2),"JUVENIL","JÚNIOR")</f>
        <v>JÚNIOR</v>
      </c>
    </row>
    <row r="1125" spans="1:10" ht="15" x14ac:dyDescent="0.4">
      <c r="A1125" s="13" t="s">
        <v>3167</v>
      </c>
      <c r="B1125" s="2" t="s">
        <v>3168</v>
      </c>
      <c r="C1125" s="4" t="s">
        <v>21</v>
      </c>
      <c r="D1125" s="11">
        <v>42245</v>
      </c>
      <c r="E1125" s="7" t="s">
        <v>3169</v>
      </c>
      <c r="F1125" s="4" t="s">
        <v>4776</v>
      </c>
      <c r="G1125" s="12" t="str">
        <f>IF(AND(Tabela1[[#This Row],[Data nascimento]]&gt;=$J$2,Tabela1[[#This Row],[Data nascimento]]&lt;=$I$2),"INFANTIL A",H1125)</f>
        <v>INFANTIL A</v>
      </c>
      <c r="H1125" s="3" t="str">
        <f>IF(AND(Tabela1[[#This Row],[Data nascimento]]&gt;=$L$2,Tabela1[[#This Row],[Data nascimento]]&lt;=$K$2),"INFANTIL B",I1125)</f>
        <v>JÚNIOR</v>
      </c>
      <c r="I1125" s="9" t="str">
        <f>IF(AND(Tabela1[[#This Row],[Data nascimento]]&gt;=$N$2,Tabela1[[#This Row],[Data nascimento]]&lt;=$M$2),"INICIADO",J1125)</f>
        <v>JÚNIOR</v>
      </c>
      <c r="J1125" s="9" t="str">
        <f>IF(AND(Tabela1[[#This Row],[Data nascimento]]&gt;=$P$2,Tabela1[[#This Row],[Data nascimento]]&lt;=$O$2),"JUVENIL","JÚNIOR")</f>
        <v>JÚNIOR</v>
      </c>
    </row>
    <row r="1126" spans="1:10" ht="15" x14ac:dyDescent="0.4">
      <c r="A1126" s="13" t="s">
        <v>3170</v>
      </c>
      <c r="B1126" s="2" t="s">
        <v>3171</v>
      </c>
      <c r="C1126" s="4" t="s">
        <v>8</v>
      </c>
      <c r="D1126" s="11">
        <v>42158</v>
      </c>
      <c r="E1126" s="7" t="s">
        <v>3172</v>
      </c>
      <c r="F1126" s="4" t="s">
        <v>4776</v>
      </c>
      <c r="G1126" s="12" t="str">
        <f>IF(AND(Tabela1[[#This Row],[Data nascimento]]&gt;=$J$2,Tabela1[[#This Row],[Data nascimento]]&lt;=$I$2),"INFANTIL A",H1126)</f>
        <v>INFANTIL A</v>
      </c>
      <c r="H1126" s="3" t="str">
        <f>IF(AND(Tabela1[[#This Row],[Data nascimento]]&gt;=$L$2,Tabela1[[#This Row],[Data nascimento]]&lt;=$K$2),"INFANTIL B",I1126)</f>
        <v>JÚNIOR</v>
      </c>
      <c r="I1126" s="9" t="str">
        <f>IF(AND(Tabela1[[#This Row],[Data nascimento]]&gt;=$N$2,Tabela1[[#This Row],[Data nascimento]]&lt;=$M$2),"INICIADO",J1126)</f>
        <v>JÚNIOR</v>
      </c>
      <c r="J1126" s="9" t="str">
        <f>IF(AND(Tabela1[[#This Row],[Data nascimento]]&gt;=$P$2,Tabela1[[#This Row],[Data nascimento]]&lt;=$O$2),"JUVENIL","JÚNIOR")</f>
        <v>JÚNIOR</v>
      </c>
    </row>
    <row r="1127" spans="1:10" ht="15" x14ac:dyDescent="0.4">
      <c r="A1127" s="13" t="s">
        <v>3173</v>
      </c>
      <c r="B1127" s="2" t="s">
        <v>3174</v>
      </c>
      <c r="C1127" s="4" t="s">
        <v>21</v>
      </c>
      <c r="D1127" s="11">
        <v>42090</v>
      </c>
      <c r="E1127" s="7" t="s">
        <v>3175</v>
      </c>
      <c r="F1127" s="4" t="s">
        <v>4776</v>
      </c>
      <c r="G1127" s="12" t="str">
        <f>IF(AND(Tabela1[[#This Row],[Data nascimento]]&gt;=$J$2,Tabela1[[#This Row],[Data nascimento]]&lt;=$I$2),"INFANTIL A",H1127)</f>
        <v>INFANTIL A</v>
      </c>
      <c r="H1127" s="3" t="str">
        <f>IF(AND(Tabela1[[#This Row],[Data nascimento]]&gt;=$L$2,Tabela1[[#This Row],[Data nascimento]]&lt;=$K$2),"INFANTIL B",I1127)</f>
        <v>JÚNIOR</v>
      </c>
      <c r="I1127" s="9" t="str">
        <f>IF(AND(Tabela1[[#This Row],[Data nascimento]]&gt;=$N$2,Tabela1[[#This Row],[Data nascimento]]&lt;=$M$2),"INICIADO",J1127)</f>
        <v>JÚNIOR</v>
      </c>
      <c r="J1127" s="9" t="str">
        <f>IF(AND(Tabela1[[#This Row],[Data nascimento]]&gt;=$P$2,Tabela1[[#This Row],[Data nascimento]]&lt;=$O$2),"JUVENIL","JÚNIOR")</f>
        <v>JÚNIOR</v>
      </c>
    </row>
    <row r="1128" spans="1:10" ht="15" x14ac:dyDescent="0.4">
      <c r="A1128" s="13" t="s">
        <v>3176</v>
      </c>
      <c r="B1128" s="2" t="s">
        <v>3177</v>
      </c>
      <c r="C1128" s="4" t="s">
        <v>21</v>
      </c>
      <c r="D1128" s="11">
        <v>42083</v>
      </c>
      <c r="E1128" s="7" t="s">
        <v>3178</v>
      </c>
      <c r="F1128" s="4" t="s">
        <v>4777</v>
      </c>
      <c r="G1128" s="12" t="str">
        <f>IF(AND(Tabela1[[#This Row],[Data nascimento]]&gt;=$J$2,Tabela1[[#This Row],[Data nascimento]]&lt;=$I$2),"INFANTIL A",H1128)</f>
        <v>INFANTIL A</v>
      </c>
      <c r="H1128" s="3" t="str">
        <f>IF(AND(Tabela1[[#This Row],[Data nascimento]]&gt;=$L$2,Tabela1[[#This Row],[Data nascimento]]&lt;=$K$2),"INFANTIL B",I1128)</f>
        <v>JÚNIOR</v>
      </c>
      <c r="I1128" s="9" t="str">
        <f>IF(AND(Tabela1[[#This Row],[Data nascimento]]&gt;=$N$2,Tabela1[[#This Row],[Data nascimento]]&lt;=$M$2),"INICIADO",J1128)</f>
        <v>JÚNIOR</v>
      </c>
      <c r="J1128" s="9" t="str">
        <f>IF(AND(Tabela1[[#This Row],[Data nascimento]]&gt;=$P$2,Tabela1[[#This Row],[Data nascimento]]&lt;=$O$2),"JUVENIL","JÚNIOR")</f>
        <v>JÚNIOR</v>
      </c>
    </row>
    <row r="1129" spans="1:10" ht="15" x14ac:dyDescent="0.4">
      <c r="A1129" s="13" t="s">
        <v>3179</v>
      </c>
      <c r="B1129" s="2" t="s">
        <v>3180</v>
      </c>
      <c r="C1129" s="4" t="s">
        <v>21</v>
      </c>
      <c r="D1129" s="11">
        <v>42112</v>
      </c>
      <c r="E1129" s="7" t="s">
        <v>3181</v>
      </c>
      <c r="F1129" s="4" t="s">
        <v>4775</v>
      </c>
      <c r="G1129" s="12" t="str">
        <f>IF(AND(Tabela1[[#This Row],[Data nascimento]]&gt;=$J$2,Tabela1[[#This Row],[Data nascimento]]&lt;=$I$2),"INFANTIL A",H1129)</f>
        <v>INFANTIL A</v>
      </c>
      <c r="H1129" s="3" t="str">
        <f>IF(AND(Tabela1[[#This Row],[Data nascimento]]&gt;=$L$2,Tabela1[[#This Row],[Data nascimento]]&lt;=$K$2),"INFANTIL B",I1129)</f>
        <v>JÚNIOR</v>
      </c>
      <c r="I1129" s="9" t="str">
        <f>IF(AND(Tabela1[[#This Row],[Data nascimento]]&gt;=$N$2,Tabela1[[#This Row],[Data nascimento]]&lt;=$M$2),"INICIADO",J1129)</f>
        <v>JÚNIOR</v>
      </c>
      <c r="J1129" s="9" t="str">
        <f>IF(AND(Tabela1[[#This Row],[Data nascimento]]&gt;=$P$2,Tabela1[[#This Row],[Data nascimento]]&lt;=$O$2),"JUVENIL","JÚNIOR")</f>
        <v>JÚNIOR</v>
      </c>
    </row>
    <row r="1130" spans="1:10" ht="15" x14ac:dyDescent="0.4">
      <c r="A1130" s="13" t="s">
        <v>3182</v>
      </c>
      <c r="B1130" s="2" t="s">
        <v>3183</v>
      </c>
      <c r="C1130" s="4" t="s">
        <v>8</v>
      </c>
      <c r="D1130" s="11">
        <v>42029</v>
      </c>
      <c r="E1130" s="7" t="s">
        <v>3184</v>
      </c>
      <c r="F1130" s="4" t="s">
        <v>4775</v>
      </c>
      <c r="G1130" s="12" t="str">
        <f>IF(AND(Tabela1[[#This Row],[Data nascimento]]&gt;=$J$2,Tabela1[[#This Row],[Data nascimento]]&lt;=$I$2),"INFANTIL A",H1130)</f>
        <v>INFANTIL A</v>
      </c>
      <c r="H1130" s="3" t="str">
        <f>IF(AND(Tabela1[[#This Row],[Data nascimento]]&gt;=$L$2,Tabela1[[#This Row],[Data nascimento]]&lt;=$K$2),"INFANTIL B",I1130)</f>
        <v>JÚNIOR</v>
      </c>
      <c r="I1130" s="9" t="str">
        <f>IF(AND(Tabela1[[#This Row],[Data nascimento]]&gt;=$N$2,Tabela1[[#This Row],[Data nascimento]]&lt;=$M$2),"INICIADO",J1130)</f>
        <v>JÚNIOR</v>
      </c>
      <c r="J1130" s="9" t="str">
        <f>IF(AND(Tabela1[[#This Row],[Data nascimento]]&gt;=$P$2,Tabela1[[#This Row],[Data nascimento]]&lt;=$O$2),"JUVENIL","JÚNIOR")</f>
        <v>JÚNIOR</v>
      </c>
    </row>
    <row r="1131" spans="1:10" ht="15" x14ac:dyDescent="0.4">
      <c r="A1131" s="13" t="s">
        <v>3185</v>
      </c>
      <c r="B1131" s="2" t="s">
        <v>3186</v>
      </c>
      <c r="C1131" s="4" t="s">
        <v>21</v>
      </c>
      <c r="D1131" s="11">
        <v>42130</v>
      </c>
      <c r="E1131" s="7" t="s">
        <v>3187</v>
      </c>
      <c r="F1131" s="4" t="s">
        <v>4778</v>
      </c>
      <c r="G1131" s="12" t="str">
        <f>IF(AND(Tabela1[[#This Row],[Data nascimento]]&gt;=$J$2,Tabela1[[#This Row],[Data nascimento]]&lt;=$I$2),"INFANTIL A",H1131)</f>
        <v>INFANTIL A</v>
      </c>
      <c r="H1131" s="3" t="str">
        <f>IF(AND(Tabela1[[#This Row],[Data nascimento]]&gt;=$L$2,Tabela1[[#This Row],[Data nascimento]]&lt;=$K$2),"INFANTIL B",I1131)</f>
        <v>JÚNIOR</v>
      </c>
      <c r="I1131" s="9" t="str">
        <f>IF(AND(Tabela1[[#This Row],[Data nascimento]]&gt;=$N$2,Tabela1[[#This Row],[Data nascimento]]&lt;=$M$2),"INICIADO",J1131)</f>
        <v>JÚNIOR</v>
      </c>
      <c r="J1131" s="9" t="str">
        <f>IF(AND(Tabela1[[#This Row],[Data nascimento]]&gt;=$P$2,Tabela1[[#This Row],[Data nascimento]]&lt;=$O$2),"JUVENIL","JÚNIOR")</f>
        <v>JÚNIOR</v>
      </c>
    </row>
    <row r="1132" spans="1:10" ht="15" x14ac:dyDescent="0.4">
      <c r="A1132" s="13" t="s">
        <v>3188</v>
      </c>
      <c r="B1132" s="2" t="s">
        <v>3189</v>
      </c>
      <c r="C1132" s="4" t="s">
        <v>8</v>
      </c>
      <c r="D1132" s="11">
        <v>42025</v>
      </c>
      <c r="E1132" s="7" t="s">
        <v>3190</v>
      </c>
      <c r="F1132" s="4" t="s">
        <v>4777</v>
      </c>
      <c r="G1132" s="12" t="str">
        <f>IF(AND(Tabela1[[#This Row],[Data nascimento]]&gt;=$J$2,Tabela1[[#This Row],[Data nascimento]]&lt;=$I$2),"INFANTIL A",H1132)</f>
        <v>INFANTIL A</v>
      </c>
      <c r="H1132" s="3" t="str">
        <f>IF(AND(Tabela1[[#This Row],[Data nascimento]]&gt;=$L$2,Tabela1[[#This Row],[Data nascimento]]&lt;=$K$2),"INFANTIL B",I1132)</f>
        <v>JÚNIOR</v>
      </c>
      <c r="I1132" s="9" t="str">
        <f>IF(AND(Tabela1[[#This Row],[Data nascimento]]&gt;=$N$2,Tabela1[[#This Row],[Data nascimento]]&lt;=$M$2),"INICIADO",J1132)</f>
        <v>JÚNIOR</v>
      </c>
      <c r="J1132" s="9" t="str">
        <f>IF(AND(Tabela1[[#This Row],[Data nascimento]]&gt;=$P$2,Tabela1[[#This Row],[Data nascimento]]&lt;=$O$2),"JUVENIL","JÚNIOR")</f>
        <v>JÚNIOR</v>
      </c>
    </row>
    <row r="1133" spans="1:10" ht="15" x14ac:dyDescent="0.4">
      <c r="A1133" s="13" t="s">
        <v>3191</v>
      </c>
      <c r="B1133" s="2" t="s">
        <v>3192</v>
      </c>
      <c r="C1133" s="4" t="s">
        <v>8</v>
      </c>
      <c r="D1133" s="11">
        <v>42126</v>
      </c>
      <c r="E1133" s="7" t="s">
        <v>3193</v>
      </c>
      <c r="F1133" s="4" t="s">
        <v>4776</v>
      </c>
      <c r="G1133" s="12" t="str">
        <f>IF(AND(Tabela1[[#This Row],[Data nascimento]]&gt;=$J$2,Tabela1[[#This Row],[Data nascimento]]&lt;=$I$2),"INFANTIL A",H1133)</f>
        <v>INFANTIL A</v>
      </c>
      <c r="H1133" s="3" t="str">
        <f>IF(AND(Tabela1[[#This Row],[Data nascimento]]&gt;=$L$2,Tabela1[[#This Row],[Data nascimento]]&lt;=$K$2),"INFANTIL B",I1133)</f>
        <v>JÚNIOR</v>
      </c>
      <c r="I1133" s="9" t="str">
        <f>IF(AND(Tabela1[[#This Row],[Data nascimento]]&gt;=$N$2,Tabela1[[#This Row],[Data nascimento]]&lt;=$M$2),"INICIADO",J1133)</f>
        <v>JÚNIOR</v>
      </c>
      <c r="J1133" s="9" t="str">
        <f>IF(AND(Tabela1[[#This Row],[Data nascimento]]&gt;=$P$2,Tabela1[[#This Row],[Data nascimento]]&lt;=$O$2),"JUVENIL","JÚNIOR")</f>
        <v>JÚNIOR</v>
      </c>
    </row>
    <row r="1134" spans="1:10" ht="15" x14ac:dyDescent="0.4">
      <c r="A1134" s="13" t="s">
        <v>3194</v>
      </c>
      <c r="B1134" s="2" t="s">
        <v>3195</v>
      </c>
      <c r="C1134" s="4" t="s">
        <v>21</v>
      </c>
      <c r="D1134" s="11">
        <v>42083</v>
      </c>
      <c r="E1134" s="7" t="s">
        <v>3196</v>
      </c>
      <c r="F1134" s="4" t="s">
        <v>4776</v>
      </c>
      <c r="G1134" s="12" t="str">
        <f>IF(AND(Tabela1[[#This Row],[Data nascimento]]&gt;=$J$2,Tabela1[[#This Row],[Data nascimento]]&lt;=$I$2),"INFANTIL A",H1134)</f>
        <v>INFANTIL A</v>
      </c>
      <c r="H1134" s="3" t="str">
        <f>IF(AND(Tabela1[[#This Row],[Data nascimento]]&gt;=$L$2,Tabela1[[#This Row],[Data nascimento]]&lt;=$K$2),"INFANTIL B",I1134)</f>
        <v>JÚNIOR</v>
      </c>
      <c r="I1134" s="9" t="str">
        <f>IF(AND(Tabela1[[#This Row],[Data nascimento]]&gt;=$N$2,Tabela1[[#This Row],[Data nascimento]]&lt;=$M$2),"INICIADO",J1134)</f>
        <v>JÚNIOR</v>
      </c>
      <c r="J1134" s="9" t="str">
        <f>IF(AND(Tabela1[[#This Row],[Data nascimento]]&gt;=$P$2,Tabela1[[#This Row],[Data nascimento]]&lt;=$O$2),"JUVENIL","JÚNIOR")</f>
        <v>JÚNIOR</v>
      </c>
    </row>
    <row r="1135" spans="1:10" ht="15" x14ac:dyDescent="0.4">
      <c r="A1135" s="13" t="s">
        <v>3197</v>
      </c>
      <c r="B1135" s="2" t="s">
        <v>3198</v>
      </c>
      <c r="C1135" s="4" t="s">
        <v>21</v>
      </c>
      <c r="D1135" s="11">
        <v>42267</v>
      </c>
      <c r="E1135" s="7" t="s">
        <v>3199</v>
      </c>
      <c r="F1135" s="4" t="s">
        <v>4776</v>
      </c>
      <c r="G1135" s="12" t="str">
        <f>IF(AND(Tabela1[[#This Row],[Data nascimento]]&gt;=$J$2,Tabela1[[#This Row],[Data nascimento]]&lt;=$I$2),"INFANTIL A",H1135)</f>
        <v>INFANTIL A</v>
      </c>
      <c r="H1135" s="3" t="str">
        <f>IF(AND(Tabela1[[#This Row],[Data nascimento]]&gt;=$L$2,Tabela1[[#This Row],[Data nascimento]]&lt;=$K$2),"INFANTIL B",I1135)</f>
        <v>JÚNIOR</v>
      </c>
      <c r="I1135" s="9" t="str">
        <f>IF(AND(Tabela1[[#This Row],[Data nascimento]]&gt;=$N$2,Tabela1[[#This Row],[Data nascimento]]&lt;=$M$2),"INICIADO",J1135)</f>
        <v>JÚNIOR</v>
      </c>
      <c r="J1135" s="9" t="str">
        <f>IF(AND(Tabela1[[#This Row],[Data nascimento]]&gt;=$P$2,Tabela1[[#This Row],[Data nascimento]]&lt;=$O$2),"JUVENIL","JÚNIOR")</f>
        <v>JÚNIOR</v>
      </c>
    </row>
    <row r="1136" spans="1:10" ht="15" x14ac:dyDescent="0.4">
      <c r="A1136" s="13" t="s">
        <v>3200</v>
      </c>
      <c r="B1136" s="2" t="s">
        <v>3201</v>
      </c>
      <c r="C1136" s="4" t="s">
        <v>21</v>
      </c>
      <c r="D1136" s="11">
        <v>42356</v>
      </c>
      <c r="E1136" s="7" t="s">
        <v>3202</v>
      </c>
      <c r="F1136" s="4" t="s">
        <v>4777</v>
      </c>
      <c r="G1136" s="12" t="str">
        <f>IF(AND(Tabela1[[#This Row],[Data nascimento]]&gt;=$J$2,Tabela1[[#This Row],[Data nascimento]]&lt;=$I$2),"INFANTIL A",H1136)</f>
        <v>INFANTIL A</v>
      </c>
      <c r="H1136" s="3" t="str">
        <f>IF(AND(Tabela1[[#This Row],[Data nascimento]]&gt;=$L$2,Tabela1[[#This Row],[Data nascimento]]&lt;=$K$2),"INFANTIL B",I1136)</f>
        <v>JÚNIOR</v>
      </c>
      <c r="I1136" s="9" t="str">
        <f>IF(AND(Tabela1[[#This Row],[Data nascimento]]&gt;=$N$2,Tabela1[[#This Row],[Data nascimento]]&lt;=$M$2),"INICIADO",J1136)</f>
        <v>JÚNIOR</v>
      </c>
      <c r="J1136" s="9" t="str">
        <f>IF(AND(Tabela1[[#This Row],[Data nascimento]]&gt;=$P$2,Tabela1[[#This Row],[Data nascimento]]&lt;=$O$2),"JUVENIL","JÚNIOR")</f>
        <v>JÚNIOR</v>
      </c>
    </row>
    <row r="1137" spans="1:10" ht="15" x14ac:dyDescent="0.4">
      <c r="A1137" s="13" t="s">
        <v>3203</v>
      </c>
      <c r="B1137" s="2" t="s">
        <v>3204</v>
      </c>
      <c r="C1137" s="4" t="s">
        <v>8</v>
      </c>
      <c r="D1137" s="11">
        <v>42162</v>
      </c>
      <c r="E1137" s="7" t="s">
        <v>3205</v>
      </c>
      <c r="F1137" s="4" t="s">
        <v>4777</v>
      </c>
      <c r="G1137" s="12" t="str">
        <f>IF(AND(Tabela1[[#This Row],[Data nascimento]]&gt;=$J$2,Tabela1[[#This Row],[Data nascimento]]&lt;=$I$2),"INFANTIL A",H1137)</f>
        <v>INFANTIL A</v>
      </c>
      <c r="H1137" s="3" t="str">
        <f>IF(AND(Tabela1[[#This Row],[Data nascimento]]&gt;=$L$2,Tabela1[[#This Row],[Data nascimento]]&lt;=$K$2),"INFANTIL B",I1137)</f>
        <v>JÚNIOR</v>
      </c>
      <c r="I1137" s="9" t="str">
        <f>IF(AND(Tabela1[[#This Row],[Data nascimento]]&gt;=$N$2,Tabela1[[#This Row],[Data nascimento]]&lt;=$M$2),"INICIADO",J1137)</f>
        <v>JÚNIOR</v>
      </c>
      <c r="J1137" s="9" t="str">
        <f>IF(AND(Tabela1[[#This Row],[Data nascimento]]&gt;=$P$2,Tabela1[[#This Row],[Data nascimento]]&lt;=$O$2),"JUVENIL","JÚNIOR")</f>
        <v>JÚNIOR</v>
      </c>
    </row>
    <row r="1138" spans="1:10" ht="15" x14ac:dyDescent="0.4">
      <c r="A1138" s="13" t="s">
        <v>3206</v>
      </c>
      <c r="B1138" s="2" t="s">
        <v>3207</v>
      </c>
      <c r="C1138" s="4" t="s">
        <v>21</v>
      </c>
      <c r="D1138" s="11">
        <v>42057</v>
      </c>
      <c r="E1138" s="7" t="s">
        <v>3208</v>
      </c>
      <c r="F1138" s="4" t="s">
        <v>4777</v>
      </c>
      <c r="G1138" s="12" t="str">
        <f>IF(AND(Tabela1[[#This Row],[Data nascimento]]&gt;=$J$2,Tabela1[[#This Row],[Data nascimento]]&lt;=$I$2),"INFANTIL A",H1138)</f>
        <v>INFANTIL A</v>
      </c>
      <c r="H1138" s="3" t="str">
        <f>IF(AND(Tabela1[[#This Row],[Data nascimento]]&gt;=$L$2,Tabela1[[#This Row],[Data nascimento]]&lt;=$K$2),"INFANTIL B",I1138)</f>
        <v>JÚNIOR</v>
      </c>
      <c r="I1138" s="9" t="str">
        <f>IF(AND(Tabela1[[#This Row],[Data nascimento]]&gt;=$N$2,Tabela1[[#This Row],[Data nascimento]]&lt;=$M$2),"INICIADO",J1138)</f>
        <v>JÚNIOR</v>
      </c>
      <c r="J1138" s="9" t="str">
        <f>IF(AND(Tabela1[[#This Row],[Data nascimento]]&gt;=$P$2,Tabela1[[#This Row],[Data nascimento]]&lt;=$O$2),"JUVENIL","JÚNIOR")</f>
        <v>JÚNIOR</v>
      </c>
    </row>
    <row r="1139" spans="1:10" ht="15" x14ac:dyDescent="0.4">
      <c r="A1139" s="13" t="s">
        <v>3209</v>
      </c>
      <c r="B1139" s="2" t="s">
        <v>3210</v>
      </c>
      <c r="C1139" s="4" t="s">
        <v>21</v>
      </c>
      <c r="D1139" s="11">
        <v>42264</v>
      </c>
      <c r="E1139" s="7" t="s">
        <v>3211</v>
      </c>
      <c r="F1139" s="4" t="s">
        <v>4777</v>
      </c>
      <c r="G1139" s="12" t="str">
        <f>IF(AND(Tabela1[[#This Row],[Data nascimento]]&gt;=$J$2,Tabela1[[#This Row],[Data nascimento]]&lt;=$I$2),"INFANTIL A",H1139)</f>
        <v>INFANTIL A</v>
      </c>
      <c r="H1139" s="3" t="str">
        <f>IF(AND(Tabela1[[#This Row],[Data nascimento]]&gt;=$L$2,Tabela1[[#This Row],[Data nascimento]]&lt;=$K$2),"INFANTIL B",I1139)</f>
        <v>JÚNIOR</v>
      </c>
      <c r="I1139" s="9" t="str">
        <f>IF(AND(Tabela1[[#This Row],[Data nascimento]]&gt;=$N$2,Tabela1[[#This Row],[Data nascimento]]&lt;=$M$2),"INICIADO",J1139)</f>
        <v>JÚNIOR</v>
      </c>
      <c r="J1139" s="9" t="str">
        <f>IF(AND(Tabela1[[#This Row],[Data nascimento]]&gt;=$P$2,Tabela1[[#This Row],[Data nascimento]]&lt;=$O$2),"JUVENIL","JÚNIOR")</f>
        <v>JÚNIOR</v>
      </c>
    </row>
    <row r="1140" spans="1:10" ht="15" x14ac:dyDescent="0.4">
      <c r="A1140" s="13" t="s">
        <v>3212</v>
      </c>
      <c r="B1140" s="2" t="s">
        <v>3213</v>
      </c>
      <c r="C1140" s="4" t="s">
        <v>8</v>
      </c>
      <c r="D1140" s="11">
        <v>42052</v>
      </c>
      <c r="E1140" s="7" t="s">
        <v>3214</v>
      </c>
      <c r="F1140" s="4" t="s">
        <v>4776</v>
      </c>
      <c r="G1140" s="12" t="str">
        <f>IF(AND(Tabela1[[#This Row],[Data nascimento]]&gt;=$J$2,Tabela1[[#This Row],[Data nascimento]]&lt;=$I$2),"INFANTIL A",H1140)</f>
        <v>INFANTIL A</v>
      </c>
      <c r="H1140" s="3" t="str">
        <f>IF(AND(Tabela1[[#This Row],[Data nascimento]]&gt;=$L$2,Tabela1[[#This Row],[Data nascimento]]&lt;=$K$2),"INFANTIL B",I1140)</f>
        <v>JÚNIOR</v>
      </c>
      <c r="I1140" s="9" t="str">
        <f>IF(AND(Tabela1[[#This Row],[Data nascimento]]&gt;=$N$2,Tabela1[[#This Row],[Data nascimento]]&lt;=$M$2),"INICIADO",J1140)</f>
        <v>JÚNIOR</v>
      </c>
      <c r="J1140" s="9" t="str">
        <f>IF(AND(Tabela1[[#This Row],[Data nascimento]]&gt;=$P$2,Tabela1[[#This Row],[Data nascimento]]&lt;=$O$2),"JUVENIL","JÚNIOR")</f>
        <v>JÚNIOR</v>
      </c>
    </row>
    <row r="1141" spans="1:10" ht="15" x14ac:dyDescent="0.4">
      <c r="A1141" s="13" t="s">
        <v>3215</v>
      </c>
      <c r="B1141" s="2" t="s">
        <v>3216</v>
      </c>
      <c r="C1141" s="4" t="s">
        <v>21</v>
      </c>
      <c r="D1141" s="11">
        <v>42243</v>
      </c>
      <c r="E1141" s="7" t="s">
        <v>3217</v>
      </c>
      <c r="F1141" s="4" t="s">
        <v>4777</v>
      </c>
      <c r="G1141" s="12" t="str">
        <f>IF(AND(Tabela1[[#This Row],[Data nascimento]]&gt;=$J$2,Tabela1[[#This Row],[Data nascimento]]&lt;=$I$2),"INFANTIL A",H1141)</f>
        <v>INFANTIL A</v>
      </c>
      <c r="H1141" s="3" t="str">
        <f>IF(AND(Tabela1[[#This Row],[Data nascimento]]&gt;=$L$2,Tabela1[[#This Row],[Data nascimento]]&lt;=$K$2),"INFANTIL B",I1141)</f>
        <v>JÚNIOR</v>
      </c>
      <c r="I1141" s="9" t="str">
        <f>IF(AND(Tabela1[[#This Row],[Data nascimento]]&gt;=$N$2,Tabela1[[#This Row],[Data nascimento]]&lt;=$M$2),"INICIADO",J1141)</f>
        <v>JÚNIOR</v>
      </c>
      <c r="J1141" s="9" t="str">
        <f>IF(AND(Tabela1[[#This Row],[Data nascimento]]&gt;=$P$2,Tabela1[[#This Row],[Data nascimento]]&lt;=$O$2),"JUVENIL","JÚNIOR")</f>
        <v>JÚNIOR</v>
      </c>
    </row>
    <row r="1142" spans="1:10" ht="15" x14ac:dyDescent="0.4">
      <c r="A1142" s="13" t="s">
        <v>3218</v>
      </c>
      <c r="B1142" s="2" t="s">
        <v>3219</v>
      </c>
      <c r="C1142" s="4" t="s">
        <v>21</v>
      </c>
      <c r="D1142" s="11">
        <v>42106</v>
      </c>
      <c r="E1142" s="7" t="s">
        <v>3220</v>
      </c>
      <c r="F1142" s="4" t="s">
        <v>4777</v>
      </c>
      <c r="G1142" s="12" t="str">
        <f>IF(AND(Tabela1[[#This Row],[Data nascimento]]&gt;=$J$2,Tabela1[[#This Row],[Data nascimento]]&lt;=$I$2),"INFANTIL A",H1142)</f>
        <v>INFANTIL A</v>
      </c>
      <c r="H1142" s="3" t="str">
        <f>IF(AND(Tabela1[[#This Row],[Data nascimento]]&gt;=$L$2,Tabela1[[#This Row],[Data nascimento]]&lt;=$K$2),"INFANTIL B",I1142)</f>
        <v>JÚNIOR</v>
      </c>
      <c r="I1142" s="9" t="str">
        <f>IF(AND(Tabela1[[#This Row],[Data nascimento]]&gt;=$N$2,Tabela1[[#This Row],[Data nascimento]]&lt;=$M$2),"INICIADO",J1142)</f>
        <v>JÚNIOR</v>
      </c>
      <c r="J1142" s="9" t="str">
        <f>IF(AND(Tabela1[[#This Row],[Data nascimento]]&gt;=$P$2,Tabela1[[#This Row],[Data nascimento]]&lt;=$O$2),"JUVENIL","JÚNIOR")</f>
        <v>JÚNIOR</v>
      </c>
    </row>
    <row r="1143" spans="1:10" ht="15" x14ac:dyDescent="0.4">
      <c r="A1143" s="13" t="s">
        <v>3221</v>
      </c>
      <c r="B1143" s="2" t="s">
        <v>3222</v>
      </c>
      <c r="C1143" s="4" t="s">
        <v>21</v>
      </c>
      <c r="D1143" s="11">
        <v>42259</v>
      </c>
      <c r="E1143" s="7" t="s">
        <v>3223</v>
      </c>
      <c r="F1143" s="4" t="s">
        <v>4777</v>
      </c>
      <c r="G1143" s="12" t="str">
        <f>IF(AND(Tabela1[[#This Row],[Data nascimento]]&gt;=$J$2,Tabela1[[#This Row],[Data nascimento]]&lt;=$I$2),"INFANTIL A",H1143)</f>
        <v>INFANTIL A</v>
      </c>
      <c r="H1143" s="3" t="str">
        <f>IF(AND(Tabela1[[#This Row],[Data nascimento]]&gt;=$L$2,Tabela1[[#This Row],[Data nascimento]]&lt;=$K$2),"INFANTIL B",I1143)</f>
        <v>JÚNIOR</v>
      </c>
      <c r="I1143" s="9" t="str">
        <f>IF(AND(Tabela1[[#This Row],[Data nascimento]]&gt;=$N$2,Tabela1[[#This Row],[Data nascimento]]&lt;=$M$2),"INICIADO",J1143)</f>
        <v>JÚNIOR</v>
      </c>
      <c r="J1143" s="9" t="str">
        <f>IF(AND(Tabela1[[#This Row],[Data nascimento]]&gt;=$P$2,Tabela1[[#This Row],[Data nascimento]]&lt;=$O$2),"JUVENIL","JÚNIOR")</f>
        <v>JÚNIOR</v>
      </c>
    </row>
    <row r="1144" spans="1:10" ht="15" x14ac:dyDescent="0.4">
      <c r="A1144" s="13" t="s">
        <v>3224</v>
      </c>
      <c r="B1144" s="2" t="s">
        <v>3225</v>
      </c>
      <c r="C1144" s="4" t="s">
        <v>21</v>
      </c>
      <c r="D1144" s="11">
        <v>42098</v>
      </c>
      <c r="E1144" s="7" t="s">
        <v>3226</v>
      </c>
      <c r="F1144" s="4" t="s">
        <v>4777</v>
      </c>
      <c r="G1144" s="12" t="str">
        <f>IF(AND(Tabela1[[#This Row],[Data nascimento]]&gt;=$J$2,Tabela1[[#This Row],[Data nascimento]]&lt;=$I$2),"INFANTIL A",H1144)</f>
        <v>INFANTIL A</v>
      </c>
      <c r="H1144" s="3" t="str">
        <f>IF(AND(Tabela1[[#This Row],[Data nascimento]]&gt;=$L$2,Tabela1[[#This Row],[Data nascimento]]&lt;=$K$2),"INFANTIL B",I1144)</f>
        <v>JÚNIOR</v>
      </c>
      <c r="I1144" s="9" t="str">
        <f>IF(AND(Tabela1[[#This Row],[Data nascimento]]&gt;=$N$2,Tabela1[[#This Row],[Data nascimento]]&lt;=$M$2),"INICIADO",J1144)</f>
        <v>JÚNIOR</v>
      </c>
      <c r="J1144" s="9" t="str">
        <f>IF(AND(Tabela1[[#This Row],[Data nascimento]]&gt;=$P$2,Tabela1[[#This Row],[Data nascimento]]&lt;=$O$2),"JUVENIL","JÚNIOR")</f>
        <v>JÚNIOR</v>
      </c>
    </row>
    <row r="1145" spans="1:10" ht="15" x14ac:dyDescent="0.4">
      <c r="A1145" s="13" t="s">
        <v>3227</v>
      </c>
      <c r="B1145" s="2" t="s">
        <v>3228</v>
      </c>
      <c r="C1145" s="4" t="s">
        <v>8</v>
      </c>
      <c r="D1145" s="11">
        <v>42175</v>
      </c>
      <c r="E1145" s="7" t="s">
        <v>3229</v>
      </c>
      <c r="F1145" s="4" t="s">
        <v>4775</v>
      </c>
      <c r="G1145" s="12" t="str">
        <f>IF(AND(Tabela1[[#This Row],[Data nascimento]]&gt;=$J$2,Tabela1[[#This Row],[Data nascimento]]&lt;=$I$2),"INFANTIL A",H1145)</f>
        <v>INFANTIL A</v>
      </c>
      <c r="H1145" s="3" t="str">
        <f>IF(AND(Tabela1[[#This Row],[Data nascimento]]&gt;=$L$2,Tabela1[[#This Row],[Data nascimento]]&lt;=$K$2),"INFANTIL B",I1145)</f>
        <v>JÚNIOR</v>
      </c>
      <c r="I1145" s="9" t="str">
        <f>IF(AND(Tabela1[[#This Row],[Data nascimento]]&gt;=$N$2,Tabela1[[#This Row],[Data nascimento]]&lt;=$M$2),"INICIADO",J1145)</f>
        <v>JÚNIOR</v>
      </c>
      <c r="J1145" s="9" t="str">
        <f>IF(AND(Tabela1[[#This Row],[Data nascimento]]&gt;=$P$2,Tabela1[[#This Row],[Data nascimento]]&lt;=$O$2),"JUVENIL","JÚNIOR")</f>
        <v>JÚNIOR</v>
      </c>
    </row>
    <row r="1146" spans="1:10" ht="15" x14ac:dyDescent="0.4">
      <c r="A1146" s="13" t="s">
        <v>3230</v>
      </c>
      <c r="B1146" s="2" t="s">
        <v>3231</v>
      </c>
      <c r="C1146" s="4" t="s">
        <v>21</v>
      </c>
      <c r="D1146" s="11">
        <v>41957</v>
      </c>
      <c r="E1146" s="7" t="s">
        <v>3232</v>
      </c>
      <c r="F1146" s="4" t="s">
        <v>4777</v>
      </c>
      <c r="G1146" s="12" t="str">
        <f>IF(AND(Tabela1[[#This Row],[Data nascimento]]&gt;=$J$2,Tabela1[[#This Row],[Data nascimento]]&lt;=$I$2),"INFANTIL A",H1146)</f>
        <v>INFANTIL B</v>
      </c>
      <c r="H1146" s="3" t="str">
        <f>IF(AND(Tabela1[[#This Row],[Data nascimento]]&gt;=$L$2,Tabela1[[#This Row],[Data nascimento]]&lt;=$K$2),"INFANTIL B",I1146)</f>
        <v>INFANTIL B</v>
      </c>
      <c r="I1146" s="9" t="str">
        <f>IF(AND(Tabela1[[#This Row],[Data nascimento]]&gt;=$N$2,Tabela1[[#This Row],[Data nascimento]]&lt;=$M$2),"INICIADO",J1146)</f>
        <v>JÚNIOR</v>
      </c>
      <c r="J1146" s="9" t="str">
        <f>IF(AND(Tabela1[[#This Row],[Data nascimento]]&gt;=$P$2,Tabela1[[#This Row],[Data nascimento]]&lt;=$O$2),"JUVENIL","JÚNIOR")</f>
        <v>JÚNIOR</v>
      </c>
    </row>
    <row r="1147" spans="1:10" ht="15" x14ac:dyDescent="0.4">
      <c r="A1147" s="13" t="s">
        <v>3233</v>
      </c>
      <c r="B1147" s="2" t="s">
        <v>3234</v>
      </c>
      <c r="C1147" s="4" t="s">
        <v>8</v>
      </c>
      <c r="D1147" s="11">
        <v>42035</v>
      </c>
      <c r="E1147" s="7" t="s">
        <v>3235</v>
      </c>
      <c r="F1147" s="4" t="s">
        <v>4775</v>
      </c>
      <c r="G1147" s="12" t="str">
        <f>IF(AND(Tabela1[[#This Row],[Data nascimento]]&gt;=$J$2,Tabela1[[#This Row],[Data nascimento]]&lt;=$I$2),"INFANTIL A",H1147)</f>
        <v>INFANTIL A</v>
      </c>
      <c r="H1147" s="3" t="str">
        <f>IF(AND(Tabela1[[#This Row],[Data nascimento]]&gt;=$L$2,Tabela1[[#This Row],[Data nascimento]]&lt;=$K$2),"INFANTIL B",I1147)</f>
        <v>JÚNIOR</v>
      </c>
      <c r="I1147" s="9" t="str">
        <f>IF(AND(Tabela1[[#This Row],[Data nascimento]]&gt;=$N$2,Tabela1[[#This Row],[Data nascimento]]&lt;=$M$2),"INICIADO",J1147)</f>
        <v>JÚNIOR</v>
      </c>
      <c r="J1147" s="9" t="str">
        <f>IF(AND(Tabela1[[#This Row],[Data nascimento]]&gt;=$P$2,Tabela1[[#This Row],[Data nascimento]]&lt;=$O$2),"JUVENIL","JÚNIOR")</f>
        <v>JÚNIOR</v>
      </c>
    </row>
    <row r="1148" spans="1:10" ht="15" x14ac:dyDescent="0.4">
      <c r="A1148" s="13" t="s">
        <v>3236</v>
      </c>
      <c r="B1148" s="2" t="s">
        <v>3237</v>
      </c>
      <c r="C1148" s="4" t="s">
        <v>21</v>
      </c>
      <c r="D1148" s="11">
        <v>42353</v>
      </c>
      <c r="E1148" s="7" t="s">
        <v>3238</v>
      </c>
      <c r="F1148" s="4" t="s">
        <v>4776</v>
      </c>
      <c r="G1148" s="12" t="str">
        <f>IF(AND(Tabela1[[#This Row],[Data nascimento]]&gt;=$J$2,Tabela1[[#This Row],[Data nascimento]]&lt;=$I$2),"INFANTIL A",H1148)</f>
        <v>INFANTIL A</v>
      </c>
      <c r="H1148" s="3" t="str">
        <f>IF(AND(Tabela1[[#This Row],[Data nascimento]]&gt;=$L$2,Tabela1[[#This Row],[Data nascimento]]&lt;=$K$2),"INFANTIL B",I1148)</f>
        <v>JÚNIOR</v>
      </c>
      <c r="I1148" s="9" t="str">
        <f>IF(AND(Tabela1[[#This Row],[Data nascimento]]&gt;=$N$2,Tabela1[[#This Row],[Data nascimento]]&lt;=$M$2),"INICIADO",J1148)</f>
        <v>JÚNIOR</v>
      </c>
      <c r="J1148" s="9" t="str">
        <f>IF(AND(Tabela1[[#This Row],[Data nascimento]]&gt;=$P$2,Tabela1[[#This Row],[Data nascimento]]&lt;=$O$2),"JUVENIL","JÚNIOR")</f>
        <v>JÚNIOR</v>
      </c>
    </row>
    <row r="1149" spans="1:10" ht="15" x14ac:dyDescent="0.4">
      <c r="A1149" s="13" t="s">
        <v>3239</v>
      </c>
      <c r="B1149" s="2" t="s">
        <v>3240</v>
      </c>
      <c r="C1149" s="4" t="s">
        <v>21</v>
      </c>
      <c r="D1149" s="11">
        <v>42286</v>
      </c>
      <c r="E1149" s="7" t="s">
        <v>3241</v>
      </c>
      <c r="F1149" s="4" t="s">
        <v>4777</v>
      </c>
      <c r="G1149" s="12" t="str">
        <f>IF(AND(Tabela1[[#This Row],[Data nascimento]]&gt;=$J$2,Tabela1[[#This Row],[Data nascimento]]&lt;=$I$2),"INFANTIL A",H1149)</f>
        <v>INFANTIL A</v>
      </c>
      <c r="H1149" s="3" t="str">
        <f>IF(AND(Tabela1[[#This Row],[Data nascimento]]&gt;=$L$2,Tabela1[[#This Row],[Data nascimento]]&lt;=$K$2),"INFANTIL B",I1149)</f>
        <v>JÚNIOR</v>
      </c>
      <c r="I1149" s="9" t="str">
        <f>IF(AND(Tabela1[[#This Row],[Data nascimento]]&gt;=$N$2,Tabela1[[#This Row],[Data nascimento]]&lt;=$M$2),"INICIADO",J1149)</f>
        <v>JÚNIOR</v>
      </c>
      <c r="J1149" s="9" t="str">
        <f>IF(AND(Tabela1[[#This Row],[Data nascimento]]&gt;=$P$2,Tabela1[[#This Row],[Data nascimento]]&lt;=$O$2),"JUVENIL","JÚNIOR")</f>
        <v>JÚNIOR</v>
      </c>
    </row>
    <row r="1150" spans="1:10" ht="15" x14ac:dyDescent="0.4">
      <c r="A1150" s="13" t="s">
        <v>3242</v>
      </c>
      <c r="B1150" s="2" t="s">
        <v>3243</v>
      </c>
      <c r="C1150" s="4" t="s">
        <v>8</v>
      </c>
      <c r="D1150" s="11">
        <v>42327</v>
      </c>
      <c r="E1150" s="7" t="s">
        <v>3244</v>
      </c>
      <c r="F1150" s="4" t="s">
        <v>4775</v>
      </c>
      <c r="G1150" s="12" t="str">
        <f>IF(AND(Tabela1[[#This Row],[Data nascimento]]&gt;=$J$2,Tabela1[[#This Row],[Data nascimento]]&lt;=$I$2),"INFANTIL A",H1150)</f>
        <v>INFANTIL A</v>
      </c>
      <c r="H1150" s="3" t="str">
        <f>IF(AND(Tabela1[[#This Row],[Data nascimento]]&gt;=$L$2,Tabela1[[#This Row],[Data nascimento]]&lt;=$K$2),"INFANTIL B",I1150)</f>
        <v>JÚNIOR</v>
      </c>
      <c r="I1150" s="9" t="str">
        <f>IF(AND(Tabela1[[#This Row],[Data nascimento]]&gt;=$N$2,Tabela1[[#This Row],[Data nascimento]]&lt;=$M$2),"INICIADO",J1150)</f>
        <v>JÚNIOR</v>
      </c>
      <c r="J1150" s="9" t="str">
        <f>IF(AND(Tabela1[[#This Row],[Data nascimento]]&gt;=$P$2,Tabela1[[#This Row],[Data nascimento]]&lt;=$O$2),"JUVENIL","JÚNIOR")</f>
        <v>JÚNIOR</v>
      </c>
    </row>
    <row r="1151" spans="1:10" ht="15" x14ac:dyDescent="0.4">
      <c r="A1151" s="13" t="s">
        <v>3245</v>
      </c>
      <c r="B1151" s="2" t="s">
        <v>3246</v>
      </c>
      <c r="C1151" s="4" t="s">
        <v>21</v>
      </c>
      <c r="D1151" s="11">
        <v>42125</v>
      </c>
      <c r="E1151" s="7" t="s">
        <v>3247</v>
      </c>
      <c r="F1151" s="4" t="s">
        <v>4778</v>
      </c>
      <c r="G1151" s="12" t="str">
        <f>IF(AND(Tabela1[[#This Row],[Data nascimento]]&gt;=$J$2,Tabela1[[#This Row],[Data nascimento]]&lt;=$I$2),"INFANTIL A",H1151)</f>
        <v>INFANTIL A</v>
      </c>
      <c r="H1151" s="3" t="str">
        <f>IF(AND(Tabela1[[#This Row],[Data nascimento]]&gt;=$L$2,Tabela1[[#This Row],[Data nascimento]]&lt;=$K$2),"INFANTIL B",I1151)</f>
        <v>JÚNIOR</v>
      </c>
      <c r="I1151" s="9" t="str">
        <f>IF(AND(Tabela1[[#This Row],[Data nascimento]]&gt;=$N$2,Tabela1[[#This Row],[Data nascimento]]&lt;=$M$2),"INICIADO",J1151)</f>
        <v>JÚNIOR</v>
      </c>
      <c r="J1151" s="9" t="str">
        <f>IF(AND(Tabela1[[#This Row],[Data nascimento]]&gt;=$P$2,Tabela1[[#This Row],[Data nascimento]]&lt;=$O$2),"JUVENIL","JÚNIOR")</f>
        <v>JÚNIOR</v>
      </c>
    </row>
    <row r="1152" spans="1:10" ht="15" x14ac:dyDescent="0.4">
      <c r="A1152" s="13" t="s">
        <v>3248</v>
      </c>
      <c r="B1152" s="2" t="s">
        <v>3249</v>
      </c>
      <c r="C1152" s="4" t="s">
        <v>21</v>
      </c>
      <c r="D1152" s="11">
        <v>42169</v>
      </c>
      <c r="E1152" s="7" t="s">
        <v>3250</v>
      </c>
      <c r="F1152" s="4" t="s">
        <v>4776</v>
      </c>
      <c r="G1152" s="12" t="str">
        <f>IF(AND(Tabela1[[#This Row],[Data nascimento]]&gt;=$J$2,Tabela1[[#This Row],[Data nascimento]]&lt;=$I$2),"INFANTIL A",H1152)</f>
        <v>INFANTIL A</v>
      </c>
      <c r="H1152" s="3" t="str">
        <f>IF(AND(Tabela1[[#This Row],[Data nascimento]]&gt;=$L$2,Tabela1[[#This Row],[Data nascimento]]&lt;=$K$2),"INFANTIL B",I1152)</f>
        <v>JÚNIOR</v>
      </c>
      <c r="I1152" s="9" t="str">
        <f>IF(AND(Tabela1[[#This Row],[Data nascimento]]&gt;=$N$2,Tabela1[[#This Row],[Data nascimento]]&lt;=$M$2),"INICIADO",J1152)</f>
        <v>JÚNIOR</v>
      </c>
      <c r="J1152" s="9" t="str">
        <f>IF(AND(Tabela1[[#This Row],[Data nascimento]]&gt;=$P$2,Tabela1[[#This Row],[Data nascimento]]&lt;=$O$2),"JUVENIL","JÚNIOR")</f>
        <v>JÚNIOR</v>
      </c>
    </row>
    <row r="1153" spans="1:10" ht="15" x14ac:dyDescent="0.4">
      <c r="A1153" s="13" t="s">
        <v>3251</v>
      </c>
      <c r="B1153" s="2" t="s">
        <v>3252</v>
      </c>
      <c r="C1153" s="4" t="s">
        <v>8</v>
      </c>
      <c r="D1153" s="11">
        <v>41964</v>
      </c>
      <c r="E1153" s="7" t="s">
        <v>3253</v>
      </c>
      <c r="F1153" s="4" t="s">
        <v>4775</v>
      </c>
      <c r="G1153" s="12" t="str">
        <f>IF(AND(Tabela1[[#This Row],[Data nascimento]]&gt;=$J$2,Tabela1[[#This Row],[Data nascimento]]&lt;=$I$2),"INFANTIL A",H1153)</f>
        <v>INFANTIL B</v>
      </c>
      <c r="H1153" s="3" t="str">
        <f>IF(AND(Tabela1[[#This Row],[Data nascimento]]&gt;=$L$2,Tabela1[[#This Row],[Data nascimento]]&lt;=$K$2),"INFANTIL B",I1153)</f>
        <v>INFANTIL B</v>
      </c>
      <c r="I1153" s="9" t="str">
        <f>IF(AND(Tabela1[[#This Row],[Data nascimento]]&gt;=$N$2,Tabela1[[#This Row],[Data nascimento]]&lt;=$M$2),"INICIADO",J1153)</f>
        <v>JÚNIOR</v>
      </c>
      <c r="J1153" s="9" t="str">
        <f>IF(AND(Tabela1[[#This Row],[Data nascimento]]&gt;=$P$2,Tabela1[[#This Row],[Data nascimento]]&lt;=$O$2),"JUVENIL","JÚNIOR")</f>
        <v>JÚNIOR</v>
      </c>
    </row>
    <row r="1154" spans="1:10" ht="15" x14ac:dyDescent="0.4">
      <c r="A1154" s="13" t="s">
        <v>3254</v>
      </c>
      <c r="B1154" s="2" t="s">
        <v>3255</v>
      </c>
      <c r="C1154" s="4" t="s">
        <v>21</v>
      </c>
      <c r="D1154" s="11">
        <v>42267</v>
      </c>
      <c r="E1154" s="7" t="s">
        <v>3256</v>
      </c>
      <c r="F1154" s="4" t="s">
        <v>4777</v>
      </c>
      <c r="G1154" s="12" t="str">
        <f>IF(AND(Tabela1[[#This Row],[Data nascimento]]&gt;=$J$2,Tabela1[[#This Row],[Data nascimento]]&lt;=$I$2),"INFANTIL A",H1154)</f>
        <v>INFANTIL A</v>
      </c>
      <c r="H1154" s="3" t="str">
        <f>IF(AND(Tabela1[[#This Row],[Data nascimento]]&gt;=$L$2,Tabela1[[#This Row],[Data nascimento]]&lt;=$K$2),"INFANTIL B",I1154)</f>
        <v>JÚNIOR</v>
      </c>
      <c r="I1154" s="9" t="str">
        <f>IF(AND(Tabela1[[#This Row],[Data nascimento]]&gt;=$N$2,Tabela1[[#This Row],[Data nascimento]]&lt;=$M$2),"INICIADO",J1154)</f>
        <v>JÚNIOR</v>
      </c>
      <c r="J1154" s="9" t="str">
        <f>IF(AND(Tabela1[[#This Row],[Data nascimento]]&gt;=$P$2,Tabela1[[#This Row],[Data nascimento]]&lt;=$O$2),"JUVENIL","JÚNIOR")</f>
        <v>JÚNIOR</v>
      </c>
    </row>
    <row r="1155" spans="1:10" ht="15" x14ac:dyDescent="0.4">
      <c r="A1155" s="13" t="s">
        <v>3257</v>
      </c>
      <c r="B1155" s="2" t="s">
        <v>3258</v>
      </c>
      <c r="C1155" s="4" t="s">
        <v>21</v>
      </c>
      <c r="D1155" s="11">
        <v>41253</v>
      </c>
      <c r="E1155" s="7" t="s">
        <v>3259</v>
      </c>
      <c r="F1155" s="4" t="s">
        <v>4778</v>
      </c>
      <c r="G1155" s="12" t="str">
        <f>IF(AND(Tabela1[[#This Row],[Data nascimento]]&gt;=$J$2,Tabela1[[#This Row],[Data nascimento]]&lt;=$I$2),"INFANTIL A",H1155)</f>
        <v>INICIADO</v>
      </c>
      <c r="H1155" s="3" t="str">
        <f>IF(AND(Tabela1[[#This Row],[Data nascimento]]&gt;=$L$2,Tabela1[[#This Row],[Data nascimento]]&lt;=$K$2),"INFANTIL B",I1155)</f>
        <v>INICIADO</v>
      </c>
      <c r="I1155" s="9" t="str">
        <f>IF(AND(Tabela1[[#This Row],[Data nascimento]]&gt;=$N$2,Tabela1[[#This Row],[Data nascimento]]&lt;=$M$2),"INICIADO",J1155)</f>
        <v>INICIADO</v>
      </c>
      <c r="J1155" s="9" t="str">
        <f>IF(AND(Tabela1[[#This Row],[Data nascimento]]&gt;=$P$2,Tabela1[[#This Row],[Data nascimento]]&lt;=$O$2),"JUVENIL","JÚNIOR")</f>
        <v>JÚNIOR</v>
      </c>
    </row>
    <row r="1156" spans="1:10" ht="15" x14ac:dyDescent="0.4">
      <c r="A1156" s="13" t="s">
        <v>3260</v>
      </c>
      <c r="B1156" s="2" t="s">
        <v>3261</v>
      </c>
      <c r="C1156" s="4" t="s">
        <v>8</v>
      </c>
      <c r="D1156" s="11">
        <v>42222</v>
      </c>
      <c r="E1156" s="7" t="s">
        <v>3262</v>
      </c>
      <c r="F1156" s="4" t="s">
        <v>4775</v>
      </c>
      <c r="G1156" s="12" t="str">
        <f>IF(AND(Tabela1[[#This Row],[Data nascimento]]&gt;=$J$2,Tabela1[[#This Row],[Data nascimento]]&lt;=$I$2),"INFANTIL A",H1156)</f>
        <v>INFANTIL A</v>
      </c>
      <c r="H1156" s="3" t="str">
        <f>IF(AND(Tabela1[[#This Row],[Data nascimento]]&gt;=$L$2,Tabela1[[#This Row],[Data nascimento]]&lt;=$K$2),"INFANTIL B",I1156)</f>
        <v>JÚNIOR</v>
      </c>
      <c r="I1156" s="9" t="str">
        <f>IF(AND(Tabela1[[#This Row],[Data nascimento]]&gt;=$N$2,Tabela1[[#This Row],[Data nascimento]]&lt;=$M$2),"INICIADO",J1156)</f>
        <v>JÚNIOR</v>
      </c>
      <c r="J1156" s="9" t="str">
        <f>IF(AND(Tabela1[[#This Row],[Data nascimento]]&gt;=$P$2,Tabela1[[#This Row],[Data nascimento]]&lt;=$O$2),"JUVENIL","JÚNIOR")</f>
        <v>JÚNIOR</v>
      </c>
    </row>
    <row r="1157" spans="1:10" ht="15" x14ac:dyDescent="0.4">
      <c r="A1157" s="13" t="s">
        <v>3263</v>
      </c>
      <c r="B1157" s="2" t="s">
        <v>3264</v>
      </c>
      <c r="C1157" s="4" t="s">
        <v>21</v>
      </c>
      <c r="D1157" s="11">
        <v>42064</v>
      </c>
      <c r="E1157" s="7" t="s">
        <v>3265</v>
      </c>
      <c r="F1157" s="4" t="s">
        <v>4778</v>
      </c>
      <c r="G1157" s="12" t="str">
        <f>IF(AND(Tabela1[[#This Row],[Data nascimento]]&gt;=$J$2,Tabela1[[#This Row],[Data nascimento]]&lt;=$I$2),"INFANTIL A",H1157)</f>
        <v>INFANTIL A</v>
      </c>
      <c r="H1157" s="3" t="str">
        <f>IF(AND(Tabela1[[#This Row],[Data nascimento]]&gt;=$L$2,Tabela1[[#This Row],[Data nascimento]]&lt;=$K$2),"INFANTIL B",I1157)</f>
        <v>JÚNIOR</v>
      </c>
      <c r="I1157" s="9" t="str">
        <f>IF(AND(Tabela1[[#This Row],[Data nascimento]]&gt;=$N$2,Tabela1[[#This Row],[Data nascimento]]&lt;=$M$2),"INICIADO",J1157)</f>
        <v>JÚNIOR</v>
      </c>
      <c r="J1157" s="9" t="str">
        <f>IF(AND(Tabela1[[#This Row],[Data nascimento]]&gt;=$P$2,Tabela1[[#This Row],[Data nascimento]]&lt;=$O$2),"JUVENIL","JÚNIOR")</f>
        <v>JÚNIOR</v>
      </c>
    </row>
    <row r="1158" spans="1:10" ht="15" x14ac:dyDescent="0.4">
      <c r="A1158" s="13" t="s">
        <v>3266</v>
      </c>
      <c r="B1158" s="2" t="s">
        <v>3267</v>
      </c>
      <c r="C1158" s="4" t="s">
        <v>21</v>
      </c>
      <c r="D1158" s="11">
        <v>42064</v>
      </c>
      <c r="E1158" s="7" t="s">
        <v>3268</v>
      </c>
      <c r="F1158" s="4" t="s">
        <v>4777</v>
      </c>
      <c r="G1158" s="12" t="str">
        <f>IF(AND(Tabela1[[#This Row],[Data nascimento]]&gt;=$J$2,Tabela1[[#This Row],[Data nascimento]]&lt;=$I$2),"INFANTIL A",H1158)</f>
        <v>INFANTIL A</v>
      </c>
      <c r="H1158" s="3" t="str">
        <f>IF(AND(Tabela1[[#This Row],[Data nascimento]]&gt;=$L$2,Tabela1[[#This Row],[Data nascimento]]&lt;=$K$2),"INFANTIL B",I1158)</f>
        <v>JÚNIOR</v>
      </c>
      <c r="I1158" s="9" t="str">
        <f>IF(AND(Tabela1[[#This Row],[Data nascimento]]&gt;=$N$2,Tabela1[[#This Row],[Data nascimento]]&lt;=$M$2),"INICIADO",J1158)</f>
        <v>JÚNIOR</v>
      </c>
      <c r="J1158" s="9" t="str">
        <f>IF(AND(Tabela1[[#This Row],[Data nascimento]]&gt;=$P$2,Tabela1[[#This Row],[Data nascimento]]&lt;=$O$2),"JUVENIL","JÚNIOR")</f>
        <v>JÚNIOR</v>
      </c>
    </row>
    <row r="1159" spans="1:10" ht="15" x14ac:dyDescent="0.4">
      <c r="A1159" s="13" t="s">
        <v>3269</v>
      </c>
      <c r="B1159" s="2" t="s">
        <v>3270</v>
      </c>
      <c r="C1159" s="4" t="s">
        <v>21</v>
      </c>
      <c r="D1159" s="11">
        <v>42144</v>
      </c>
      <c r="E1159" s="7" t="s">
        <v>3271</v>
      </c>
      <c r="F1159" s="4" t="s">
        <v>4776</v>
      </c>
      <c r="G1159" s="12" t="str">
        <f>IF(AND(Tabela1[[#This Row],[Data nascimento]]&gt;=$J$2,Tabela1[[#This Row],[Data nascimento]]&lt;=$I$2),"INFANTIL A",H1159)</f>
        <v>INFANTIL A</v>
      </c>
      <c r="H1159" s="3" t="str">
        <f>IF(AND(Tabela1[[#This Row],[Data nascimento]]&gt;=$L$2,Tabela1[[#This Row],[Data nascimento]]&lt;=$K$2),"INFANTIL B",I1159)</f>
        <v>JÚNIOR</v>
      </c>
      <c r="I1159" s="9" t="str">
        <f>IF(AND(Tabela1[[#This Row],[Data nascimento]]&gt;=$N$2,Tabela1[[#This Row],[Data nascimento]]&lt;=$M$2),"INICIADO",J1159)</f>
        <v>JÚNIOR</v>
      </c>
      <c r="J1159" s="9" t="str">
        <f>IF(AND(Tabela1[[#This Row],[Data nascimento]]&gt;=$P$2,Tabela1[[#This Row],[Data nascimento]]&lt;=$O$2),"JUVENIL","JÚNIOR")</f>
        <v>JÚNIOR</v>
      </c>
    </row>
    <row r="1160" spans="1:10" ht="15" x14ac:dyDescent="0.4">
      <c r="A1160" s="13" t="s">
        <v>3272</v>
      </c>
      <c r="B1160" s="2" t="s">
        <v>3273</v>
      </c>
      <c r="C1160" s="4" t="s">
        <v>8</v>
      </c>
      <c r="D1160" s="11">
        <v>42325</v>
      </c>
      <c r="E1160" s="7" t="s">
        <v>3274</v>
      </c>
      <c r="F1160" s="4" t="s">
        <v>4778</v>
      </c>
      <c r="G1160" s="12" t="str">
        <f>IF(AND(Tabela1[[#This Row],[Data nascimento]]&gt;=$J$2,Tabela1[[#This Row],[Data nascimento]]&lt;=$I$2),"INFANTIL A",H1160)</f>
        <v>INFANTIL A</v>
      </c>
      <c r="H1160" s="3" t="str">
        <f>IF(AND(Tabela1[[#This Row],[Data nascimento]]&gt;=$L$2,Tabela1[[#This Row],[Data nascimento]]&lt;=$K$2),"INFANTIL B",I1160)</f>
        <v>JÚNIOR</v>
      </c>
      <c r="I1160" s="9" t="str">
        <f>IF(AND(Tabela1[[#This Row],[Data nascimento]]&gt;=$N$2,Tabela1[[#This Row],[Data nascimento]]&lt;=$M$2),"INICIADO",J1160)</f>
        <v>JÚNIOR</v>
      </c>
      <c r="J1160" s="9" t="str">
        <f>IF(AND(Tabela1[[#This Row],[Data nascimento]]&gt;=$P$2,Tabela1[[#This Row],[Data nascimento]]&lt;=$O$2),"JUVENIL","JÚNIOR")</f>
        <v>JÚNIOR</v>
      </c>
    </row>
    <row r="1161" spans="1:10" ht="15" x14ac:dyDescent="0.4">
      <c r="A1161" s="13" t="s">
        <v>3275</v>
      </c>
      <c r="B1161" s="2" t="s">
        <v>3276</v>
      </c>
      <c r="C1161" s="4" t="s">
        <v>21</v>
      </c>
      <c r="D1161" s="11">
        <v>42119</v>
      </c>
      <c r="E1161" s="7" t="s">
        <v>3277</v>
      </c>
      <c r="F1161" s="4" t="s">
        <v>4778</v>
      </c>
      <c r="G1161" s="12" t="str">
        <f>IF(AND(Tabela1[[#This Row],[Data nascimento]]&gt;=$J$2,Tabela1[[#This Row],[Data nascimento]]&lt;=$I$2),"INFANTIL A",H1161)</f>
        <v>INFANTIL A</v>
      </c>
      <c r="H1161" s="3" t="str">
        <f>IF(AND(Tabela1[[#This Row],[Data nascimento]]&gt;=$L$2,Tabela1[[#This Row],[Data nascimento]]&lt;=$K$2),"INFANTIL B",I1161)</f>
        <v>JÚNIOR</v>
      </c>
      <c r="I1161" s="9" t="str">
        <f>IF(AND(Tabela1[[#This Row],[Data nascimento]]&gt;=$N$2,Tabela1[[#This Row],[Data nascimento]]&lt;=$M$2),"INICIADO",J1161)</f>
        <v>JÚNIOR</v>
      </c>
      <c r="J1161" s="9" t="str">
        <f>IF(AND(Tabela1[[#This Row],[Data nascimento]]&gt;=$P$2,Tabela1[[#This Row],[Data nascimento]]&lt;=$O$2),"JUVENIL","JÚNIOR")</f>
        <v>JÚNIOR</v>
      </c>
    </row>
    <row r="1162" spans="1:10" ht="15" x14ac:dyDescent="0.4">
      <c r="A1162" s="13" t="s">
        <v>3278</v>
      </c>
      <c r="B1162" s="2" t="s">
        <v>3279</v>
      </c>
      <c r="C1162" s="4" t="s">
        <v>8</v>
      </c>
      <c r="D1162" s="11">
        <v>42351</v>
      </c>
      <c r="E1162" s="7" t="s">
        <v>3280</v>
      </c>
      <c r="F1162" s="4" t="s">
        <v>4776</v>
      </c>
      <c r="G1162" s="12" t="str">
        <f>IF(AND(Tabela1[[#This Row],[Data nascimento]]&gt;=$J$2,Tabela1[[#This Row],[Data nascimento]]&lt;=$I$2),"INFANTIL A",H1162)</f>
        <v>INFANTIL A</v>
      </c>
      <c r="H1162" s="3" t="str">
        <f>IF(AND(Tabela1[[#This Row],[Data nascimento]]&gt;=$L$2,Tabela1[[#This Row],[Data nascimento]]&lt;=$K$2),"INFANTIL B",I1162)</f>
        <v>JÚNIOR</v>
      </c>
      <c r="I1162" s="9" t="str">
        <f>IF(AND(Tabela1[[#This Row],[Data nascimento]]&gt;=$N$2,Tabela1[[#This Row],[Data nascimento]]&lt;=$M$2),"INICIADO",J1162)</f>
        <v>JÚNIOR</v>
      </c>
      <c r="J1162" s="9" t="str">
        <f>IF(AND(Tabela1[[#This Row],[Data nascimento]]&gt;=$P$2,Tabela1[[#This Row],[Data nascimento]]&lt;=$O$2),"JUVENIL","JÚNIOR")</f>
        <v>JÚNIOR</v>
      </c>
    </row>
    <row r="1163" spans="1:10" ht="15" x14ac:dyDescent="0.4">
      <c r="A1163" s="13" t="s">
        <v>3281</v>
      </c>
      <c r="B1163" s="2" t="s">
        <v>3282</v>
      </c>
      <c r="C1163" s="4" t="s">
        <v>21</v>
      </c>
      <c r="D1163" s="11">
        <v>42243</v>
      </c>
      <c r="E1163" s="7" t="s">
        <v>3283</v>
      </c>
      <c r="F1163" s="4" t="s">
        <v>4775</v>
      </c>
      <c r="G1163" s="12" t="str">
        <f>IF(AND(Tabela1[[#This Row],[Data nascimento]]&gt;=$J$2,Tabela1[[#This Row],[Data nascimento]]&lt;=$I$2),"INFANTIL A",H1163)</f>
        <v>INFANTIL A</v>
      </c>
      <c r="H1163" s="3" t="str">
        <f>IF(AND(Tabela1[[#This Row],[Data nascimento]]&gt;=$L$2,Tabela1[[#This Row],[Data nascimento]]&lt;=$K$2),"INFANTIL B",I1163)</f>
        <v>JÚNIOR</v>
      </c>
      <c r="I1163" s="9" t="str">
        <f>IF(AND(Tabela1[[#This Row],[Data nascimento]]&gt;=$N$2,Tabela1[[#This Row],[Data nascimento]]&lt;=$M$2),"INICIADO",J1163)</f>
        <v>JÚNIOR</v>
      </c>
      <c r="J1163" s="9" t="str">
        <f>IF(AND(Tabela1[[#This Row],[Data nascimento]]&gt;=$P$2,Tabela1[[#This Row],[Data nascimento]]&lt;=$O$2),"JUVENIL","JÚNIOR")</f>
        <v>JÚNIOR</v>
      </c>
    </row>
    <row r="1164" spans="1:10" ht="15" x14ac:dyDescent="0.4">
      <c r="A1164" s="13" t="s">
        <v>3284</v>
      </c>
      <c r="B1164" s="2" t="s">
        <v>3285</v>
      </c>
      <c r="C1164" s="4" t="s">
        <v>21</v>
      </c>
      <c r="D1164" s="11">
        <v>42022</v>
      </c>
      <c r="E1164" s="7" t="s">
        <v>3286</v>
      </c>
      <c r="F1164" s="4" t="s">
        <v>4777</v>
      </c>
      <c r="G1164" s="12" t="str">
        <f>IF(AND(Tabela1[[#This Row],[Data nascimento]]&gt;=$J$2,Tabela1[[#This Row],[Data nascimento]]&lt;=$I$2),"INFANTIL A",H1164)</f>
        <v>INFANTIL A</v>
      </c>
      <c r="H1164" s="3" t="str">
        <f>IF(AND(Tabela1[[#This Row],[Data nascimento]]&gt;=$L$2,Tabela1[[#This Row],[Data nascimento]]&lt;=$K$2),"INFANTIL B",I1164)</f>
        <v>JÚNIOR</v>
      </c>
      <c r="I1164" s="9" t="str">
        <f>IF(AND(Tabela1[[#This Row],[Data nascimento]]&gt;=$N$2,Tabela1[[#This Row],[Data nascimento]]&lt;=$M$2),"INICIADO",J1164)</f>
        <v>JÚNIOR</v>
      </c>
      <c r="J1164" s="9" t="str">
        <f>IF(AND(Tabela1[[#This Row],[Data nascimento]]&gt;=$P$2,Tabela1[[#This Row],[Data nascimento]]&lt;=$O$2),"JUVENIL","JÚNIOR")</f>
        <v>JÚNIOR</v>
      </c>
    </row>
    <row r="1165" spans="1:10" ht="15" x14ac:dyDescent="0.4">
      <c r="A1165" s="13" t="s">
        <v>3287</v>
      </c>
      <c r="B1165" s="2" t="s">
        <v>3288</v>
      </c>
      <c r="C1165" s="4" t="s">
        <v>8</v>
      </c>
      <c r="D1165" s="11">
        <v>42205</v>
      </c>
      <c r="E1165" s="7" t="s">
        <v>3289</v>
      </c>
      <c r="F1165" s="4" t="s">
        <v>4776</v>
      </c>
      <c r="G1165" s="12" t="str">
        <f>IF(AND(Tabela1[[#This Row],[Data nascimento]]&gt;=$J$2,Tabela1[[#This Row],[Data nascimento]]&lt;=$I$2),"INFANTIL A",H1165)</f>
        <v>INFANTIL A</v>
      </c>
      <c r="H1165" s="3" t="str">
        <f>IF(AND(Tabela1[[#This Row],[Data nascimento]]&gt;=$L$2,Tabela1[[#This Row],[Data nascimento]]&lt;=$K$2),"INFANTIL B",I1165)</f>
        <v>JÚNIOR</v>
      </c>
      <c r="I1165" s="9" t="str">
        <f>IF(AND(Tabela1[[#This Row],[Data nascimento]]&gt;=$N$2,Tabela1[[#This Row],[Data nascimento]]&lt;=$M$2),"INICIADO",J1165)</f>
        <v>JÚNIOR</v>
      </c>
      <c r="J1165" s="9" t="str">
        <f>IF(AND(Tabela1[[#This Row],[Data nascimento]]&gt;=$P$2,Tabela1[[#This Row],[Data nascimento]]&lt;=$O$2),"JUVENIL","JÚNIOR")</f>
        <v>JÚNIOR</v>
      </c>
    </row>
    <row r="1166" spans="1:10" ht="15" x14ac:dyDescent="0.4">
      <c r="A1166" s="13" t="s">
        <v>3290</v>
      </c>
      <c r="B1166" s="2" t="s">
        <v>3291</v>
      </c>
      <c r="C1166" s="4" t="s">
        <v>8</v>
      </c>
      <c r="D1166" s="11">
        <v>41990</v>
      </c>
      <c r="E1166" s="7" t="s">
        <v>3292</v>
      </c>
      <c r="F1166" s="4" t="s">
        <v>4775</v>
      </c>
      <c r="G1166" s="12" t="str">
        <f>IF(AND(Tabela1[[#This Row],[Data nascimento]]&gt;=$J$2,Tabela1[[#This Row],[Data nascimento]]&lt;=$I$2),"INFANTIL A",H1166)</f>
        <v>INFANTIL B</v>
      </c>
      <c r="H1166" s="3" t="str">
        <f>IF(AND(Tabela1[[#This Row],[Data nascimento]]&gt;=$L$2,Tabela1[[#This Row],[Data nascimento]]&lt;=$K$2),"INFANTIL B",I1166)</f>
        <v>INFANTIL B</v>
      </c>
      <c r="I1166" s="9" t="str">
        <f>IF(AND(Tabela1[[#This Row],[Data nascimento]]&gt;=$N$2,Tabela1[[#This Row],[Data nascimento]]&lt;=$M$2),"INICIADO",J1166)</f>
        <v>JÚNIOR</v>
      </c>
      <c r="J1166" s="9" t="str">
        <f>IF(AND(Tabela1[[#This Row],[Data nascimento]]&gt;=$P$2,Tabela1[[#This Row],[Data nascimento]]&lt;=$O$2),"JUVENIL","JÚNIOR")</f>
        <v>JÚNIOR</v>
      </c>
    </row>
    <row r="1167" spans="1:10" ht="15" x14ac:dyDescent="0.4">
      <c r="A1167" s="13" t="s">
        <v>3293</v>
      </c>
      <c r="B1167" s="2" t="s">
        <v>3294</v>
      </c>
      <c r="C1167" s="4" t="s">
        <v>8</v>
      </c>
      <c r="D1167" s="11">
        <v>42129</v>
      </c>
      <c r="E1167" s="7" t="s">
        <v>3295</v>
      </c>
      <c r="F1167" s="4" t="s">
        <v>4777</v>
      </c>
      <c r="G1167" s="12" t="str">
        <f>IF(AND(Tabela1[[#This Row],[Data nascimento]]&gt;=$J$2,Tabela1[[#This Row],[Data nascimento]]&lt;=$I$2),"INFANTIL A",H1167)</f>
        <v>INFANTIL A</v>
      </c>
      <c r="H1167" s="3" t="str">
        <f>IF(AND(Tabela1[[#This Row],[Data nascimento]]&gt;=$L$2,Tabela1[[#This Row],[Data nascimento]]&lt;=$K$2),"INFANTIL B",I1167)</f>
        <v>JÚNIOR</v>
      </c>
      <c r="I1167" s="9" t="str">
        <f>IF(AND(Tabela1[[#This Row],[Data nascimento]]&gt;=$N$2,Tabela1[[#This Row],[Data nascimento]]&lt;=$M$2),"INICIADO",J1167)</f>
        <v>JÚNIOR</v>
      </c>
      <c r="J1167" s="9" t="str">
        <f>IF(AND(Tabela1[[#This Row],[Data nascimento]]&gt;=$P$2,Tabela1[[#This Row],[Data nascimento]]&lt;=$O$2),"JUVENIL","JÚNIOR")</f>
        <v>JÚNIOR</v>
      </c>
    </row>
    <row r="1168" spans="1:10" ht="15" x14ac:dyDescent="0.4">
      <c r="A1168" s="13" t="s">
        <v>3296</v>
      </c>
      <c r="B1168" s="2" t="s">
        <v>3297</v>
      </c>
      <c r="C1168" s="4" t="s">
        <v>21</v>
      </c>
      <c r="D1168" s="11">
        <v>42014</v>
      </c>
      <c r="E1168" s="7" t="s">
        <v>3298</v>
      </c>
      <c r="F1168" s="4" t="s">
        <v>4777</v>
      </c>
      <c r="G1168" s="12" t="str">
        <f>IF(AND(Tabela1[[#This Row],[Data nascimento]]&gt;=$J$2,Tabela1[[#This Row],[Data nascimento]]&lt;=$I$2),"INFANTIL A",H1168)</f>
        <v>INFANTIL A</v>
      </c>
      <c r="H1168" s="3" t="str">
        <f>IF(AND(Tabela1[[#This Row],[Data nascimento]]&gt;=$L$2,Tabela1[[#This Row],[Data nascimento]]&lt;=$K$2),"INFANTIL B",I1168)</f>
        <v>JÚNIOR</v>
      </c>
      <c r="I1168" s="9" t="str">
        <f>IF(AND(Tabela1[[#This Row],[Data nascimento]]&gt;=$N$2,Tabela1[[#This Row],[Data nascimento]]&lt;=$M$2),"INICIADO",J1168)</f>
        <v>JÚNIOR</v>
      </c>
      <c r="J1168" s="9" t="str">
        <f>IF(AND(Tabela1[[#This Row],[Data nascimento]]&gt;=$P$2,Tabela1[[#This Row],[Data nascimento]]&lt;=$O$2),"JUVENIL","JÚNIOR")</f>
        <v>JÚNIOR</v>
      </c>
    </row>
    <row r="1169" spans="1:10" ht="15" x14ac:dyDescent="0.4">
      <c r="A1169" s="13" t="s">
        <v>3299</v>
      </c>
      <c r="B1169" s="2" t="s">
        <v>3300</v>
      </c>
      <c r="C1169" s="4" t="s">
        <v>21</v>
      </c>
      <c r="D1169" s="11">
        <v>42114</v>
      </c>
      <c r="E1169" s="7" t="s">
        <v>3301</v>
      </c>
      <c r="F1169" s="4" t="s">
        <v>4776</v>
      </c>
      <c r="G1169" s="12" t="str">
        <f>IF(AND(Tabela1[[#This Row],[Data nascimento]]&gt;=$J$2,Tabela1[[#This Row],[Data nascimento]]&lt;=$I$2),"INFANTIL A",H1169)</f>
        <v>INFANTIL A</v>
      </c>
      <c r="H1169" s="3" t="str">
        <f>IF(AND(Tabela1[[#This Row],[Data nascimento]]&gt;=$L$2,Tabela1[[#This Row],[Data nascimento]]&lt;=$K$2),"INFANTIL B",I1169)</f>
        <v>JÚNIOR</v>
      </c>
      <c r="I1169" s="9" t="str">
        <f>IF(AND(Tabela1[[#This Row],[Data nascimento]]&gt;=$N$2,Tabela1[[#This Row],[Data nascimento]]&lt;=$M$2),"INICIADO",J1169)</f>
        <v>JÚNIOR</v>
      </c>
      <c r="J1169" s="9" t="str">
        <f>IF(AND(Tabela1[[#This Row],[Data nascimento]]&gt;=$P$2,Tabela1[[#This Row],[Data nascimento]]&lt;=$O$2),"JUVENIL","JÚNIOR")</f>
        <v>JÚNIOR</v>
      </c>
    </row>
    <row r="1170" spans="1:10" ht="15" x14ac:dyDescent="0.4">
      <c r="A1170" s="13" t="s">
        <v>3302</v>
      </c>
      <c r="B1170" s="2" t="s">
        <v>3303</v>
      </c>
      <c r="C1170" s="4" t="s">
        <v>8</v>
      </c>
      <c r="D1170" s="11">
        <v>42205</v>
      </c>
      <c r="E1170" s="7" t="s">
        <v>3304</v>
      </c>
      <c r="F1170" s="4" t="s">
        <v>4777</v>
      </c>
      <c r="G1170" s="12" t="str">
        <f>IF(AND(Tabela1[[#This Row],[Data nascimento]]&gt;=$J$2,Tabela1[[#This Row],[Data nascimento]]&lt;=$I$2),"INFANTIL A",H1170)</f>
        <v>INFANTIL A</v>
      </c>
      <c r="H1170" s="3" t="str">
        <f>IF(AND(Tabela1[[#This Row],[Data nascimento]]&gt;=$L$2,Tabela1[[#This Row],[Data nascimento]]&lt;=$K$2),"INFANTIL B",I1170)</f>
        <v>JÚNIOR</v>
      </c>
      <c r="I1170" s="9" t="str">
        <f>IF(AND(Tabela1[[#This Row],[Data nascimento]]&gt;=$N$2,Tabela1[[#This Row],[Data nascimento]]&lt;=$M$2),"INICIADO",J1170)</f>
        <v>JÚNIOR</v>
      </c>
      <c r="J1170" s="9" t="str">
        <f>IF(AND(Tabela1[[#This Row],[Data nascimento]]&gt;=$P$2,Tabela1[[#This Row],[Data nascimento]]&lt;=$O$2),"JUVENIL","JÚNIOR")</f>
        <v>JÚNIOR</v>
      </c>
    </row>
    <row r="1171" spans="1:10" ht="15" x14ac:dyDescent="0.4">
      <c r="A1171" s="13" t="s">
        <v>3305</v>
      </c>
      <c r="B1171" s="2" t="s">
        <v>3306</v>
      </c>
      <c r="C1171" s="4" t="s">
        <v>8</v>
      </c>
      <c r="D1171" s="11">
        <v>42617</v>
      </c>
      <c r="E1171" s="7" t="s">
        <v>3307</v>
      </c>
      <c r="F1171" s="4" t="s">
        <v>4778</v>
      </c>
      <c r="G1171" s="12" t="str">
        <f>IF(AND(Tabela1[[#This Row],[Data nascimento]]&gt;=$J$2,Tabela1[[#This Row],[Data nascimento]]&lt;=$I$2),"INFANTIL A",H1171)</f>
        <v>INFANTIL A</v>
      </c>
      <c r="H1171" s="3" t="str">
        <f>IF(AND(Tabela1[[#This Row],[Data nascimento]]&gt;=$L$2,Tabela1[[#This Row],[Data nascimento]]&lt;=$K$2),"INFANTIL B",I1171)</f>
        <v>JÚNIOR</v>
      </c>
      <c r="I1171" s="9" t="str">
        <f>IF(AND(Tabela1[[#This Row],[Data nascimento]]&gt;=$N$2,Tabela1[[#This Row],[Data nascimento]]&lt;=$M$2),"INICIADO",J1171)</f>
        <v>JÚNIOR</v>
      </c>
      <c r="J1171" s="9" t="str">
        <f>IF(AND(Tabela1[[#This Row],[Data nascimento]]&gt;=$P$2,Tabela1[[#This Row],[Data nascimento]]&lt;=$O$2),"JUVENIL","JÚNIOR")</f>
        <v>JÚNIOR</v>
      </c>
    </row>
    <row r="1172" spans="1:10" ht="15" x14ac:dyDescent="0.4">
      <c r="A1172" s="13" t="s">
        <v>3308</v>
      </c>
      <c r="B1172" s="2" t="s">
        <v>3309</v>
      </c>
      <c r="C1172" s="4" t="s">
        <v>21</v>
      </c>
      <c r="D1172" s="11">
        <v>42343</v>
      </c>
      <c r="E1172" s="7" t="s">
        <v>3310</v>
      </c>
      <c r="F1172" s="4" t="s">
        <v>4778</v>
      </c>
      <c r="G1172" s="12" t="str">
        <f>IF(AND(Tabela1[[#This Row],[Data nascimento]]&gt;=$J$2,Tabela1[[#This Row],[Data nascimento]]&lt;=$I$2),"INFANTIL A",H1172)</f>
        <v>INFANTIL A</v>
      </c>
      <c r="H1172" s="3" t="str">
        <f>IF(AND(Tabela1[[#This Row],[Data nascimento]]&gt;=$L$2,Tabela1[[#This Row],[Data nascimento]]&lt;=$K$2),"INFANTIL B",I1172)</f>
        <v>JÚNIOR</v>
      </c>
      <c r="I1172" s="9" t="str">
        <f>IF(AND(Tabela1[[#This Row],[Data nascimento]]&gt;=$N$2,Tabela1[[#This Row],[Data nascimento]]&lt;=$M$2),"INICIADO",J1172)</f>
        <v>JÚNIOR</v>
      </c>
      <c r="J1172" s="9" t="str">
        <f>IF(AND(Tabela1[[#This Row],[Data nascimento]]&gt;=$P$2,Tabela1[[#This Row],[Data nascimento]]&lt;=$O$2),"JUVENIL","JÚNIOR")</f>
        <v>JÚNIOR</v>
      </c>
    </row>
    <row r="1173" spans="1:10" ht="15" x14ac:dyDescent="0.4">
      <c r="A1173" s="13" t="s">
        <v>3749</v>
      </c>
      <c r="B1173" s="2" t="s">
        <v>3750</v>
      </c>
      <c r="C1173" s="4" t="s">
        <v>8</v>
      </c>
      <c r="D1173" s="11">
        <v>41892</v>
      </c>
      <c r="E1173" s="7" t="s">
        <v>3751</v>
      </c>
      <c r="F1173" s="4" t="s">
        <v>4776</v>
      </c>
      <c r="G1173" s="12" t="str">
        <f>IF(AND(Tabela1[[#This Row],[Data nascimento]]&gt;=$J$2,Tabela1[[#This Row],[Data nascimento]]&lt;=$I$2),"INFANTIL A",H1173)</f>
        <v>INFANTIL B</v>
      </c>
      <c r="H1173" s="3" t="str">
        <f>IF(AND(Tabela1[[#This Row],[Data nascimento]]&gt;=$L$2,Tabela1[[#This Row],[Data nascimento]]&lt;=$K$2),"INFANTIL B",I1173)</f>
        <v>INFANTIL B</v>
      </c>
      <c r="I1173" s="9" t="str">
        <f>IF(AND(Tabela1[[#This Row],[Data nascimento]]&gt;=$N$2,Tabela1[[#This Row],[Data nascimento]]&lt;=$M$2),"INICIADO",J1173)</f>
        <v>JÚNIOR</v>
      </c>
      <c r="J1173" s="9" t="str">
        <f>IF(AND(Tabela1[[#This Row],[Data nascimento]]&gt;=$P$2,Tabela1[[#This Row],[Data nascimento]]&lt;=$O$2),"JUVENIL","JÚNIOR")</f>
        <v>JÚNIOR</v>
      </c>
    </row>
    <row r="1174" spans="1:10" ht="15" x14ac:dyDescent="0.4">
      <c r="A1174" s="13" t="s">
        <v>3752</v>
      </c>
      <c r="B1174" s="2" t="s">
        <v>3753</v>
      </c>
      <c r="C1174" s="4" t="s">
        <v>21</v>
      </c>
      <c r="D1174" s="11">
        <v>41910</v>
      </c>
      <c r="E1174" s="7" t="s">
        <v>3754</v>
      </c>
      <c r="F1174" s="4" t="s">
        <v>4776</v>
      </c>
      <c r="G1174" s="12" t="str">
        <f>IF(AND(Tabela1[[#This Row],[Data nascimento]]&gt;=$J$2,Tabela1[[#This Row],[Data nascimento]]&lt;=$I$2),"INFANTIL A",H1174)</f>
        <v>INFANTIL B</v>
      </c>
      <c r="H1174" s="3" t="str">
        <f>IF(AND(Tabela1[[#This Row],[Data nascimento]]&gt;=$L$2,Tabela1[[#This Row],[Data nascimento]]&lt;=$K$2),"INFANTIL B",I1174)</f>
        <v>INFANTIL B</v>
      </c>
      <c r="I1174" s="9" t="str">
        <f>IF(AND(Tabela1[[#This Row],[Data nascimento]]&gt;=$N$2,Tabela1[[#This Row],[Data nascimento]]&lt;=$M$2),"INICIADO",J1174)</f>
        <v>JÚNIOR</v>
      </c>
      <c r="J1174" s="9" t="str">
        <f>IF(AND(Tabela1[[#This Row],[Data nascimento]]&gt;=$P$2,Tabela1[[#This Row],[Data nascimento]]&lt;=$O$2),"JUVENIL","JÚNIOR")</f>
        <v>JÚNIOR</v>
      </c>
    </row>
    <row r="1175" spans="1:10" ht="15" x14ac:dyDescent="0.4">
      <c r="A1175" s="13" t="s">
        <v>3794</v>
      </c>
      <c r="B1175" s="2" t="s">
        <v>3795</v>
      </c>
      <c r="C1175" s="4" t="s">
        <v>8</v>
      </c>
      <c r="D1175" s="11">
        <v>42025</v>
      </c>
      <c r="E1175" s="7" t="s">
        <v>3796</v>
      </c>
      <c r="F1175" s="4" t="s">
        <v>4776</v>
      </c>
      <c r="G1175" s="12" t="str">
        <f>IF(AND(Tabela1[[#This Row],[Data nascimento]]&gt;=$J$2,Tabela1[[#This Row],[Data nascimento]]&lt;=$I$2),"INFANTIL A",H1175)</f>
        <v>INFANTIL A</v>
      </c>
      <c r="H1175" s="3" t="str">
        <f>IF(AND(Tabela1[[#This Row],[Data nascimento]]&gt;=$L$2,Tabela1[[#This Row],[Data nascimento]]&lt;=$K$2),"INFANTIL B",I1175)</f>
        <v>JÚNIOR</v>
      </c>
      <c r="I1175" s="9" t="str">
        <f>IF(AND(Tabela1[[#This Row],[Data nascimento]]&gt;=$N$2,Tabela1[[#This Row],[Data nascimento]]&lt;=$M$2),"INICIADO",J1175)</f>
        <v>JÚNIOR</v>
      </c>
      <c r="J1175" s="9" t="str">
        <f>IF(AND(Tabela1[[#This Row],[Data nascimento]]&gt;=$P$2,Tabela1[[#This Row],[Data nascimento]]&lt;=$O$2),"JUVENIL","JÚNIOR")</f>
        <v>JÚNIOR</v>
      </c>
    </row>
    <row r="1176" spans="1:10" ht="15" x14ac:dyDescent="0.4">
      <c r="A1176" s="13" t="s">
        <v>3797</v>
      </c>
      <c r="B1176" s="2" t="s">
        <v>3798</v>
      </c>
      <c r="C1176" s="4" t="s">
        <v>8</v>
      </c>
      <c r="D1176" s="11">
        <v>42067</v>
      </c>
      <c r="E1176" s="7" t="s">
        <v>3799</v>
      </c>
      <c r="F1176" s="4" t="s">
        <v>4778</v>
      </c>
      <c r="G1176" s="12" t="str">
        <f>IF(AND(Tabela1[[#This Row],[Data nascimento]]&gt;=$J$2,Tabela1[[#This Row],[Data nascimento]]&lt;=$I$2),"INFANTIL A",H1176)</f>
        <v>INFANTIL A</v>
      </c>
      <c r="H1176" s="3" t="str">
        <f>IF(AND(Tabela1[[#This Row],[Data nascimento]]&gt;=$L$2,Tabela1[[#This Row],[Data nascimento]]&lt;=$K$2),"INFANTIL B",I1176)</f>
        <v>JÚNIOR</v>
      </c>
      <c r="I1176" s="9" t="str">
        <f>IF(AND(Tabela1[[#This Row],[Data nascimento]]&gt;=$N$2,Tabela1[[#This Row],[Data nascimento]]&lt;=$M$2),"INICIADO",J1176)</f>
        <v>JÚNIOR</v>
      </c>
      <c r="J1176" s="9" t="str">
        <f>IF(AND(Tabela1[[#This Row],[Data nascimento]]&gt;=$P$2,Tabela1[[#This Row],[Data nascimento]]&lt;=$O$2),"JUVENIL","JÚNIOR")</f>
        <v>JÚNIOR</v>
      </c>
    </row>
    <row r="1177" spans="1:10" ht="15" x14ac:dyDescent="0.4">
      <c r="A1177" s="13" t="s">
        <v>3800</v>
      </c>
      <c r="B1177" s="2" t="s">
        <v>3801</v>
      </c>
      <c r="C1177" s="4" t="s">
        <v>21</v>
      </c>
      <c r="D1177" s="11">
        <v>42149</v>
      </c>
      <c r="E1177" s="7" t="s">
        <v>3802</v>
      </c>
      <c r="F1177" s="4" t="s">
        <v>4778</v>
      </c>
      <c r="G1177" s="12" t="str">
        <f>IF(AND(Tabela1[[#This Row],[Data nascimento]]&gt;=$J$2,Tabela1[[#This Row],[Data nascimento]]&lt;=$I$2),"INFANTIL A",H1177)</f>
        <v>INFANTIL A</v>
      </c>
      <c r="H1177" s="3" t="str">
        <f>IF(AND(Tabela1[[#This Row],[Data nascimento]]&gt;=$L$2,Tabela1[[#This Row],[Data nascimento]]&lt;=$K$2),"INFANTIL B",I1177)</f>
        <v>JÚNIOR</v>
      </c>
      <c r="I1177" s="9" t="str">
        <f>IF(AND(Tabela1[[#This Row],[Data nascimento]]&gt;=$N$2,Tabela1[[#This Row],[Data nascimento]]&lt;=$M$2),"INICIADO",J1177)</f>
        <v>JÚNIOR</v>
      </c>
      <c r="J1177" s="9" t="str">
        <f>IF(AND(Tabela1[[#This Row],[Data nascimento]]&gt;=$P$2,Tabela1[[#This Row],[Data nascimento]]&lt;=$O$2),"JUVENIL","JÚNIOR")</f>
        <v>JÚNIOR</v>
      </c>
    </row>
    <row r="1178" spans="1:10" ht="15" x14ac:dyDescent="0.4">
      <c r="A1178" s="13" t="s">
        <v>4298</v>
      </c>
      <c r="B1178" s="2" t="s">
        <v>4299</v>
      </c>
      <c r="C1178" s="4" t="s">
        <v>8</v>
      </c>
      <c r="D1178" s="11">
        <v>42044</v>
      </c>
      <c r="E1178" s="7" t="s">
        <v>4300</v>
      </c>
      <c r="F1178" s="4" t="s">
        <v>4775</v>
      </c>
      <c r="G1178" s="12" t="str">
        <f>IF(AND(Tabela1[[#This Row],[Data nascimento]]&gt;=$J$2,Tabela1[[#This Row],[Data nascimento]]&lt;=$I$2),"INFANTIL A",H1178)</f>
        <v>INFANTIL A</v>
      </c>
      <c r="H1178" s="3" t="str">
        <f>IF(AND(Tabela1[[#This Row],[Data nascimento]]&gt;=$L$2,Tabela1[[#This Row],[Data nascimento]]&lt;=$K$2),"INFANTIL B",I1178)</f>
        <v>JÚNIOR</v>
      </c>
      <c r="I1178" s="9" t="str">
        <f>IF(AND(Tabela1[[#This Row],[Data nascimento]]&gt;=$N$2,Tabela1[[#This Row],[Data nascimento]]&lt;=$M$2),"INICIADO",J1178)</f>
        <v>JÚNIOR</v>
      </c>
      <c r="J1178" s="9" t="str">
        <f>IF(AND(Tabela1[[#This Row],[Data nascimento]]&gt;=$P$2,Tabela1[[#This Row],[Data nascimento]]&lt;=$O$2),"JUVENIL","JÚNIOR")</f>
        <v>JÚNIOR</v>
      </c>
    </row>
    <row r="1179" spans="1:10" ht="15" x14ac:dyDescent="0.4">
      <c r="A1179" s="13" t="s">
        <v>4388</v>
      </c>
      <c r="B1179" s="2" t="s">
        <v>4389</v>
      </c>
      <c r="C1179" s="4" t="s">
        <v>21</v>
      </c>
      <c r="D1179" s="11">
        <v>42334</v>
      </c>
      <c r="E1179" s="7" t="s">
        <v>4390</v>
      </c>
      <c r="F1179" s="4" t="s">
        <v>4778</v>
      </c>
      <c r="G1179" s="12" t="str">
        <f>IF(AND(Tabela1[[#This Row],[Data nascimento]]&gt;=$J$2,Tabela1[[#This Row],[Data nascimento]]&lt;=$I$2),"INFANTIL A",H1179)</f>
        <v>INFANTIL A</v>
      </c>
      <c r="H1179" s="3" t="str">
        <f>IF(AND(Tabela1[[#This Row],[Data nascimento]]&gt;=$L$2,Tabela1[[#This Row],[Data nascimento]]&lt;=$K$2),"INFANTIL B",I1179)</f>
        <v>JÚNIOR</v>
      </c>
      <c r="I1179" s="9" t="str">
        <f>IF(AND(Tabela1[[#This Row],[Data nascimento]]&gt;=$N$2,Tabela1[[#This Row],[Data nascimento]]&lt;=$M$2),"INICIADO",J1179)</f>
        <v>JÚNIOR</v>
      </c>
      <c r="J1179" s="9" t="str">
        <f>IF(AND(Tabela1[[#This Row],[Data nascimento]]&gt;=$P$2,Tabela1[[#This Row],[Data nascimento]]&lt;=$O$2),"JUVENIL","JÚNIOR")</f>
        <v>JÚNIOR</v>
      </c>
    </row>
    <row r="1180" spans="1:10" ht="15" x14ac:dyDescent="0.4">
      <c r="A1180" s="13" t="s">
        <v>4418</v>
      </c>
      <c r="B1180" s="2" t="s">
        <v>4419</v>
      </c>
      <c r="C1180" s="4" t="s">
        <v>8</v>
      </c>
      <c r="D1180" s="11">
        <v>41797</v>
      </c>
      <c r="E1180" s="7" t="s">
        <v>4420</v>
      </c>
      <c r="F1180" s="4" t="s">
        <v>4775</v>
      </c>
      <c r="G1180" s="12" t="str">
        <f>IF(AND(Tabela1[[#This Row],[Data nascimento]]&gt;=$J$2,Tabela1[[#This Row],[Data nascimento]]&lt;=$I$2),"INFANTIL A",H1180)</f>
        <v>INFANTIL B</v>
      </c>
      <c r="H1180" s="3" t="str">
        <f>IF(AND(Tabela1[[#This Row],[Data nascimento]]&gt;=$L$2,Tabela1[[#This Row],[Data nascimento]]&lt;=$K$2),"INFANTIL B",I1180)</f>
        <v>INFANTIL B</v>
      </c>
      <c r="I1180" s="9" t="str">
        <f>IF(AND(Tabela1[[#This Row],[Data nascimento]]&gt;=$N$2,Tabela1[[#This Row],[Data nascimento]]&lt;=$M$2),"INICIADO",J1180)</f>
        <v>JÚNIOR</v>
      </c>
      <c r="J1180" s="9" t="str">
        <f>IF(AND(Tabela1[[#This Row],[Data nascimento]]&gt;=$P$2,Tabela1[[#This Row],[Data nascimento]]&lt;=$O$2),"JUVENIL","JÚNIOR")</f>
        <v>JÚNIOR</v>
      </c>
    </row>
    <row r="1181" spans="1:10" ht="15" x14ac:dyDescent="0.4">
      <c r="A1181" s="13" t="s">
        <v>4421</v>
      </c>
      <c r="B1181" s="2" t="s">
        <v>4422</v>
      </c>
      <c r="C1181" s="4" t="s">
        <v>8</v>
      </c>
      <c r="D1181" s="11">
        <v>42089</v>
      </c>
      <c r="E1181" s="7" t="s">
        <v>4423</v>
      </c>
      <c r="F1181" s="4" t="s">
        <v>4775</v>
      </c>
      <c r="G1181" s="12" t="str">
        <f>IF(AND(Tabela1[[#This Row],[Data nascimento]]&gt;=$J$2,Tabela1[[#This Row],[Data nascimento]]&lt;=$I$2),"INFANTIL A",H1181)</f>
        <v>INFANTIL A</v>
      </c>
      <c r="H1181" s="3" t="str">
        <f>IF(AND(Tabela1[[#This Row],[Data nascimento]]&gt;=$L$2,Tabela1[[#This Row],[Data nascimento]]&lt;=$K$2),"INFANTIL B",I1181)</f>
        <v>JÚNIOR</v>
      </c>
      <c r="I1181" s="9" t="str">
        <f>IF(AND(Tabela1[[#This Row],[Data nascimento]]&gt;=$N$2,Tabela1[[#This Row],[Data nascimento]]&lt;=$M$2),"INICIADO",J1181)</f>
        <v>JÚNIOR</v>
      </c>
      <c r="J1181" s="9" t="str">
        <f>IF(AND(Tabela1[[#This Row],[Data nascimento]]&gt;=$P$2,Tabela1[[#This Row],[Data nascimento]]&lt;=$O$2),"JUVENIL","JÚNIOR")</f>
        <v>JÚNIOR</v>
      </c>
    </row>
    <row r="1182" spans="1:10" ht="15" x14ac:dyDescent="0.4">
      <c r="A1182" s="13" t="s">
        <v>4424</v>
      </c>
      <c r="B1182" s="2" t="s">
        <v>4425</v>
      </c>
      <c r="C1182" s="4" t="s">
        <v>21</v>
      </c>
      <c r="D1182" s="11">
        <v>42285</v>
      </c>
      <c r="E1182" s="7" t="s">
        <v>4426</v>
      </c>
      <c r="F1182" s="4" t="s">
        <v>4778</v>
      </c>
      <c r="G1182" s="12" t="str">
        <f>IF(AND(Tabela1[[#This Row],[Data nascimento]]&gt;=$J$2,Tabela1[[#This Row],[Data nascimento]]&lt;=$I$2),"INFANTIL A",H1182)</f>
        <v>INFANTIL A</v>
      </c>
      <c r="H1182" s="3" t="str">
        <f>IF(AND(Tabela1[[#This Row],[Data nascimento]]&gt;=$L$2,Tabela1[[#This Row],[Data nascimento]]&lt;=$K$2),"INFANTIL B",I1182)</f>
        <v>JÚNIOR</v>
      </c>
      <c r="I1182" s="9" t="str">
        <f>IF(AND(Tabela1[[#This Row],[Data nascimento]]&gt;=$N$2,Tabela1[[#This Row],[Data nascimento]]&lt;=$M$2),"INICIADO",J1182)</f>
        <v>JÚNIOR</v>
      </c>
      <c r="J1182" s="9" t="str">
        <f>IF(AND(Tabela1[[#This Row],[Data nascimento]]&gt;=$P$2,Tabela1[[#This Row],[Data nascimento]]&lt;=$O$2),"JUVENIL","JÚNIOR")</f>
        <v>JÚNIOR</v>
      </c>
    </row>
    <row r="1183" spans="1:10" ht="15" x14ac:dyDescent="0.4">
      <c r="A1183" s="13" t="s">
        <v>4457</v>
      </c>
      <c r="B1183" s="2" t="s">
        <v>4458</v>
      </c>
      <c r="C1183" s="4" t="s">
        <v>21</v>
      </c>
      <c r="D1183" s="11">
        <v>42045</v>
      </c>
      <c r="E1183" s="7" t="s">
        <v>4459</v>
      </c>
      <c r="F1183" s="4" t="s">
        <v>4778</v>
      </c>
      <c r="G1183" s="12" t="str">
        <f>IF(AND(Tabela1[[#This Row],[Data nascimento]]&gt;=$J$2,Tabela1[[#This Row],[Data nascimento]]&lt;=$I$2),"INFANTIL A",H1183)</f>
        <v>INFANTIL A</v>
      </c>
      <c r="H1183" s="3" t="str">
        <f>IF(AND(Tabela1[[#This Row],[Data nascimento]]&gt;=$L$2,Tabela1[[#This Row],[Data nascimento]]&lt;=$K$2),"INFANTIL B",I1183)</f>
        <v>JÚNIOR</v>
      </c>
      <c r="I1183" s="9" t="str">
        <f>IF(AND(Tabela1[[#This Row],[Data nascimento]]&gt;=$N$2,Tabela1[[#This Row],[Data nascimento]]&lt;=$M$2),"INICIADO",J1183)</f>
        <v>JÚNIOR</v>
      </c>
      <c r="J1183" s="9" t="str">
        <f>IF(AND(Tabela1[[#This Row],[Data nascimento]]&gt;=$P$2,Tabela1[[#This Row],[Data nascimento]]&lt;=$O$2),"JUVENIL","JÚNIOR")</f>
        <v>JÚNIOR</v>
      </c>
    </row>
    <row r="1184" spans="1:10" ht="15" x14ac:dyDescent="0.4">
      <c r="A1184" s="13" t="s">
        <v>4460</v>
      </c>
      <c r="B1184" s="2" t="s">
        <v>4461</v>
      </c>
      <c r="C1184" s="4" t="s">
        <v>21</v>
      </c>
      <c r="D1184" s="11">
        <v>41995</v>
      </c>
      <c r="E1184" s="7" t="s">
        <v>4462</v>
      </c>
      <c r="F1184" s="4" t="s">
        <v>4778</v>
      </c>
      <c r="G1184" s="12" t="str">
        <f>IF(AND(Tabela1[[#This Row],[Data nascimento]]&gt;=$J$2,Tabela1[[#This Row],[Data nascimento]]&lt;=$I$2),"INFANTIL A",H1184)</f>
        <v>INFANTIL B</v>
      </c>
      <c r="H1184" s="3" t="str">
        <f>IF(AND(Tabela1[[#This Row],[Data nascimento]]&gt;=$L$2,Tabela1[[#This Row],[Data nascimento]]&lt;=$K$2),"INFANTIL B",I1184)</f>
        <v>INFANTIL B</v>
      </c>
      <c r="I1184" s="9" t="str">
        <f>IF(AND(Tabela1[[#This Row],[Data nascimento]]&gt;=$N$2,Tabela1[[#This Row],[Data nascimento]]&lt;=$M$2),"INICIADO",J1184)</f>
        <v>JÚNIOR</v>
      </c>
      <c r="J1184" s="9" t="str">
        <f>IF(AND(Tabela1[[#This Row],[Data nascimento]]&gt;=$P$2,Tabela1[[#This Row],[Data nascimento]]&lt;=$O$2),"JUVENIL","JÚNIOR")</f>
        <v>JÚNIOR</v>
      </c>
    </row>
    <row r="1185" spans="1:10" ht="15" x14ac:dyDescent="0.4">
      <c r="A1185" s="13" t="s">
        <v>4463</v>
      </c>
      <c r="B1185" s="2" t="s">
        <v>4464</v>
      </c>
      <c r="C1185" s="4" t="s">
        <v>8</v>
      </c>
      <c r="D1185" s="11">
        <v>41916</v>
      </c>
      <c r="E1185" s="7" t="s">
        <v>4465</v>
      </c>
      <c r="F1185" s="4" t="s">
        <v>4778</v>
      </c>
      <c r="G1185" s="12" t="str">
        <f>IF(AND(Tabela1[[#This Row],[Data nascimento]]&gt;=$J$2,Tabela1[[#This Row],[Data nascimento]]&lt;=$I$2),"INFANTIL A",H1185)</f>
        <v>INFANTIL B</v>
      </c>
      <c r="H1185" s="3" t="str">
        <f>IF(AND(Tabela1[[#This Row],[Data nascimento]]&gt;=$L$2,Tabela1[[#This Row],[Data nascimento]]&lt;=$K$2),"INFANTIL B",I1185)</f>
        <v>INFANTIL B</v>
      </c>
      <c r="I1185" s="9" t="str">
        <f>IF(AND(Tabela1[[#This Row],[Data nascimento]]&gt;=$N$2,Tabela1[[#This Row],[Data nascimento]]&lt;=$M$2),"INICIADO",J1185)</f>
        <v>JÚNIOR</v>
      </c>
      <c r="J1185" s="9" t="str">
        <f>IF(AND(Tabela1[[#This Row],[Data nascimento]]&gt;=$P$2,Tabela1[[#This Row],[Data nascimento]]&lt;=$O$2),"JUVENIL","JÚNIOR")</f>
        <v>JÚNIOR</v>
      </c>
    </row>
    <row r="1186" spans="1:10" ht="15" x14ac:dyDescent="0.4">
      <c r="A1186" s="13" t="s">
        <v>4466</v>
      </c>
      <c r="B1186" s="2" t="s">
        <v>4467</v>
      </c>
      <c r="C1186" s="4" t="s">
        <v>8</v>
      </c>
      <c r="D1186" s="11">
        <v>42332</v>
      </c>
      <c r="E1186" s="7" t="s">
        <v>4468</v>
      </c>
      <c r="F1186" s="4" t="s">
        <v>4778</v>
      </c>
      <c r="G1186" s="12" t="str">
        <f>IF(AND(Tabela1[[#This Row],[Data nascimento]]&gt;=$J$2,Tabela1[[#This Row],[Data nascimento]]&lt;=$I$2),"INFANTIL A",H1186)</f>
        <v>INFANTIL A</v>
      </c>
      <c r="H1186" s="3" t="str">
        <f>IF(AND(Tabela1[[#This Row],[Data nascimento]]&gt;=$L$2,Tabela1[[#This Row],[Data nascimento]]&lt;=$K$2),"INFANTIL B",I1186)</f>
        <v>JÚNIOR</v>
      </c>
      <c r="I1186" s="9" t="str">
        <f>IF(AND(Tabela1[[#This Row],[Data nascimento]]&gt;=$N$2,Tabela1[[#This Row],[Data nascimento]]&lt;=$M$2),"INICIADO",J1186)</f>
        <v>JÚNIOR</v>
      </c>
      <c r="J1186" s="9" t="str">
        <f>IF(AND(Tabela1[[#This Row],[Data nascimento]]&gt;=$P$2,Tabela1[[#This Row],[Data nascimento]]&lt;=$O$2),"JUVENIL","JÚNIOR")</f>
        <v>JÚNIOR</v>
      </c>
    </row>
    <row r="1187" spans="1:10" ht="15" x14ac:dyDescent="0.4">
      <c r="A1187" s="13" t="s">
        <v>4469</v>
      </c>
      <c r="B1187" s="2" t="s">
        <v>4470</v>
      </c>
      <c r="C1187" s="4" t="s">
        <v>8</v>
      </c>
      <c r="D1187" s="11">
        <v>42294</v>
      </c>
      <c r="E1187" s="7" t="s">
        <v>4471</v>
      </c>
      <c r="F1187" s="4" t="s">
        <v>4778</v>
      </c>
      <c r="G1187" s="12" t="str">
        <f>IF(AND(Tabela1[[#This Row],[Data nascimento]]&gt;=$J$2,Tabela1[[#This Row],[Data nascimento]]&lt;=$I$2),"INFANTIL A",H1187)</f>
        <v>INFANTIL A</v>
      </c>
      <c r="H1187" s="3" t="str">
        <f>IF(AND(Tabela1[[#This Row],[Data nascimento]]&gt;=$L$2,Tabela1[[#This Row],[Data nascimento]]&lt;=$K$2),"INFANTIL B",I1187)</f>
        <v>JÚNIOR</v>
      </c>
      <c r="I1187" s="9" t="str">
        <f>IF(AND(Tabela1[[#This Row],[Data nascimento]]&gt;=$N$2,Tabela1[[#This Row],[Data nascimento]]&lt;=$M$2),"INICIADO",J1187)</f>
        <v>JÚNIOR</v>
      </c>
      <c r="J1187" s="9" t="str">
        <f>IF(AND(Tabela1[[#This Row],[Data nascimento]]&gt;=$P$2,Tabela1[[#This Row],[Data nascimento]]&lt;=$O$2),"JUVENIL","JÚNIOR")</f>
        <v>JÚNIOR</v>
      </c>
    </row>
    <row r="1188" spans="1:10" ht="15" x14ac:dyDescent="0.4">
      <c r="A1188" s="13" t="s">
        <v>4472</v>
      </c>
      <c r="B1188" s="2" t="s">
        <v>4473</v>
      </c>
      <c r="C1188" s="4" t="s">
        <v>8</v>
      </c>
      <c r="D1188" s="11">
        <v>42253</v>
      </c>
      <c r="E1188" s="7" t="s">
        <v>4474</v>
      </c>
      <c r="F1188" s="4" t="s">
        <v>4775</v>
      </c>
      <c r="G1188" s="12" t="str">
        <f>IF(AND(Tabela1[[#This Row],[Data nascimento]]&gt;=$J$2,Tabela1[[#This Row],[Data nascimento]]&lt;=$I$2),"INFANTIL A",H1188)</f>
        <v>INFANTIL A</v>
      </c>
      <c r="H1188" s="3" t="str">
        <f>IF(AND(Tabela1[[#This Row],[Data nascimento]]&gt;=$L$2,Tabela1[[#This Row],[Data nascimento]]&lt;=$K$2),"INFANTIL B",I1188)</f>
        <v>JÚNIOR</v>
      </c>
      <c r="I1188" s="9" t="str">
        <f>IF(AND(Tabela1[[#This Row],[Data nascimento]]&gt;=$N$2,Tabela1[[#This Row],[Data nascimento]]&lt;=$M$2),"INICIADO",J1188)</f>
        <v>JÚNIOR</v>
      </c>
      <c r="J1188" s="9" t="str">
        <f>IF(AND(Tabela1[[#This Row],[Data nascimento]]&gt;=$P$2,Tabela1[[#This Row],[Data nascimento]]&lt;=$O$2),"JUVENIL","JÚNIOR")</f>
        <v>JÚNIOR</v>
      </c>
    </row>
    <row r="1189" spans="1:10" ht="15" x14ac:dyDescent="0.4">
      <c r="A1189" s="13" t="s">
        <v>4475</v>
      </c>
      <c r="B1189" s="2" t="s">
        <v>4476</v>
      </c>
      <c r="C1189" s="4" t="s">
        <v>8</v>
      </c>
      <c r="D1189" s="11">
        <v>42351</v>
      </c>
      <c r="E1189" s="7" t="s">
        <v>4477</v>
      </c>
      <c r="F1189" s="4" t="s">
        <v>4775</v>
      </c>
      <c r="G1189" s="12" t="str">
        <f>IF(AND(Tabela1[[#This Row],[Data nascimento]]&gt;=$J$2,Tabela1[[#This Row],[Data nascimento]]&lt;=$I$2),"INFANTIL A",H1189)</f>
        <v>INFANTIL A</v>
      </c>
      <c r="H1189" s="3" t="str">
        <f>IF(AND(Tabela1[[#This Row],[Data nascimento]]&gt;=$L$2,Tabela1[[#This Row],[Data nascimento]]&lt;=$K$2),"INFANTIL B",I1189)</f>
        <v>JÚNIOR</v>
      </c>
      <c r="I1189" s="9" t="str">
        <f>IF(AND(Tabela1[[#This Row],[Data nascimento]]&gt;=$N$2,Tabela1[[#This Row],[Data nascimento]]&lt;=$M$2),"INICIADO",J1189)</f>
        <v>JÚNIOR</v>
      </c>
      <c r="J1189" s="9" t="str">
        <f>IF(AND(Tabela1[[#This Row],[Data nascimento]]&gt;=$P$2,Tabela1[[#This Row],[Data nascimento]]&lt;=$O$2),"JUVENIL","JÚNIOR")</f>
        <v>JÚNIOR</v>
      </c>
    </row>
    <row r="1190" spans="1:10" ht="15" x14ac:dyDescent="0.4">
      <c r="A1190" s="13" t="s">
        <v>4478</v>
      </c>
      <c r="B1190" s="2" t="s">
        <v>4479</v>
      </c>
      <c r="C1190" s="4" t="s">
        <v>21</v>
      </c>
      <c r="D1190" s="11">
        <v>42264</v>
      </c>
      <c r="E1190" s="7" t="s">
        <v>4480</v>
      </c>
      <c r="F1190" s="4" t="s">
        <v>4775</v>
      </c>
      <c r="G1190" s="12" t="str">
        <f>IF(AND(Tabela1[[#This Row],[Data nascimento]]&gt;=$J$2,Tabela1[[#This Row],[Data nascimento]]&lt;=$I$2),"INFANTIL A",H1190)</f>
        <v>INFANTIL A</v>
      </c>
      <c r="H1190" s="3" t="str">
        <f>IF(AND(Tabela1[[#This Row],[Data nascimento]]&gt;=$L$2,Tabela1[[#This Row],[Data nascimento]]&lt;=$K$2),"INFANTIL B",I1190)</f>
        <v>JÚNIOR</v>
      </c>
      <c r="I1190" s="9" t="str">
        <f>IF(AND(Tabela1[[#This Row],[Data nascimento]]&gt;=$N$2,Tabela1[[#This Row],[Data nascimento]]&lt;=$M$2),"INICIADO",J1190)</f>
        <v>JÚNIOR</v>
      </c>
      <c r="J1190" s="9" t="str">
        <f>IF(AND(Tabela1[[#This Row],[Data nascimento]]&gt;=$P$2,Tabela1[[#This Row],[Data nascimento]]&lt;=$O$2),"JUVENIL","JÚNIOR")</f>
        <v>JÚNIOR</v>
      </c>
    </row>
    <row r="1191" spans="1:10" ht="15" x14ac:dyDescent="0.4">
      <c r="A1191" s="13" t="s">
        <v>4481</v>
      </c>
      <c r="B1191" s="2" t="s">
        <v>4482</v>
      </c>
      <c r="C1191" s="4" t="s">
        <v>8</v>
      </c>
      <c r="D1191" s="11">
        <v>42240</v>
      </c>
      <c r="E1191" s="7" t="s">
        <v>4483</v>
      </c>
      <c r="F1191" s="4" t="s">
        <v>4775</v>
      </c>
      <c r="G1191" s="12" t="str">
        <f>IF(AND(Tabela1[[#This Row],[Data nascimento]]&gt;=$J$2,Tabela1[[#This Row],[Data nascimento]]&lt;=$I$2),"INFANTIL A",H1191)</f>
        <v>INFANTIL A</v>
      </c>
      <c r="H1191" s="3" t="str">
        <f>IF(AND(Tabela1[[#This Row],[Data nascimento]]&gt;=$L$2,Tabela1[[#This Row],[Data nascimento]]&lt;=$K$2),"INFANTIL B",I1191)</f>
        <v>JÚNIOR</v>
      </c>
      <c r="I1191" s="9" t="str">
        <f>IF(AND(Tabela1[[#This Row],[Data nascimento]]&gt;=$N$2,Tabela1[[#This Row],[Data nascimento]]&lt;=$M$2),"INICIADO",J1191)</f>
        <v>JÚNIOR</v>
      </c>
      <c r="J1191" s="9" t="str">
        <f>IF(AND(Tabela1[[#This Row],[Data nascimento]]&gt;=$P$2,Tabela1[[#This Row],[Data nascimento]]&lt;=$O$2),"JUVENIL","JÚNIOR")</f>
        <v>JÚNIOR</v>
      </c>
    </row>
    <row r="1192" spans="1:10" ht="15" x14ac:dyDescent="0.4">
      <c r="A1192" s="13" t="s">
        <v>4484</v>
      </c>
      <c r="B1192" s="2" t="s">
        <v>4485</v>
      </c>
      <c r="C1192" s="4" t="s">
        <v>8</v>
      </c>
      <c r="D1192" s="11">
        <v>41584</v>
      </c>
      <c r="E1192" s="7" t="s">
        <v>4486</v>
      </c>
      <c r="F1192" s="4" t="s">
        <v>4775</v>
      </c>
      <c r="G1192" s="12" t="str">
        <f>IF(AND(Tabela1[[#This Row],[Data nascimento]]&gt;=$J$2,Tabela1[[#This Row],[Data nascimento]]&lt;=$I$2),"INFANTIL A",H1192)</f>
        <v>INFANTIL B</v>
      </c>
      <c r="H1192" s="3" t="str">
        <f>IF(AND(Tabela1[[#This Row],[Data nascimento]]&gt;=$L$2,Tabela1[[#This Row],[Data nascimento]]&lt;=$K$2),"INFANTIL B",I1192)</f>
        <v>INFANTIL B</v>
      </c>
      <c r="I1192" s="9" t="str">
        <f>IF(AND(Tabela1[[#This Row],[Data nascimento]]&gt;=$N$2,Tabela1[[#This Row],[Data nascimento]]&lt;=$M$2),"INICIADO",J1192)</f>
        <v>JÚNIOR</v>
      </c>
      <c r="J1192" s="9" t="str">
        <f>IF(AND(Tabela1[[#This Row],[Data nascimento]]&gt;=$P$2,Tabela1[[#This Row],[Data nascimento]]&lt;=$O$2),"JUVENIL","JÚNIOR")</f>
        <v>JÚNIOR</v>
      </c>
    </row>
    <row r="1193" spans="1:10" ht="15" x14ac:dyDescent="0.4">
      <c r="A1193" s="13" t="s">
        <v>4487</v>
      </c>
      <c r="B1193" s="2" t="s">
        <v>4488</v>
      </c>
      <c r="C1193" s="4" t="s">
        <v>21</v>
      </c>
      <c r="D1193" s="11">
        <v>42250</v>
      </c>
      <c r="E1193" s="7" t="s">
        <v>4489</v>
      </c>
      <c r="F1193" s="4" t="s">
        <v>4775</v>
      </c>
      <c r="G1193" s="12" t="str">
        <f>IF(AND(Tabela1[[#This Row],[Data nascimento]]&gt;=$J$2,Tabela1[[#This Row],[Data nascimento]]&lt;=$I$2),"INFANTIL A",H1193)</f>
        <v>INFANTIL A</v>
      </c>
      <c r="H1193" s="3" t="str">
        <f>IF(AND(Tabela1[[#This Row],[Data nascimento]]&gt;=$L$2,Tabela1[[#This Row],[Data nascimento]]&lt;=$K$2),"INFANTIL B",I1193)</f>
        <v>JÚNIOR</v>
      </c>
      <c r="I1193" s="9" t="str">
        <f>IF(AND(Tabela1[[#This Row],[Data nascimento]]&gt;=$N$2,Tabela1[[#This Row],[Data nascimento]]&lt;=$M$2),"INICIADO",J1193)</f>
        <v>JÚNIOR</v>
      </c>
      <c r="J1193" s="9" t="str">
        <f>IF(AND(Tabela1[[#This Row],[Data nascimento]]&gt;=$P$2,Tabela1[[#This Row],[Data nascimento]]&lt;=$O$2),"JUVENIL","JÚNIOR")</f>
        <v>JÚNIOR</v>
      </c>
    </row>
    <row r="1194" spans="1:10" ht="15" x14ac:dyDescent="0.4">
      <c r="A1194" s="13" t="s">
        <v>4559</v>
      </c>
      <c r="B1194" s="2" t="s">
        <v>4560</v>
      </c>
      <c r="C1194" s="4" t="s">
        <v>21</v>
      </c>
      <c r="D1194" s="11">
        <v>42364</v>
      </c>
      <c r="E1194" s="7" t="s">
        <v>4561</v>
      </c>
      <c r="F1194" s="4" t="s">
        <v>4778</v>
      </c>
      <c r="G1194" s="12" t="str">
        <f>IF(AND(Tabela1[[#This Row],[Data nascimento]]&gt;=$J$2,Tabela1[[#This Row],[Data nascimento]]&lt;=$I$2),"INFANTIL A",H1194)</f>
        <v>INFANTIL A</v>
      </c>
      <c r="H1194" s="3" t="str">
        <f>IF(AND(Tabela1[[#This Row],[Data nascimento]]&gt;=$L$2,Tabela1[[#This Row],[Data nascimento]]&lt;=$K$2),"INFANTIL B",I1194)</f>
        <v>JÚNIOR</v>
      </c>
      <c r="I1194" s="9" t="str">
        <f>IF(AND(Tabela1[[#This Row],[Data nascimento]]&gt;=$N$2,Tabela1[[#This Row],[Data nascimento]]&lt;=$M$2),"INICIADO",J1194)</f>
        <v>JÚNIOR</v>
      </c>
      <c r="J1194" s="9" t="str">
        <f>IF(AND(Tabela1[[#This Row],[Data nascimento]]&gt;=$P$2,Tabela1[[#This Row],[Data nascimento]]&lt;=$O$2),"JUVENIL","JÚNIOR")</f>
        <v>JÚNIOR</v>
      </c>
    </row>
    <row r="1195" spans="1:10" ht="15" x14ac:dyDescent="0.4">
      <c r="A1195" s="13" t="s">
        <v>4568</v>
      </c>
      <c r="B1195" s="2" t="s">
        <v>4569</v>
      </c>
      <c r="C1195" s="4" t="s">
        <v>8</v>
      </c>
      <c r="D1195" s="11">
        <v>42008</v>
      </c>
      <c r="E1195" s="7" t="s">
        <v>4570</v>
      </c>
      <c r="F1195" s="4" t="s">
        <v>4776</v>
      </c>
      <c r="G1195" s="12" t="str">
        <f>IF(AND(Tabela1[[#This Row],[Data nascimento]]&gt;=$J$2,Tabela1[[#This Row],[Data nascimento]]&lt;=$I$2),"INFANTIL A",H1195)</f>
        <v>INFANTIL A</v>
      </c>
      <c r="H1195" s="3" t="str">
        <f>IF(AND(Tabela1[[#This Row],[Data nascimento]]&gt;=$L$2,Tabela1[[#This Row],[Data nascimento]]&lt;=$K$2),"INFANTIL B",I1195)</f>
        <v>JÚNIOR</v>
      </c>
      <c r="I1195" s="9" t="str">
        <f>IF(AND(Tabela1[[#This Row],[Data nascimento]]&gt;=$N$2,Tabela1[[#This Row],[Data nascimento]]&lt;=$M$2),"INICIADO",J1195)</f>
        <v>JÚNIOR</v>
      </c>
      <c r="J1195" s="9" t="str">
        <f>IF(AND(Tabela1[[#This Row],[Data nascimento]]&gt;=$P$2,Tabela1[[#This Row],[Data nascimento]]&lt;=$O$2),"JUVENIL","JÚNIOR")</f>
        <v>JÚNIOR</v>
      </c>
    </row>
    <row r="1196" spans="1:10" ht="15" x14ac:dyDescent="0.4">
      <c r="A1196" s="13" t="s">
        <v>4571</v>
      </c>
      <c r="B1196" s="2" t="s">
        <v>4572</v>
      </c>
      <c r="C1196" s="4" t="s">
        <v>8</v>
      </c>
      <c r="D1196" s="11">
        <v>41991</v>
      </c>
      <c r="E1196" s="7" t="s">
        <v>4573</v>
      </c>
      <c r="F1196" s="4" t="s">
        <v>4778</v>
      </c>
      <c r="G1196" s="12" t="str">
        <f>IF(AND(Tabela1[[#This Row],[Data nascimento]]&gt;=$J$2,Tabela1[[#This Row],[Data nascimento]]&lt;=$I$2),"INFANTIL A",H1196)</f>
        <v>INFANTIL B</v>
      </c>
      <c r="H1196" s="3" t="str">
        <f>IF(AND(Tabela1[[#This Row],[Data nascimento]]&gt;=$L$2,Tabela1[[#This Row],[Data nascimento]]&lt;=$K$2),"INFANTIL B",I1196)</f>
        <v>INFANTIL B</v>
      </c>
      <c r="I1196" s="9" t="str">
        <f>IF(AND(Tabela1[[#This Row],[Data nascimento]]&gt;=$N$2,Tabela1[[#This Row],[Data nascimento]]&lt;=$M$2),"INICIADO",J1196)</f>
        <v>JÚNIOR</v>
      </c>
      <c r="J1196" s="9" t="str">
        <f>IF(AND(Tabela1[[#This Row],[Data nascimento]]&gt;=$P$2,Tabela1[[#This Row],[Data nascimento]]&lt;=$O$2),"JUVENIL","JÚNIOR")</f>
        <v>JÚNIOR</v>
      </c>
    </row>
    <row r="1197" spans="1:10" ht="15" x14ac:dyDescent="0.4">
      <c r="A1197" s="13" t="s">
        <v>4574</v>
      </c>
      <c r="B1197" s="2" t="s">
        <v>4575</v>
      </c>
      <c r="C1197" s="4" t="s">
        <v>21</v>
      </c>
      <c r="D1197" s="11">
        <v>42249</v>
      </c>
      <c r="E1197" s="7" t="s">
        <v>4576</v>
      </c>
      <c r="F1197" s="4" t="s">
        <v>4776</v>
      </c>
      <c r="G1197" s="12" t="str">
        <f>IF(AND(Tabela1[[#This Row],[Data nascimento]]&gt;=$J$2,Tabela1[[#This Row],[Data nascimento]]&lt;=$I$2),"INFANTIL A",H1197)</f>
        <v>INFANTIL A</v>
      </c>
      <c r="H1197" s="3" t="str">
        <f>IF(AND(Tabela1[[#This Row],[Data nascimento]]&gt;=$L$2,Tabela1[[#This Row],[Data nascimento]]&lt;=$K$2),"INFANTIL B",I1197)</f>
        <v>JÚNIOR</v>
      </c>
      <c r="I1197" s="9" t="str">
        <f>IF(AND(Tabela1[[#This Row],[Data nascimento]]&gt;=$N$2,Tabela1[[#This Row],[Data nascimento]]&lt;=$M$2),"INICIADO",J1197)</f>
        <v>JÚNIOR</v>
      </c>
      <c r="J1197" s="9" t="str">
        <f>IF(AND(Tabela1[[#This Row],[Data nascimento]]&gt;=$P$2,Tabela1[[#This Row],[Data nascimento]]&lt;=$O$2),"JUVENIL","JÚNIOR")</f>
        <v>JÚNIOR</v>
      </c>
    </row>
    <row r="1198" spans="1:10" ht="15" x14ac:dyDescent="0.4">
      <c r="A1198" s="13" t="s">
        <v>4586</v>
      </c>
      <c r="B1198" s="2" t="s">
        <v>4587</v>
      </c>
      <c r="C1198" s="4" t="s">
        <v>8</v>
      </c>
      <c r="D1198" s="11">
        <v>42159</v>
      </c>
      <c r="E1198" s="7" t="s">
        <v>4588</v>
      </c>
      <c r="F1198" s="4" t="s">
        <v>4775</v>
      </c>
      <c r="G1198" s="12" t="str">
        <f>IF(AND(Tabela1[[#This Row],[Data nascimento]]&gt;=$J$2,Tabela1[[#This Row],[Data nascimento]]&lt;=$I$2),"INFANTIL A",H1198)</f>
        <v>INFANTIL A</v>
      </c>
      <c r="H1198" s="3" t="str">
        <f>IF(AND(Tabela1[[#This Row],[Data nascimento]]&gt;=$L$2,Tabela1[[#This Row],[Data nascimento]]&lt;=$K$2),"INFANTIL B",I1198)</f>
        <v>JÚNIOR</v>
      </c>
      <c r="I1198" s="9" t="str">
        <f>IF(AND(Tabela1[[#This Row],[Data nascimento]]&gt;=$N$2,Tabela1[[#This Row],[Data nascimento]]&lt;=$M$2),"INICIADO",J1198)</f>
        <v>JÚNIOR</v>
      </c>
      <c r="J1198" s="9" t="str">
        <f>IF(AND(Tabela1[[#This Row],[Data nascimento]]&gt;=$P$2,Tabela1[[#This Row],[Data nascimento]]&lt;=$O$2),"JUVENIL","JÚNIOR")</f>
        <v>JÚNIOR</v>
      </c>
    </row>
    <row r="1199" spans="1:10" ht="15" x14ac:dyDescent="0.4">
      <c r="A1199" s="13" t="s">
        <v>6</v>
      </c>
      <c r="B1199" s="2" t="s">
        <v>7</v>
      </c>
      <c r="C1199" s="4" t="s">
        <v>8</v>
      </c>
      <c r="D1199" s="11">
        <v>41756</v>
      </c>
      <c r="E1199" s="7" t="s">
        <v>9</v>
      </c>
      <c r="F1199" s="4" t="s">
        <v>4779</v>
      </c>
      <c r="G1199" s="12" t="str">
        <f>IF(AND(Tabela1[[#This Row],[Data nascimento]]&gt;=$J$2,Tabela1[[#This Row],[Data nascimento]]&lt;=$I$2),"INFANTIL A",H1199)</f>
        <v>INFANTIL B</v>
      </c>
      <c r="H1199" s="3" t="str">
        <f>IF(AND(Tabela1[[#This Row],[Data nascimento]]&gt;=$L$2,Tabela1[[#This Row],[Data nascimento]]&lt;=$K$2),"INFANTIL B",I1199)</f>
        <v>INFANTIL B</v>
      </c>
      <c r="I1199" s="9" t="str">
        <f>IF(AND(Tabela1[[#This Row],[Data nascimento]]&gt;=$N$2,Tabela1[[#This Row],[Data nascimento]]&lt;=$M$2),"INICIADO",J1199)</f>
        <v>JÚNIOR</v>
      </c>
      <c r="J1199" s="9" t="str">
        <f>IF(AND(Tabela1[[#This Row],[Data nascimento]]&gt;=$P$2,Tabela1[[#This Row],[Data nascimento]]&lt;=$O$2),"JUVENIL","JÚNIOR")</f>
        <v>JÚNIOR</v>
      </c>
    </row>
    <row r="1200" spans="1:10" ht="15" x14ac:dyDescent="0.4">
      <c r="A1200" s="13" t="s">
        <v>10</v>
      </c>
      <c r="B1200" s="2" t="s">
        <v>11</v>
      </c>
      <c r="C1200" s="4" t="s">
        <v>8</v>
      </c>
      <c r="D1200" s="11">
        <v>41711</v>
      </c>
      <c r="E1200" s="7" t="s">
        <v>12</v>
      </c>
      <c r="F1200" s="4" t="s">
        <v>4779</v>
      </c>
      <c r="G1200" s="12" t="str">
        <f>IF(AND(Tabela1[[#This Row],[Data nascimento]]&gt;=$J$2,Tabela1[[#This Row],[Data nascimento]]&lt;=$I$2),"INFANTIL A",H1200)</f>
        <v>INFANTIL B</v>
      </c>
      <c r="H1200" s="3" t="str">
        <f>IF(AND(Tabela1[[#This Row],[Data nascimento]]&gt;=$L$2,Tabela1[[#This Row],[Data nascimento]]&lt;=$K$2),"INFANTIL B",I1200)</f>
        <v>INFANTIL B</v>
      </c>
      <c r="I1200" s="9" t="str">
        <f>IF(AND(Tabela1[[#This Row],[Data nascimento]]&gt;=$N$2,Tabela1[[#This Row],[Data nascimento]]&lt;=$M$2),"INICIADO",J1200)</f>
        <v>JÚNIOR</v>
      </c>
      <c r="J1200" s="9" t="str">
        <f>IF(AND(Tabela1[[#This Row],[Data nascimento]]&gt;=$P$2,Tabela1[[#This Row],[Data nascimento]]&lt;=$O$2),"JUVENIL","JÚNIOR")</f>
        <v>JÚNIOR</v>
      </c>
    </row>
    <row r="1201" spans="1:10" ht="15" x14ac:dyDescent="0.4">
      <c r="A1201" s="13" t="s">
        <v>13</v>
      </c>
      <c r="B1201" s="2" t="s">
        <v>14</v>
      </c>
      <c r="C1201" s="4" t="s">
        <v>8</v>
      </c>
      <c r="D1201" s="11">
        <v>41467</v>
      </c>
      <c r="E1201" s="7" t="s">
        <v>15</v>
      </c>
      <c r="F1201" s="4" t="s">
        <v>4779</v>
      </c>
      <c r="G1201" s="12" t="str">
        <f>IF(AND(Tabela1[[#This Row],[Data nascimento]]&gt;=$J$2,Tabela1[[#This Row],[Data nascimento]]&lt;=$I$2),"INFANTIL A",H1201)</f>
        <v>INFANTIL B</v>
      </c>
      <c r="H1201" s="3" t="str">
        <f>IF(AND(Tabela1[[#This Row],[Data nascimento]]&gt;=$L$2,Tabela1[[#This Row],[Data nascimento]]&lt;=$K$2),"INFANTIL B",I1201)</f>
        <v>INFANTIL B</v>
      </c>
      <c r="I1201" s="9" t="str">
        <f>IF(AND(Tabela1[[#This Row],[Data nascimento]]&gt;=$N$2,Tabela1[[#This Row],[Data nascimento]]&lt;=$M$2),"INICIADO",J1201)</f>
        <v>JÚNIOR</v>
      </c>
      <c r="J1201" s="9" t="str">
        <f>IF(AND(Tabela1[[#This Row],[Data nascimento]]&gt;=$P$2,Tabela1[[#This Row],[Data nascimento]]&lt;=$O$2),"JUVENIL","JÚNIOR")</f>
        <v>JÚNIOR</v>
      </c>
    </row>
    <row r="1202" spans="1:10" ht="15" x14ac:dyDescent="0.4">
      <c r="A1202" s="13" t="s">
        <v>16</v>
      </c>
      <c r="B1202" s="2" t="s">
        <v>17</v>
      </c>
      <c r="C1202" s="4" t="s">
        <v>8</v>
      </c>
      <c r="D1202" s="11">
        <v>41941</v>
      </c>
      <c r="E1202" s="7" t="s">
        <v>18</v>
      </c>
      <c r="F1202" s="4" t="s">
        <v>4779</v>
      </c>
      <c r="G1202" s="12" t="str">
        <f>IF(AND(Tabela1[[#This Row],[Data nascimento]]&gt;=$J$2,Tabela1[[#This Row],[Data nascimento]]&lt;=$I$2),"INFANTIL A",H1202)</f>
        <v>INFANTIL B</v>
      </c>
      <c r="H1202" s="3" t="str">
        <f>IF(AND(Tabela1[[#This Row],[Data nascimento]]&gt;=$L$2,Tabela1[[#This Row],[Data nascimento]]&lt;=$K$2),"INFANTIL B",I1202)</f>
        <v>INFANTIL B</v>
      </c>
      <c r="I1202" s="9" t="str">
        <f>IF(AND(Tabela1[[#This Row],[Data nascimento]]&gt;=$N$2,Tabela1[[#This Row],[Data nascimento]]&lt;=$M$2),"INICIADO",J1202)</f>
        <v>JÚNIOR</v>
      </c>
      <c r="J1202" s="9" t="str">
        <f>IF(AND(Tabela1[[#This Row],[Data nascimento]]&gt;=$P$2,Tabela1[[#This Row],[Data nascimento]]&lt;=$O$2),"JUVENIL","JÚNIOR")</f>
        <v>JÚNIOR</v>
      </c>
    </row>
    <row r="1203" spans="1:10" ht="15" x14ac:dyDescent="0.4">
      <c r="A1203" s="13" t="s">
        <v>19</v>
      </c>
      <c r="B1203" s="2" t="s">
        <v>20</v>
      </c>
      <c r="C1203" s="4" t="s">
        <v>21</v>
      </c>
      <c r="D1203" s="11">
        <v>41722</v>
      </c>
      <c r="E1203" s="7" t="s">
        <v>22</v>
      </c>
      <c r="F1203" s="4" t="s">
        <v>4779</v>
      </c>
      <c r="G1203" s="12" t="str">
        <f>IF(AND(Tabela1[[#This Row],[Data nascimento]]&gt;=$J$2,Tabela1[[#This Row],[Data nascimento]]&lt;=$I$2),"INFANTIL A",H1203)</f>
        <v>INFANTIL B</v>
      </c>
      <c r="H1203" s="3" t="str">
        <f>IF(AND(Tabela1[[#This Row],[Data nascimento]]&gt;=$L$2,Tabela1[[#This Row],[Data nascimento]]&lt;=$K$2),"INFANTIL B",I1203)</f>
        <v>INFANTIL B</v>
      </c>
      <c r="I1203" s="9" t="str">
        <f>IF(AND(Tabela1[[#This Row],[Data nascimento]]&gt;=$N$2,Tabela1[[#This Row],[Data nascimento]]&lt;=$M$2),"INICIADO",J1203)</f>
        <v>JÚNIOR</v>
      </c>
      <c r="J1203" s="9" t="str">
        <f>IF(AND(Tabela1[[#This Row],[Data nascimento]]&gt;=$P$2,Tabela1[[#This Row],[Data nascimento]]&lt;=$O$2),"JUVENIL","JÚNIOR")</f>
        <v>JÚNIOR</v>
      </c>
    </row>
    <row r="1204" spans="1:10" ht="15" x14ac:dyDescent="0.4">
      <c r="A1204" s="13" t="s">
        <v>23</v>
      </c>
      <c r="B1204" s="2" t="s">
        <v>24</v>
      </c>
      <c r="C1204" s="4" t="s">
        <v>8</v>
      </c>
      <c r="D1204" s="11">
        <v>41890</v>
      </c>
      <c r="E1204" s="7" t="s">
        <v>25</v>
      </c>
      <c r="F1204" s="4" t="s">
        <v>4779</v>
      </c>
      <c r="G1204" s="12" t="str">
        <f>IF(AND(Tabela1[[#This Row],[Data nascimento]]&gt;=$J$2,Tabela1[[#This Row],[Data nascimento]]&lt;=$I$2),"INFANTIL A",H1204)</f>
        <v>INFANTIL B</v>
      </c>
      <c r="H1204" s="3" t="str">
        <f>IF(AND(Tabela1[[#This Row],[Data nascimento]]&gt;=$L$2,Tabela1[[#This Row],[Data nascimento]]&lt;=$K$2),"INFANTIL B",I1204)</f>
        <v>INFANTIL B</v>
      </c>
      <c r="I1204" s="9" t="str">
        <f>IF(AND(Tabela1[[#This Row],[Data nascimento]]&gt;=$N$2,Tabela1[[#This Row],[Data nascimento]]&lt;=$M$2),"INICIADO",J1204)</f>
        <v>JÚNIOR</v>
      </c>
      <c r="J1204" s="9" t="str">
        <f>IF(AND(Tabela1[[#This Row],[Data nascimento]]&gt;=$P$2,Tabela1[[#This Row],[Data nascimento]]&lt;=$O$2),"JUVENIL","JÚNIOR")</f>
        <v>JÚNIOR</v>
      </c>
    </row>
    <row r="1205" spans="1:10" ht="15" x14ac:dyDescent="0.4">
      <c r="A1205" s="13" t="s">
        <v>26</v>
      </c>
      <c r="B1205" s="2" t="s">
        <v>27</v>
      </c>
      <c r="C1205" s="4" t="s">
        <v>21</v>
      </c>
      <c r="D1205" s="11">
        <v>41582</v>
      </c>
      <c r="E1205" s="7" t="s">
        <v>28</v>
      </c>
      <c r="F1205" s="4" t="s">
        <v>4779</v>
      </c>
      <c r="G1205" s="12" t="str">
        <f>IF(AND(Tabela1[[#This Row],[Data nascimento]]&gt;=$J$2,Tabela1[[#This Row],[Data nascimento]]&lt;=$I$2),"INFANTIL A",H1205)</f>
        <v>INFANTIL B</v>
      </c>
      <c r="H1205" s="3" t="str">
        <f>IF(AND(Tabela1[[#This Row],[Data nascimento]]&gt;=$L$2,Tabela1[[#This Row],[Data nascimento]]&lt;=$K$2),"INFANTIL B",I1205)</f>
        <v>INFANTIL B</v>
      </c>
      <c r="I1205" s="9" t="str">
        <f>IF(AND(Tabela1[[#This Row],[Data nascimento]]&gt;=$N$2,Tabela1[[#This Row],[Data nascimento]]&lt;=$M$2),"INICIADO",J1205)</f>
        <v>JÚNIOR</v>
      </c>
      <c r="J1205" s="9" t="str">
        <f>IF(AND(Tabela1[[#This Row],[Data nascimento]]&gt;=$P$2,Tabela1[[#This Row],[Data nascimento]]&lt;=$O$2),"JUVENIL","JÚNIOR")</f>
        <v>JÚNIOR</v>
      </c>
    </row>
    <row r="1206" spans="1:10" ht="15" x14ac:dyDescent="0.4">
      <c r="A1206" s="13" t="s">
        <v>29</v>
      </c>
      <c r="B1206" s="2" t="s">
        <v>30</v>
      </c>
      <c r="C1206" s="4" t="s">
        <v>8</v>
      </c>
      <c r="D1206" s="11">
        <v>41900</v>
      </c>
      <c r="E1206" s="7" t="s">
        <v>31</v>
      </c>
      <c r="F1206" s="4" t="s">
        <v>4779</v>
      </c>
      <c r="G1206" s="12" t="str">
        <f>IF(AND(Tabela1[[#This Row],[Data nascimento]]&gt;=$J$2,Tabela1[[#This Row],[Data nascimento]]&lt;=$I$2),"INFANTIL A",H1206)</f>
        <v>INFANTIL B</v>
      </c>
      <c r="H1206" s="3" t="str">
        <f>IF(AND(Tabela1[[#This Row],[Data nascimento]]&gt;=$L$2,Tabela1[[#This Row],[Data nascimento]]&lt;=$K$2),"INFANTIL B",I1206)</f>
        <v>INFANTIL B</v>
      </c>
      <c r="I1206" s="9" t="str">
        <f>IF(AND(Tabela1[[#This Row],[Data nascimento]]&gt;=$N$2,Tabela1[[#This Row],[Data nascimento]]&lt;=$M$2),"INICIADO",J1206)</f>
        <v>JÚNIOR</v>
      </c>
      <c r="J1206" s="9" t="str">
        <f>IF(AND(Tabela1[[#This Row],[Data nascimento]]&gt;=$P$2,Tabela1[[#This Row],[Data nascimento]]&lt;=$O$2),"JUVENIL","JÚNIOR")</f>
        <v>JÚNIOR</v>
      </c>
    </row>
    <row r="1207" spans="1:10" ht="15" x14ac:dyDescent="0.4">
      <c r="A1207" s="13" t="s">
        <v>32</v>
      </c>
      <c r="B1207" s="2" t="s">
        <v>33</v>
      </c>
      <c r="C1207" s="4" t="s">
        <v>8</v>
      </c>
      <c r="D1207" s="11">
        <v>41865</v>
      </c>
      <c r="E1207" s="7" t="s">
        <v>34</v>
      </c>
      <c r="F1207" s="4" t="s">
        <v>4779</v>
      </c>
      <c r="G1207" s="12" t="str">
        <f>IF(AND(Tabela1[[#This Row],[Data nascimento]]&gt;=$J$2,Tabela1[[#This Row],[Data nascimento]]&lt;=$I$2),"INFANTIL A",H1207)</f>
        <v>INFANTIL B</v>
      </c>
      <c r="H1207" s="3" t="str">
        <f>IF(AND(Tabela1[[#This Row],[Data nascimento]]&gt;=$L$2,Tabela1[[#This Row],[Data nascimento]]&lt;=$K$2),"INFANTIL B",I1207)</f>
        <v>INFANTIL B</v>
      </c>
      <c r="I1207" s="9" t="str">
        <f>IF(AND(Tabela1[[#This Row],[Data nascimento]]&gt;=$N$2,Tabela1[[#This Row],[Data nascimento]]&lt;=$M$2),"INICIADO",J1207)</f>
        <v>JÚNIOR</v>
      </c>
      <c r="J1207" s="9" t="str">
        <f>IF(AND(Tabela1[[#This Row],[Data nascimento]]&gt;=$P$2,Tabela1[[#This Row],[Data nascimento]]&lt;=$O$2),"JUVENIL","JÚNIOR")</f>
        <v>JÚNIOR</v>
      </c>
    </row>
    <row r="1208" spans="1:10" ht="15" x14ac:dyDescent="0.4">
      <c r="A1208" s="13" t="s">
        <v>35</v>
      </c>
      <c r="B1208" s="2" t="s">
        <v>36</v>
      </c>
      <c r="C1208" s="4" t="s">
        <v>8</v>
      </c>
      <c r="D1208" s="11">
        <v>41726</v>
      </c>
      <c r="E1208" s="7" t="s">
        <v>37</v>
      </c>
      <c r="F1208" s="4" t="s">
        <v>4779</v>
      </c>
      <c r="G1208" s="12" t="str">
        <f>IF(AND(Tabela1[[#This Row],[Data nascimento]]&gt;=$J$2,Tabela1[[#This Row],[Data nascimento]]&lt;=$I$2),"INFANTIL A",H1208)</f>
        <v>INFANTIL B</v>
      </c>
      <c r="H1208" s="3" t="str">
        <f>IF(AND(Tabela1[[#This Row],[Data nascimento]]&gt;=$L$2,Tabela1[[#This Row],[Data nascimento]]&lt;=$K$2),"INFANTIL B",I1208)</f>
        <v>INFANTIL B</v>
      </c>
      <c r="I1208" s="9" t="str">
        <f>IF(AND(Tabela1[[#This Row],[Data nascimento]]&gt;=$N$2,Tabela1[[#This Row],[Data nascimento]]&lt;=$M$2),"INICIADO",J1208)</f>
        <v>JÚNIOR</v>
      </c>
      <c r="J1208" s="9" t="str">
        <f>IF(AND(Tabela1[[#This Row],[Data nascimento]]&gt;=$P$2,Tabela1[[#This Row],[Data nascimento]]&lt;=$O$2),"JUVENIL","JÚNIOR")</f>
        <v>JÚNIOR</v>
      </c>
    </row>
    <row r="1209" spans="1:10" ht="15" x14ac:dyDescent="0.4">
      <c r="A1209" s="13" t="s">
        <v>38</v>
      </c>
      <c r="B1209" s="2" t="s">
        <v>39</v>
      </c>
      <c r="C1209" s="4" t="s">
        <v>21</v>
      </c>
      <c r="D1209" s="11">
        <v>41419</v>
      </c>
      <c r="E1209" s="7" t="s">
        <v>40</v>
      </c>
      <c r="F1209" s="4" t="s">
        <v>4779</v>
      </c>
      <c r="G1209" s="12" t="str">
        <f>IF(AND(Tabela1[[#This Row],[Data nascimento]]&gt;=$J$2,Tabela1[[#This Row],[Data nascimento]]&lt;=$I$2),"INFANTIL A",H1209)</f>
        <v>INFANTIL B</v>
      </c>
      <c r="H1209" s="3" t="str">
        <f>IF(AND(Tabela1[[#This Row],[Data nascimento]]&gt;=$L$2,Tabela1[[#This Row],[Data nascimento]]&lt;=$K$2),"INFANTIL B",I1209)</f>
        <v>INFANTIL B</v>
      </c>
      <c r="I1209" s="9" t="str">
        <f>IF(AND(Tabela1[[#This Row],[Data nascimento]]&gt;=$N$2,Tabela1[[#This Row],[Data nascimento]]&lt;=$M$2),"INICIADO",J1209)</f>
        <v>JÚNIOR</v>
      </c>
      <c r="J1209" s="9" t="str">
        <f>IF(AND(Tabela1[[#This Row],[Data nascimento]]&gt;=$P$2,Tabela1[[#This Row],[Data nascimento]]&lt;=$O$2),"JUVENIL","JÚNIOR")</f>
        <v>JÚNIOR</v>
      </c>
    </row>
    <row r="1210" spans="1:10" ht="15" x14ac:dyDescent="0.4">
      <c r="A1210" s="13" t="s">
        <v>41</v>
      </c>
      <c r="B1210" s="2" t="s">
        <v>42</v>
      </c>
      <c r="C1210" s="4" t="s">
        <v>8</v>
      </c>
      <c r="D1210" s="11">
        <v>41837</v>
      </c>
      <c r="E1210" s="7" t="s">
        <v>43</v>
      </c>
      <c r="F1210" s="4" t="s">
        <v>4779</v>
      </c>
      <c r="G1210" s="12" t="str">
        <f>IF(AND(Tabela1[[#This Row],[Data nascimento]]&gt;=$J$2,Tabela1[[#This Row],[Data nascimento]]&lt;=$I$2),"INFANTIL A",H1210)</f>
        <v>INFANTIL B</v>
      </c>
      <c r="H1210" s="3" t="str">
        <f>IF(AND(Tabela1[[#This Row],[Data nascimento]]&gt;=$L$2,Tabela1[[#This Row],[Data nascimento]]&lt;=$K$2),"INFANTIL B",I1210)</f>
        <v>INFANTIL B</v>
      </c>
      <c r="I1210" s="9" t="str">
        <f>IF(AND(Tabela1[[#This Row],[Data nascimento]]&gt;=$N$2,Tabela1[[#This Row],[Data nascimento]]&lt;=$M$2),"INICIADO",J1210)</f>
        <v>JÚNIOR</v>
      </c>
      <c r="J1210" s="9" t="str">
        <f>IF(AND(Tabela1[[#This Row],[Data nascimento]]&gt;=$P$2,Tabela1[[#This Row],[Data nascimento]]&lt;=$O$2),"JUVENIL","JÚNIOR")</f>
        <v>JÚNIOR</v>
      </c>
    </row>
    <row r="1211" spans="1:10" ht="15" x14ac:dyDescent="0.4">
      <c r="A1211" s="13" t="s">
        <v>44</v>
      </c>
      <c r="B1211" s="2" t="s">
        <v>45</v>
      </c>
      <c r="C1211" s="4" t="s">
        <v>21</v>
      </c>
      <c r="D1211" s="11">
        <v>41520</v>
      </c>
      <c r="E1211" s="7" t="s">
        <v>46</v>
      </c>
      <c r="F1211" s="4" t="s">
        <v>4779</v>
      </c>
      <c r="G1211" s="12" t="str">
        <f>IF(AND(Tabela1[[#This Row],[Data nascimento]]&gt;=$J$2,Tabela1[[#This Row],[Data nascimento]]&lt;=$I$2),"INFANTIL A",H1211)</f>
        <v>INFANTIL B</v>
      </c>
      <c r="H1211" s="3" t="str">
        <f>IF(AND(Tabela1[[#This Row],[Data nascimento]]&gt;=$L$2,Tabela1[[#This Row],[Data nascimento]]&lt;=$K$2),"INFANTIL B",I1211)</f>
        <v>INFANTIL B</v>
      </c>
      <c r="I1211" s="9" t="str">
        <f>IF(AND(Tabela1[[#This Row],[Data nascimento]]&gt;=$N$2,Tabela1[[#This Row],[Data nascimento]]&lt;=$M$2),"INICIADO",J1211)</f>
        <v>JÚNIOR</v>
      </c>
      <c r="J1211" s="9" t="str">
        <f>IF(AND(Tabela1[[#This Row],[Data nascimento]]&gt;=$P$2,Tabela1[[#This Row],[Data nascimento]]&lt;=$O$2),"JUVENIL","JÚNIOR")</f>
        <v>JÚNIOR</v>
      </c>
    </row>
    <row r="1212" spans="1:10" ht="15" x14ac:dyDescent="0.4">
      <c r="A1212" s="13" t="s">
        <v>47</v>
      </c>
      <c r="B1212" s="2" t="s">
        <v>48</v>
      </c>
      <c r="C1212" s="4" t="s">
        <v>8</v>
      </c>
      <c r="D1212" s="11">
        <v>41668</v>
      </c>
      <c r="E1212" s="7" t="s">
        <v>49</v>
      </c>
      <c r="F1212" s="4" t="s">
        <v>4779</v>
      </c>
      <c r="G1212" s="12" t="str">
        <f>IF(AND(Tabela1[[#This Row],[Data nascimento]]&gt;=$J$2,Tabela1[[#This Row],[Data nascimento]]&lt;=$I$2),"INFANTIL A",H1212)</f>
        <v>INFANTIL B</v>
      </c>
      <c r="H1212" s="3" t="str">
        <f>IF(AND(Tabela1[[#This Row],[Data nascimento]]&gt;=$L$2,Tabela1[[#This Row],[Data nascimento]]&lt;=$K$2),"INFANTIL B",I1212)</f>
        <v>INFANTIL B</v>
      </c>
      <c r="I1212" s="9" t="str">
        <f>IF(AND(Tabela1[[#This Row],[Data nascimento]]&gt;=$N$2,Tabela1[[#This Row],[Data nascimento]]&lt;=$M$2),"INICIADO",J1212)</f>
        <v>JÚNIOR</v>
      </c>
      <c r="J1212" s="9" t="str">
        <f>IF(AND(Tabela1[[#This Row],[Data nascimento]]&gt;=$P$2,Tabela1[[#This Row],[Data nascimento]]&lt;=$O$2),"JUVENIL","JÚNIOR")</f>
        <v>JÚNIOR</v>
      </c>
    </row>
    <row r="1213" spans="1:10" ht="15" x14ac:dyDescent="0.4">
      <c r="A1213" s="13" t="s">
        <v>50</v>
      </c>
      <c r="B1213" s="2" t="s">
        <v>51</v>
      </c>
      <c r="C1213" s="4" t="s">
        <v>21</v>
      </c>
      <c r="D1213" s="11">
        <v>41612</v>
      </c>
      <c r="E1213" s="7" t="s">
        <v>52</v>
      </c>
      <c r="F1213" s="4" t="s">
        <v>4779</v>
      </c>
      <c r="G1213" s="12" t="str">
        <f>IF(AND(Tabela1[[#This Row],[Data nascimento]]&gt;=$J$2,Tabela1[[#This Row],[Data nascimento]]&lt;=$I$2),"INFANTIL A",H1213)</f>
        <v>INFANTIL B</v>
      </c>
      <c r="H1213" s="3" t="str">
        <f>IF(AND(Tabela1[[#This Row],[Data nascimento]]&gt;=$L$2,Tabela1[[#This Row],[Data nascimento]]&lt;=$K$2),"INFANTIL B",I1213)</f>
        <v>INFANTIL B</v>
      </c>
      <c r="I1213" s="9" t="str">
        <f>IF(AND(Tabela1[[#This Row],[Data nascimento]]&gt;=$N$2,Tabela1[[#This Row],[Data nascimento]]&lt;=$M$2),"INICIADO",J1213)</f>
        <v>JÚNIOR</v>
      </c>
      <c r="J1213" s="9" t="str">
        <f>IF(AND(Tabela1[[#This Row],[Data nascimento]]&gt;=$P$2,Tabela1[[#This Row],[Data nascimento]]&lt;=$O$2),"JUVENIL","JÚNIOR")</f>
        <v>JÚNIOR</v>
      </c>
    </row>
    <row r="1214" spans="1:10" ht="15" x14ac:dyDescent="0.4">
      <c r="A1214" s="13" t="s">
        <v>53</v>
      </c>
      <c r="B1214" s="2" t="s">
        <v>54</v>
      </c>
      <c r="C1214" s="4" t="s">
        <v>21</v>
      </c>
      <c r="D1214" s="11">
        <v>41621</v>
      </c>
      <c r="E1214" s="7" t="s">
        <v>55</v>
      </c>
      <c r="F1214" s="4" t="s">
        <v>4779</v>
      </c>
      <c r="G1214" s="12" t="str">
        <f>IF(AND(Tabela1[[#This Row],[Data nascimento]]&gt;=$J$2,Tabela1[[#This Row],[Data nascimento]]&lt;=$I$2),"INFANTIL A",H1214)</f>
        <v>INFANTIL B</v>
      </c>
      <c r="H1214" s="3" t="str">
        <f>IF(AND(Tabela1[[#This Row],[Data nascimento]]&gt;=$L$2,Tabela1[[#This Row],[Data nascimento]]&lt;=$K$2),"INFANTIL B",I1214)</f>
        <v>INFANTIL B</v>
      </c>
      <c r="I1214" s="9" t="str">
        <f>IF(AND(Tabela1[[#This Row],[Data nascimento]]&gt;=$N$2,Tabela1[[#This Row],[Data nascimento]]&lt;=$M$2),"INICIADO",J1214)</f>
        <v>JÚNIOR</v>
      </c>
      <c r="J1214" s="9" t="str">
        <f>IF(AND(Tabela1[[#This Row],[Data nascimento]]&gt;=$P$2,Tabela1[[#This Row],[Data nascimento]]&lt;=$O$2),"JUVENIL","JÚNIOR")</f>
        <v>JÚNIOR</v>
      </c>
    </row>
    <row r="1215" spans="1:10" ht="15" x14ac:dyDescent="0.4">
      <c r="A1215" s="13" t="s">
        <v>56</v>
      </c>
      <c r="B1215" s="2" t="s">
        <v>57</v>
      </c>
      <c r="C1215" s="4" t="s">
        <v>8</v>
      </c>
      <c r="D1215" s="11">
        <v>41785</v>
      </c>
      <c r="E1215" s="7" t="s">
        <v>58</v>
      </c>
      <c r="F1215" s="4" t="s">
        <v>4779</v>
      </c>
      <c r="G1215" s="12" t="str">
        <f>IF(AND(Tabela1[[#This Row],[Data nascimento]]&gt;=$J$2,Tabela1[[#This Row],[Data nascimento]]&lt;=$I$2),"INFANTIL A",H1215)</f>
        <v>INFANTIL B</v>
      </c>
      <c r="H1215" s="3" t="str">
        <f>IF(AND(Tabela1[[#This Row],[Data nascimento]]&gt;=$L$2,Tabela1[[#This Row],[Data nascimento]]&lt;=$K$2),"INFANTIL B",I1215)</f>
        <v>INFANTIL B</v>
      </c>
      <c r="I1215" s="9" t="str">
        <f>IF(AND(Tabela1[[#This Row],[Data nascimento]]&gt;=$N$2,Tabela1[[#This Row],[Data nascimento]]&lt;=$M$2),"INICIADO",J1215)</f>
        <v>JÚNIOR</v>
      </c>
      <c r="J1215" s="9" t="str">
        <f>IF(AND(Tabela1[[#This Row],[Data nascimento]]&gt;=$P$2,Tabela1[[#This Row],[Data nascimento]]&lt;=$O$2),"JUVENIL","JÚNIOR")</f>
        <v>JÚNIOR</v>
      </c>
    </row>
    <row r="1216" spans="1:10" ht="15" x14ac:dyDescent="0.4">
      <c r="A1216" s="13" t="s">
        <v>59</v>
      </c>
      <c r="B1216" s="2" t="s">
        <v>60</v>
      </c>
      <c r="C1216" s="4" t="s">
        <v>21</v>
      </c>
      <c r="D1216" s="11">
        <v>41536</v>
      </c>
      <c r="E1216" s="7" t="s">
        <v>61</v>
      </c>
      <c r="F1216" s="4" t="s">
        <v>4779</v>
      </c>
      <c r="G1216" s="12" t="str">
        <f>IF(AND(Tabela1[[#This Row],[Data nascimento]]&gt;=$J$2,Tabela1[[#This Row],[Data nascimento]]&lt;=$I$2),"INFANTIL A",H1216)</f>
        <v>INFANTIL B</v>
      </c>
      <c r="H1216" s="3" t="str">
        <f>IF(AND(Tabela1[[#This Row],[Data nascimento]]&gt;=$L$2,Tabela1[[#This Row],[Data nascimento]]&lt;=$K$2),"INFANTIL B",I1216)</f>
        <v>INFANTIL B</v>
      </c>
      <c r="I1216" s="9" t="str">
        <f>IF(AND(Tabela1[[#This Row],[Data nascimento]]&gt;=$N$2,Tabela1[[#This Row],[Data nascimento]]&lt;=$M$2),"INICIADO",J1216)</f>
        <v>JÚNIOR</v>
      </c>
      <c r="J1216" s="9" t="str">
        <f>IF(AND(Tabela1[[#This Row],[Data nascimento]]&gt;=$P$2,Tabela1[[#This Row],[Data nascimento]]&lt;=$O$2),"JUVENIL","JÚNIOR")</f>
        <v>JÚNIOR</v>
      </c>
    </row>
    <row r="1217" spans="1:10" ht="15" x14ac:dyDescent="0.4">
      <c r="A1217" s="13" t="s">
        <v>62</v>
      </c>
      <c r="B1217" s="2" t="s">
        <v>63</v>
      </c>
      <c r="C1217" s="4" t="s">
        <v>21</v>
      </c>
      <c r="D1217" s="11">
        <v>42025</v>
      </c>
      <c r="E1217" s="7" t="s">
        <v>64</v>
      </c>
      <c r="F1217" s="4" t="s">
        <v>4779</v>
      </c>
      <c r="G1217" s="12" t="str">
        <f>IF(AND(Tabela1[[#This Row],[Data nascimento]]&gt;=$J$2,Tabela1[[#This Row],[Data nascimento]]&lt;=$I$2),"INFANTIL A",H1217)</f>
        <v>INFANTIL A</v>
      </c>
      <c r="H1217" s="3" t="str">
        <f>IF(AND(Tabela1[[#This Row],[Data nascimento]]&gt;=$L$2,Tabela1[[#This Row],[Data nascimento]]&lt;=$K$2),"INFANTIL B",I1217)</f>
        <v>JÚNIOR</v>
      </c>
      <c r="I1217" s="9" t="str">
        <f>IF(AND(Tabela1[[#This Row],[Data nascimento]]&gt;=$N$2,Tabela1[[#This Row],[Data nascimento]]&lt;=$M$2),"INICIADO",J1217)</f>
        <v>JÚNIOR</v>
      </c>
      <c r="J1217" s="9" t="str">
        <f>IF(AND(Tabela1[[#This Row],[Data nascimento]]&gt;=$P$2,Tabela1[[#This Row],[Data nascimento]]&lt;=$O$2),"JUVENIL","JÚNIOR")</f>
        <v>JÚNIOR</v>
      </c>
    </row>
    <row r="1218" spans="1:10" ht="15" x14ac:dyDescent="0.4">
      <c r="A1218" s="13" t="s">
        <v>65</v>
      </c>
      <c r="B1218" s="2" t="s">
        <v>66</v>
      </c>
      <c r="C1218" s="4" t="s">
        <v>8</v>
      </c>
      <c r="D1218" s="11">
        <v>41392</v>
      </c>
      <c r="E1218" s="7" t="s">
        <v>67</v>
      </c>
      <c r="F1218" s="4" t="s">
        <v>4779</v>
      </c>
      <c r="G1218" s="12" t="str">
        <f>IF(AND(Tabela1[[#This Row],[Data nascimento]]&gt;=$J$2,Tabela1[[#This Row],[Data nascimento]]&lt;=$I$2),"INFANTIL A",H1218)</f>
        <v>INFANTIL B</v>
      </c>
      <c r="H1218" s="3" t="str">
        <f>IF(AND(Tabela1[[#This Row],[Data nascimento]]&gt;=$L$2,Tabela1[[#This Row],[Data nascimento]]&lt;=$K$2),"INFANTIL B",I1218)</f>
        <v>INFANTIL B</v>
      </c>
      <c r="I1218" s="9" t="str">
        <f>IF(AND(Tabela1[[#This Row],[Data nascimento]]&gt;=$N$2,Tabela1[[#This Row],[Data nascimento]]&lt;=$M$2),"INICIADO",J1218)</f>
        <v>JÚNIOR</v>
      </c>
      <c r="J1218" s="9" t="str">
        <f>IF(AND(Tabela1[[#This Row],[Data nascimento]]&gt;=$P$2,Tabela1[[#This Row],[Data nascimento]]&lt;=$O$2),"JUVENIL","JÚNIOR")</f>
        <v>JÚNIOR</v>
      </c>
    </row>
    <row r="1219" spans="1:10" ht="15" x14ac:dyDescent="0.4">
      <c r="A1219" s="13" t="s">
        <v>68</v>
      </c>
      <c r="B1219" s="2" t="s">
        <v>69</v>
      </c>
      <c r="C1219" s="4" t="s">
        <v>8</v>
      </c>
      <c r="D1219" s="11">
        <v>41671</v>
      </c>
      <c r="E1219" s="7" t="s">
        <v>70</v>
      </c>
      <c r="F1219" s="4" t="s">
        <v>4780</v>
      </c>
      <c r="G1219" s="12" t="str">
        <f>IF(AND(Tabela1[[#This Row],[Data nascimento]]&gt;=$J$2,Tabela1[[#This Row],[Data nascimento]]&lt;=$I$2),"INFANTIL A",H1219)</f>
        <v>INFANTIL B</v>
      </c>
      <c r="H1219" s="3" t="str">
        <f>IF(AND(Tabela1[[#This Row],[Data nascimento]]&gt;=$L$2,Tabela1[[#This Row],[Data nascimento]]&lt;=$K$2),"INFANTIL B",I1219)</f>
        <v>INFANTIL B</v>
      </c>
      <c r="I1219" s="9" t="str">
        <f>IF(AND(Tabela1[[#This Row],[Data nascimento]]&gt;=$N$2,Tabela1[[#This Row],[Data nascimento]]&lt;=$M$2),"INICIADO",J1219)</f>
        <v>JÚNIOR</v>
      </c>
      <c r="J1219" s="9" t="str">
        <f>IF(AND(Tabela1[[#This Row],[Data nascimento]]&gt;=$P$2,Tabela1[[#This Row],[Data nascimento]]&lt;=$O$2),"JUVENIL","JÚNIOR")</f>
        <v>JÚNIOR</v>
      </c>
    </row>
    <row r="1220" spans="1:10" ht="15" x14ac:dyDescent="0.4">
      <c r="A1220" s="13" t="s">
        <v>71</v>
      </c>
      <c r="B1220" s="2" t="s">
        <v>72</v>
      </c>
      <c r="C1220" s="4" t="s">
        <v>21</v>
      </c>
      <c r="D1220" s="11">
        <v>41783</v>
      </c>
      <c r="E1220" s="7" t="s">
        <v>73</v>
      </c>
      <c r="F1220" s="4" t="s">
        <v>4780</v>
      </c>
      <c r="G1220" s="12" t="str">
        <f>IF(AND(Tabela1[[#This Row],[Data nascimento]]&gt;=$J$2,Tabela1[[#This Row],[Data nascimento]]&lt;=$I$2),"INFANTIL A",H1220)</f>
        <v>INFANTIL B</v>
      </c>
      <c r="H1220" s="3" t="str">
        <f>IF(AND(Tabela1[[#This Row],[Data nascimento]]&gt;=$L$2,Tabela1[[#This Row],[Data nascimento]]&lt;=$K$2),"INFANTIL B",I1220)</f>
        <v>INFANTIL B</v>
      </c>
      <c r="I1220" s="9" t="str">
        <f>IF(AND(Tabela1[[#This Row],[Data nascimento]]&gt;=$N$2,Tabela1[[#This Row],[Data nascimento]]&lt;=$M$2),"INICIADO",J1220)</f>
        <v>JÚNIOR</v>
      </c>
      <c r="J1220" s="9" t="str">
        <f>IF(AND(Tabela1[[#This Row],[Data nascimento]]&gt;=$P$2,Tabela1[[#This Row],[Data nascimento]]&lt;=$O$2),"JUVENIL","JÚNIOR")</f>
        <v>JÚNIOR</v>
      </c>
    </row>
    <row r="1221" spans="1:10" ht="15" x14ac:dyDescent="0.4">
      <c r="A1221" s="13" t="s">
        <v>74</v>
      </c>
      <c r="B1221" s="2" t="s">
        <v>75</v>
      </c>
      <c r="C1221" s="4" t="s">
        <v>8</v>
      </c>
      <c r="D1221" s="11">
        <v>41447</v>
      </c>
      <c r="E1221" s="7" t="s">
        <v>76</v>
      </c>
      <c r="F1221" s="4" t="s">
        <v>4780</v>
      </c>
      <c r="G1221" s="12" t="str">
        <f>IF(AND(Tabela1[[#This Row],[Data nascimento]]&gt;=$J$2,Tabela1[[#This Row],[Data nascimento]]&lt;=$I$2),"INFANTIL A",H1221)</f>
        <v>INFANTIL B</v>
      </c>
      <c r="H1221" s="3" t="str">
        <f>IF(AND(Tabela1[[#This Row],[Data nascimento]]&gt;=$L$2,Tabela1[[#This Row],[Data nascimento]]&lt;=$K$2),"INFANTIL B",I1221)</f>
        <v>INFANTIL B</v>
      </c>
      <c r="I1221" s="9" t="str">
        <f>IF(AND(Tabela1[[#This Row],[Data nascimento]]&gt;=$N$2,Tabela1[[#This Row],[Data nascimento]]&lt;=$M$2),"INICIADO",J1221)</f>
        <v>JÚNIOR</v>
      </c>
      <c r="J1221" s="9" t="str">
        <f>IF(AND(Tabela1[[#This Row],[Data nascimento]]&gt;=$P$2,Tabela1[[#This Row],[Data nascimento]]&lt;=$O$2),"JUVENIL","JÚNIOR")</f>
        <v>JÚNIOR</v>
      </c>
    </row>
    <row r="1222" spans="1:10" ht="15" x14ac:dyDescent="0.4">
      <c r="A1222" s="13" t="s">
        <v>77</v>
      </c>
      <c r="B1222" s="2" t="s">
        <v>78</v>
      </c>
      <c r="C1222" s="4" t="s">
        <v>21</v>
      </c>
      <c r="D1222" s="11">
        <v>41693</v>
      </c>
      <c r="E1222" s="7" t="s">
        <v>79</v>
      </c>
      <c r="F1222" s="4" t="s">
        <v>4780</v>
      </c>
      <c r="G1222" s="12" t="str">
        <f>IF(AND(Tabela1[[#This Row],[Data nascimento]]&gt;=$J$2,Tabela1[[#This Row],[Data nascimento]]&lt;=$I$2),"INFANTIL A",H1222)</f>
        <v>INFANTIL B</v>
      </c>
      <c r="H1222" s="3" t="str">
        <f>IF(AND(Tabela1[[#This Row],[Data nascimento]]&gt;=$L$2,Tabela1[[#This Row],[Data nascimento]]&lt;=$K$2),"INFANTIL B",I1222)</f>
        <v>INFANTIL B</v>
      </c>
      <c r="I1222" s="9" t="str">
        <f>IF(AND(Tabela1[[#This Row],[Data nascimento]]&gt;=$N$2,Tabela1[[#This Row],[Data nascimento]]&lt;=$M$2),"INICIADO",J1222)</f>
        <v>JÚNIOR</v>
      </c>
      <c r="J1222" s="9" t="str">
        <f>IF(AND(Tabela1[[#This Row],[Data nascimento]]&gt;=$P$2,Tabela1[[#This Row],[Data nascimento]]&lt;=$O$2),"JUVENIL","JÚNIOR")</f>
        <v>JÚNIOR</v>
      </c>
    </row>
    <row r="1223" spans="1:10" ht="15" x14ac:dyDescent="0.4">
      <c r="A1223" s="13" t="s">
        <v>80</v>
      </c>
      <c r="B1223" s="2" t="s">
        <v>81</v>
      </c>
      <c r="C1223" s="4" t="s">
        <v>21</v>
      </c>
      <c r="D1223" s="11">
        <v>41803</v>
      </c>
      <c r="E1223" s="7" t="s">
        <v>82</v>
      </c>
      <c r="F1223" s="4" t="s">
        <v>4780</v>
      </c>
      <c r="G1223" s="12" t="str">
        <f>IF(AND(Tabela1[[#This Row],[Data nascimento]]&gt;=$J$2,Tabela1[[#This Row],[Data nascimento]]&lt;=$I$2),"INFANTIL A",H1223)</f>
        <v>INFANTIL B</v>
      </c>
      <c r="H1223" s="3" t="str">
        <f>IF(AND(Tabela1[[#This Row],[Data nascimento]]&gt;=$L$2,Tabela1[[#This Row],[Data nascimento]]&lt;=$K$2),"INFANTIL B",I1223)</f>
        <v>INFANTIL B</v>
      </c>
      <c r="I1223" s="9" t="str">
        <f>IF(AND(Tabela1[[#This Row],[Data nascimento]]&gt;=$N$2,Tabela1[[#This Row],[Data nascimento]]&lt;=$M$2),"INICIADO",J1223)</f>
        <v>JÚNIOR</v>
      </c>
      <c r="J1223" s="9" t="str">
        <f>IF(AND(Tabela1[[#This Row],[Data nascimento]]&gt;=$P$2,Tabela1[[#This Row],[Data nascimento]]&lt;=$O$2),"JUVENIL","JÚNIOR")</f>
        <v>JÚNIOR</v>
      </c>
    </row>
    <row r="1224" spans="1:10" ht="15" x14ac:dyDescent="0.4">
      <c r="A1224" s="13" t="s">
        <v>83</v>
      </c>
      <c r="B1224" s="2" t="s">
        <v>84</v>
      </c>
      <c r="C1224" s="4" t="s">
        <v>21</v>
      </c>
      <c r="D1224" s="11">
        <v>41497</v>
      </c>
      <c r="E1224" s="7" t="s">
        <v>85</v>
      </c>
      <c r="F1224" s="4" t="s">
        <v>4780</v>
      </c>
      <c r="G1224" s="12" t="str">
        <f>IF(AND(Tabela1[[#This Row],[Data nascimento]]&gt;=$J$2,Tabela1[[#This Row],[Data nascimento]]&lt;=$I$2),"INFANTIL A",H1224)</f>
        <v>INFANTIL B</v>
      </c>
      <c r="H1224" s="3" t="str">
        <f>IF(AND(Tabela1[[#This Row],[Data nascimento]]&gt;=$L$2,Tabela1[[#This Row],[Data nascimento]]&lt;=$K$2),"INFANTIL B",I1224)</f>
        <v>INFANTIL B</v>
      </c>
      <c r="I1224" s="9" t="str">
        <f>IF(AND(Tabela1[[#This Row],[Data nascimento]]&gt;=$N$2,Tabela1[[#This Row],[Data nascimento]]&lt;=$M$2),"INICIADO",J1224)</f>
        <v>JÚNIOR</v>
      </c>
      <c r="J1224" s="9" t="str">
        <f>IF(AND(Tabela1[[#This Row],[Data nascimento]]&gt;=$P$2,Tabela1[[#This Row],[Data nascimento]]&lt;=$O$2),"JUVENIL","JÚNIOR")</f>
        <v>JÚNIOR</v>
      </c>
    </row>
    <row r="1225" spans="1:10" ht="15" x14ac:dyDescent="0.4">
      <c r="A1225" s="13" t="s">
        <v>86</v>
      </c>
      <c r="B1225" s="2" t="s">
        <v>87</v>
      </c>
      <c r="C1225" s="4" t="s">
        <v>21</v>
      </c>
      <c r="D1225" s="11">
        <v>41859</v>
      </c>
      <c r="E1225" s="7" t="s">
        <v>88</v>
      </c>
      <c r="F1225" s="4" t="s">
        <v>4780</v>
      </c>
      <c r="G1225" s="12" t="str">
        <f>IF(AND(Tabela1[[#This Row],[Data nascimento]]&gt;=$J$2,Tabela1[[#This Row],[Data nascimento]]&lt;=$I$2),"INFANTIL A",H1225)</f>
        <v>INFANTIL B</v>
      </c>
      <c r="H1225" s="3" t="str">
        <f>IF(AND(Tabela1[[#This Row],[Data nascimento]]&gt;=$L$2,Tabela1[[#This Row],[Data nascimento]]&lt;=$K$2),"INFANTIL B",I1225)</f>
        <v>INFANTIL B</v>
      </c>
      <c r="I1225" s="9" t="str">
        <f>IF(AND(Tabela1[[#This Row],[Data nascimento]]&gt;=$N$2,Tabela1[[#This Row],[Data nascimento]]&lt;=$M$2),"INICIADO",J1225)</f>
        <v>JÚNIOR</v>
      </c>
      <c r="J1225" s="9" t="str">
        <f>IF(AND(Tabela1[[#This Row],[Data nascimento]]&gt;=$P$2,Tabela1[[#This Row],[Data nascimento]]&lt;=$O$2),"JUVENIL","JÚNIOR")</f>
        <v>JÚNIOR</v>
      </c>
    </row>
    <row r="1226" spans="1:10" ht="15" x14ac:dyDescent="0.4">
      <c r="A1226" s="13" t="s">
        <v>89</v>
      </c>
      <c r="B1226" s="2" t="s">
        <v>90</v>
      </c>
      <c r="C1226" s="4" t="s">
        <v>8</v>
      </c>
      <c r="D1226" s="11">
        <v>41863</v>
      </c>
      <c r="E1226" s="7" t="s">
        <v>91</v>
      </c>
      <c r="F1226" s="4" t="s">
        <v>4780</v>
      </c>
      <c r="G1226" s="12" t="str">
        <f>IF(AND(Tabela1[[#This Row],[Data nascimento]]&gt;=$J$2,Tabela1[[#This Row],[Data nascimento]]&lt;=$I$2),"INFANTIL A",H1226)</f>
        <v>INFANTIL B</v>
      </c>
      <c r="H1226" s="3" t="str">
        <f>IF(AND(Tabela1[[#This Row],[Data nascimento]]&gt;=$L$2,Tabela1[[#This Row],[Data nascimento]]&lt;=$K$2),"INFANTIL B",I1226)</f>
        <v>INFANTIL B</v>
      </c>
      <c r="I1226" s="9" t="str">
        <f>IF(AND(Tabela1[[#This Row],[Data nascimento]]&gt;=$N$2,Tabela1[[#This Row],[Data nascimento]]&lt;=$M$2),"INICIADO",J1226)</f>
        <v>JÚNIOR</v>
      </c>
      <c r="J1226" s="9" t="str">
        <f>IF(AND(Tabela1[[#This Row],[Data nascimento]]&gt;=$P$2,Tabela1[[#This Row],[Data nascimento]]&lt;=$O$2),"JUVENIL","JÚNIOR")</f>
        <v>JÚNIOR</v>
      </c>
    </row>
    <row r="1227" spans="1:10" ht="15" x14ac:dyDescent="0.4">
      <c r="A1227" s="13" t="s">
        <v>92</v>
      </c>
      <c r="B1227" s="2" t="s">
        <v>93</v>
      </c>
      <c r="C1227" s="4" t="s">
        <v>8</v>
      </c>
      <c r="D1227" s="11">
        <v>41557</v>
      </c>
      <c r="E1227" s="7" t="s">
        <v>94</v>
      </c>
      <c r="F1227" s="4" t="s">
        <v>4780</v>
      </c>
      <c r="G1227" s="12" t="str">
        <f>IF(AND(Tabela1[[#This Row],[Data nascimento]]&gt;=$J$2,Tabela1[[#This Row],[Data nascimento]]&lt;=$I$2),"INFANTIL A",H1227)</f>
        <v>INFANTIL B</v>
      </c>
      <c r="H1227" s="3" t="str">
        <f>IF(AND(Tabela1[[#This Row],[Data nascimento]]&gt;=$L$2,Tabela1[[#This Row],[Data nascimento]]&lt;=$K$2),"INFANTIL B",I1227)</f>
        <v>INFANTIL B</v>
      </c>
      <c r="I1227" s="9" t="str">
        <f>IF(AND(Tabela1[[#This Row],[Data nascimento]]&gt;=$N$2,Tabela1[[#This Row],[Data nascimento]]&lt;=$M$2),"INICIADO",J1227)</f>
        <v>JÚNIOR</v>
      </c>
      <c r="J1227" s="9" t="str">
        <f>IF(AND(Tabela1[[#This Row],[Data nascimento]]&gt;=$P$2,Tabela1[[#This Row],[Data nascimento]]&lt;=$O$2),"JUVENIL","JÚNIOR")</f>
        <v>JÚNIOR</v>
      </c>
    </row>
    <row r="1228" spans="1:10" ht="15" x14ac:dyDescent="0.4">
      <c r="A1228" s="13" t="s">
        <v>95</v>
      </c>
      <c r="B1228" s="2" t="s">
        <v>96</v>
      </c>
      <c r="C1228" s="4" t="s">
        <v>8</v>
      </c>
      <c r="D1228" s="11">
        <v>41898</v>
      </c>
      <c r="E1228" s="7" t="s">
        <v>97</v>
      </c>
      <c r="F1228" s="4" t="s">
        <v>4780</v>
      </c>
      <c r="G1228" s="12" t="str">
        <f>IF(AND(Tabela1[[#This Row],[Data nascimento]]&gt;=$J$2,Tabela1[[#This Row],[Data nascimento]]&lt;=$I$2),"INFANTIL A",H1228)</f>
        <v>INFANTIL B</v>
      </c>
      <c r="H1228" s="3" t="str">
        <f>IF(AND(Tabela1[[#This Row],[Data nascimento]]&gt;=$L$2,Tabela1[[#This Row],[Data nascimento]]&lt;=$K$2),"INFANTIL B",I1228)</f>
        <v>INFANTIL B</v>
      </c>
      <c r="I1228" s="9" t="str">
        <f>IF(AND(Tabela1[[#This Row],[Data nascimento]]&gt;=$N$2,Tabela1[[#This Row],[Data nascimento]]&lt;=$M$2),"INICIADO",J1228)</f>
        <v>JÚNIOR</v>
      </c>
      <c r="J1228" s="9" t="str">
        <f>IF(AND(Tabela1[[#This Row],[Data nascimento]]&gt;=$P$2,Tabela1[[#This Row],[Data nascimento]]&lt;=$O$2),"JUVENIL","JÚNIOR")</f>
        <v>JÚNIOR</v>
      </c>
    </row>
    <row r="1229" spans="1:10" ht="15" x14ac:dyDescent="0.4">
      <c r="A1229" s="13" t="s">
        <v>98</v>
      </c>
      <c r="B1229" s="2" t="s">
        <v>99</v>
      </c>
      <c r="C1229" s="4" t="s">
        <v>8</v>
      </c>
      <c r="D1229" s="11">
        <v>41436</v>
      </c>
      <c r="E1229" s="7" t="s">
        <v>100</v>
      </c>
      <c r="F1229" s="4" t="s">
        <v>4780</v>
      </c>
      <c r="G1229" s="12" t="str">
        <f>IF(AND(Tabela1[[#This Row],[Data nascimento]]&gt;=$J$2,Tabela1[[#This Row],[Data nascimento]]&lt;=$I$2),"INFANTIL A",H1229)</f>
        <v>INFANTIL B</v>
      </c>
      <c r="H1229" s="3" t="str">
        <f>IF(AND(Tabela1[[#This Row],[Data nascimento]]&gt;=$L$2,Tabela1[[#This Row],[Data nascimento]]&lt;=$K$2),"INFANTIL B",I1229)</f>
        <v>INFANTIL B</v>
      </c>
      <c r="I1229" s="9" t="str">
        <f>IF(AND(Tabela1[[#This Row],[Data nascimento]]&gt;=$N$2,Tabela1[[#This Row],[Data nascimento]]&lt;=$M$2),"INICIADO",J1229)</f>
        <v>JÚNIOR</v>
      </c>
      <c r="J1229" s="9" t="str">
        <f>IF(AND(Tabela1[[#This Row],[Data nascimento]]&gt;=$P$2,Tabela1[[#This Row],[Data nascimento]]&lt;=$O$2),"JUVENIL","JÚNIOR")</f>
        <v>JÚNIOR</v>
      </c>
    </row>
    <row r="1230" spans="1:10" ht="15" x14ac:dyDescent="0.4">
      <c r="A1230" s="13" t="s">
        <v>101</v>
      </c>
      <c r="B1230" s="2" t="s">
        <v>102</v>
      </c>
      <c r="C1230" s="4" t="s">
        <v>21</v>
      </c>
      <c r="D1230" s="11">
        <v>41889</v>
      </c>
      <c r="E1230" s="7" t="s">
        <v>103</v>
      </c>
      <c r="F1230" s="4" t="s">
        <v>4780</v>
      </c>
      <c r="G1230" s="12" t="str">
        <f>IF(AND(Tabela1[[#This Row],[Data nascimento]]&gt;=$J$2,Tabela1[[#This Row],[Data nascimento]]&lt;=$I$2),"INFANTIL A",H1230)</f>
        <v>INFANTIL B</v>
      </c>
      <c r="H1230" s="3" t="str">
        <f>IF(AND(Tabela1[[#This Row],[Data nascimento]]&gt;=$L$2,Tabela1[[#This Row],[Data nascimento]]&lt;=$K$2),"INFANTIL B",I1230)</f>
        <v>INFANTIL B</v>
      </c>
      <c r="I1230" s="9" t="str">
        <f>IF(AND(Tabela1[[#This Row],[Data nascimento]]&gt;=$N$2,Tabela1[[#This Row],[Data nascimento]]&lt;=$M$2),"INICIADO",J1230)</f>
        <v>JÚNIOR</v>
      </c>
      <c r="J1230" s="9" t="str">
        <f>IF(AND(Tabela1[[#This Row],[Data nascimento]]&gt;=$P$2,Tabela1[[#This Row],[Data nascimento]]&lt;=$O$2),"JUVENIL","JÚNIOR")</f>
        <v>JÚNIOR</v>
      </c>
    </row>
    <row r="1231" spans="1:10" ht="15" x14ac:dyDescent="0.4">
      <c r="A1231" s="13" t="s">
        <v>104</v>
      </c>
      <c r="B1231" s="2" t="s">
        <v>105</v>
      </c>
      <c r="C1231" s="4" t="s">
        <v>21</v>
      </c>
      <c r="D1231" s="11">
        <v>41816</v>
      </c>
      <c r="E1231" s="7" t="s">
        <v>106</v>
      </c>
      <c r="F1231" s="4" t="s">
        <v>4780</v>
      </c>
      <c r="G1231" s="12" t="str">
        <f>IF(AND(Tabela1[[#This Row],[Data nascimento]]&gt;=$J$2,Tabela1[[#This Row],[Data nascimento]]&lt;=$I$2),"INFANTIL A",H1231)</f>
        <v>INFANTIL B</v>
      </c>
      <c r="H1231" s="3" t="str">
        <f>IF(AND(Tabela1[[#This Row],[Data nascimento]]&gt;=$L$2,Tabela1[[#This Row],[Data nascimento]]&lt;=$K$2),"INFANTIL B",I1231)</f>
        <v>INFANTIL B</v>
      </c>
      <c r="I1231" s="9" t="str">
        <f>IF(AND(Tabela1[[#This Row],[Data nascimento]]&gt;=$N$2,Tabela1[[#This Row],[Data nascimento]]&lt;=$M$2),"INICIADO",J1231)</f>
        <v>JÚNIOR</v>
      </c>
      <c r="J1231" s="9" t="str">
        <f>IF(AND(Tabela1[[#This Row],[Data nascimento]]&gt;=$P$2,Tabela1[[#This Row],[Data nascimento]]&lt;=$O$2),"JUVENIL","JÚNIOR")</f>
        <v>JÚNIOR</v>
      </c>
    </row>
    <row r="1232" spans="1:10" ht="15" x14ac:dyDescent="0.4">
      <c r="A1232" s="13" t="s">
        <v>1763</v>
      </c>
      <c r="B1232" s="2" t="s">
        <v>1764</v>
      </c>
      <c r="C1232" s="4" t="s">
        <v>8</v>
      </c>
      <c r="D1232" s="11">
        <v>41933</v>
      </c>
      <c r="E1232" s="7" t="s">
        <v>1765</v>
      </c>
      <c r="F1232" s="4" t="s">
        <v>4780</v>
      </c>
      <c r="G1232" s="12" t="str">
        <f>IF(AND(Tabela1[[#This Row],[Data nascimento]]&gt;=$J$2,Tabela1[[#This Row],[Data nascimento]]&lt;=$I$2),"INFANTIL A",H1232)</f>
        <v>INFANTIL B</v>
      </c>
      <c r="H1232" s="3" t="str">
        <f>IF(AND(Tabela1[[#This Row],[Data nascimento]]&gt;=$L$2,Tabela1[[#This Row],[Data nascimento]]&lt;=$K$2),"INFANTIL B",I1232)</f>
        <v>INFANTIL B</v>
      </c>
      <c r="I1232" s="9" t="str">
        <f>IF(AND(Tabela1[[#This Row],[Data nascimento]]&gt;=$N$2,Tabela1[[#This Row],[Data nascimento]]&lt;=$M$2),"INICIADO",J1232)</f>
        <v>JÚNIOR</v>
      </c>
      <c r="J1232" s="9" t="str">
        <f>IF(AND(Tabela1[[#This Row],[Data nascimento]]&gt;=$P$2,Tabela1[[#This Row],[Data nascimento]]&lt;=$O$2),"JUVENIL","JÚNIOR")</f>
        <v>JÚNIOR</v>
      </c>
    </row>
    <row r="1233" spans="1:10" ht="15" x14ac:dyDescent="0.4">
      <c r="A1233" s="13" t="s">
        <v>1766</v>
      </c>
      <c r="B1233" s="2" t="s">
        <v>1767</v>
      </c>
      <c r="C1233" s="4" t="s">
        <v>8</v>
      </c>
      <c r="D1233" s="11">
        <v>41645</v>
      </c>
      <c r="E1233" s="7" t="s">
        <v>1768</v>
      </c>
      <c r="F1233" s="4" t="s">
        <v>4780</v>
      </c>
      <c r="G1233" s="12" t="str">
        <f>IF(AND(Tabela1[[#This Row],[Data nascimento]]&gt;=$J$2,Tabela1[[#This Row],[Data nascimento]]&lt;=$I$2),"INFANTIL A",H1233)</f>
        <v>INFANTIL B</v>
      </c>
      <c r="H1233" s="3" t="str">
        <f>IF(AND(Tabela1[[#This Row],[Data nascimento]]&gt;=$L$2,Tabela1[[#This Row],[Data nascimento]]&lt;=$K$2),"INFANTIL B",I1233)</f>
        <v>INFANTIL B</v>
      </c>
      <c r="I1233" s="9" t="str">
        <f>IF(AND(Tabela1[[#This Row],[Data nascimento]]&gt;=$N$2,Tabela1[[#This Row],[Data nascimento]]&lt;=$M$2),"INICIADO",J1233)</f>
        <v>JÚNIOR</v>
      </c>
      <c r="J1233" s="9" t="str">
        <f>IF(AND(Tabela1[[#This Row],[Data nascimento]]&gt;=$P$2,Tabela1[[#This Row],[Data nascimento]]&lt;=$O$2),"JUVENIL","JÚNIOR")</f>
        <v>JÚNIOR</v>
      </c>
    </row>
    <row r="1234" spans="1:10" ht="15" x14ac:dyDescent="0.4">
      <c r="A1234" s="13" t="s">
        <v>1769</v>
      </c>
      <c r="B1234" s="2" t="s">
        <v>1770</v>
      </c>
      <c r="C1234" s="4" t="s">
        <v>8</v>
      </c>
      <c r="D1234" s="11">
        <v>40091</v>
      </c>
      <c r="E1234" s="7" t="s">
        <v>1771</v>
      </c>
      <c r="F1234" s="4" t="s">
        <v>4780</v>
      </c>
      <c r="G1234" s="12" t="str">
        <f>IF(AND(Tabela1[[#This Row],[Data nascimento]]&gt;=$J$2,Tabela1[[#This Row],[Data nascimento]]&lt;=$I$2),"INFANTIL A",H1234)</f>
        <v>JUVENIL</v>
      </c>
      <c r="H1234" s="3" t="str">
        <f>IF(AND(Tabela1[[#This Row],[Data nascimento]]&gt;=$L$2,Tabela1[[#This Row],[Data nascimento]]&lt;=$K$2),"INFANTIL B",I1234)</f>
        <v>JUVENIL</v>
      </c>
      <c r="I1234" s="9" t="str">
        <f>IF(AND(Tabela1[[#This Row],[Data nascimento]]&gt;=$N$2,Tabela1[[#This Row],[Data nascimento]]&lt;=$M$2),"INICIADO",J1234)</f>
        <v>JUVENIL</v>
      </c>
      <c r="J1234" s="9" t="str">
        <f>IF(AND(Tabela1[[#This Row],[Data nascimento]]&gt;=$P$2,Tabela1[[#This Row],[Data nascimento]]&lt;=$O$2),"JUVENIL","JÚNIOR")</f>
        <v>JUVENIL</v>
      </c>
    </row>
    <row r="1235" spans="1:10" ht="15" x14ac:dyDescent="0.4">
      <c r="A1235" s="13" t="s">
        <v>1772</v>
      </c>
      <c r="B1235" s="2" t="s">
        <v>1773</v>
      </c>
      <c r="C1235" s="4" t="s">
        <v>21</v>
      </c>
      <c r="D1235" s="11">
        <v>41933</v>
      </c>
      <c r="E1235" s="7" t="s">
        <v>1774</v>
      </c>
      <c r="F1235" s="4" t="s">
        <v>4780</v>
      </c>
      <c r="G1235" s="12" t="str">
        <f>IF(AND(Tabela1[[#This Row],[Data nascimento]]&gt;=$J$2,Tabela1[[#This Row],[Data nascimento]]&lt;=$I$2),"INFANTIL A",H1235)</f>
        <v>INFANTIL B</v>
      </c>
      <c r="H1235" s="3" t="str">
        <f>IF(AND(Tabela1[[#This Row],[Data nascimento]]&gt;=$L$2,Tabela1[[#This Row],[Data nascimento]]&lt;=$K$2),"INFANTIL B",I1235)</f>
        <v>INFANTIL B</v>
      </c>
      <c r="I1235" s="9" t="str">
        <f>IF(AND(Tabela1[[#This Row],[Data nascimento]]&gt;=$N$2,Tabela1[[#This Row],[Data nascimento]]&lt;=$M$2),"INICIADO",J1235)</f>
        <v>JÚNIOR</v>
      </c>
      <c r="J1235" s="9" t="str">
        <f>IF(AND(Tabela1[[#This Row],[Data nascimento]]&gt;=$P$2,Tabela1[[#This Row],[Data nascimento]]&lt;=$O$2),"JUVENIL","JÚNIOR")</f>
        <v>JÚNIOR</v>
      </c>
    </row>
    <row r="1236" spans="1:10" ht="15" x14ac:dyDescent="0.4">
      <c r="A1236" s="13" t="s">
        <v>1775</v>
      </c>
      <c r="B1236" s="2" t="s">
        <v>1776</v>
      </c>
      <c r="C1236" s="4" t="s">
        <v>8</v>
      </c>
      <c r="D1236" s="11">
        <v>41994</v>
      </c>
      <c r="E1236" s="7" t="s">
        <v>1777</v>
      </c>
      <c r="F1236" s="4" t="s">
        <v>4780</v>
      </c>
      <c r="G1236" s="12" t="str">
        <f>IF(AND(Tabela1[[#This Row],[Data nascimento]]&gt;=$J$2,Tabela1[[#This Row],[Data nascimento]]&lt;=$I$2),"INFANTIL A",H1236)</f>
        <v>INFANTIL B</v>
      </c>
      <c r="H1236" s="3" t="str">
        <f>IF(AND(Tabela1[[#This Row],[Data nascimento]]&gt;=$L$2,Tabela1[[#This Row],[Data nascimento]]&lt;=$K$2),"INFANTIL B",I1236)</f>
        <v>INFANTIL B</v>
      </c>
      <c r="I1236" s="9" t="str">
        <f>IF(AND(Tabela1[[#This Row],[Data nascimento]]&gt;=$N$2,Tabela1[[#This Row],[Data nascimento]]&lt;=$M$2),"INICIADO",J1236)</f>
        <v>JÚNIOR</v>
      </c>
      <c r="J1236" s="9" t="str">
        <f>IF(AND(Tabela1[[#This Row],[Data nascimento]]&gt;=$P$2,Tabela1[[#This Row],[Data nascimento]]&lt;=$O$2),"JUVENIL","JÚNIOR")</f>
        <v>JÚNIOR</v>
      </c>
    </row>
    <row r="1237" spans="1:10" ht="15" x14ac:dyDescent="0.4">
      <c r="A1237" s="13" t="s">
        <v>1778</v>
      </c>
      <c r="B1237" s="2" t="s">
        <v>1779</v>
      </c>
      <c r="C1237" s="4" t="s">
        <v>8</v>
      </c>
      <c r="D1237" s="11">
        <v>41738</v>
      </c>
      <c r="E1237" s="7" t="s">
        <v>1780</v>
      </c>
      <c r="F1237" s="4" t="s">
        <v>4781</v>
      </c>
      <c r="G1237" s="12" t="str">
        <f>IF(AND(Tabela1[[#This Row],[Data nascimento]]&gt;=$J$2,Tabela1[[#This Row],[Data nascimento]]&lt;=$I$2),"INFANTIL A",H1237)</f>
        <v>INFANTIL B</v>
      </c>
      <c r="H1237" s="3" t="str">
        <f>IF(AND(Tabela1[[#This Row],[Data nascimento]]&gt;=$L$2,Tabela1[[#This Row],[Data nascimento]]&lt;=$K$2),"INFANTIL B",I1237)</f>
        <v>INFANTIL B</v>
      </c>
      <c r="I1237" s="9" t="str">
        <f>IF(AND(Tabela1[[#This Row],[Data nascimento]]&gt;=$N$2,Tabela1[[#This Row],[Data nascimento]]&lt;=$M$2),"INICIADO",J1237)</f>
        <v>JÚNIOR</v>
      </c>
      <c r="J1237" s="9" t="str">
        <f>IF(AND(Tabela1[[#This Row],[Data nascimento]]&gt;=$P$2,Tabela1[[#This Row],[Data nascimento]]&lt;=$O$2),"JUVENIL","JÚNIOR")</f>
        <v>JÚNIOR</v>
      </c>
    </row>
    <row r="1238" spans="1:10" ht="15" x14ac:dyDescent="0.4">
      <c r="A1238" s="13" t="s">
        <v>1781</v>
      </c>
      <c r="B1238" s="2" t="s">
        <v>1782</v>
      </c>
      <c r="C1238" s="4" t="s">
        <v>8</v>
      </c>
      <c r="D1238" s="11">
        <v>41662</v>
      </c>
      <c r="E1238" s="7" t="s">
        <v>1783</v>
      </c>
      <c r="F1238" s="4" t="s">
        <v>4781</v>
      </c>
      <c r="G1238" s="12" t="str">
        <f>IF(AND(Tabela1[[#This Row],[Data nascimento]]&gt;=$J$2,Tabela1[[#This Row],[Data nascimento]]&lt;=$I$2),"INFANTIL A",H1238)</f>
        <v>INFANTIL B</v>
      </c>
      <c r="H1238" s="3" t="str">
        <f>IF(AND(Tabela1[[#This Row],[Data nascimento]]&gt;=$L$2,Tabela1[[#This Row],[Data nascimento]]&lt;=$K$2),"INFANTIL B",I1238)</f>
        <v>INFANTIL B</v>
      </c>
      <c r="I1238" s="9" t="str">
        <f>IF(AND(Tabela1[[#This Row],[Data nascimento]]&gt;=$N$2,Tabela1[[#This Row],[Data nascimento]]&lt;=$M$2),"INICIADO",J1238)</f>
        <v>JÚNIOR</v>
      </c>
      <c r="J1238" s="9" t="str">
        <f>IF(AND(Tabela1[[#This Row],[Data nascimento]]&gt;=$P$2,Tabela1[[#This Row],[Data nascimento]]&lt;=$O$2),"JUVENIL","JÚNIOR")</f>
        <v>JÚNIOR</v>
      </c>
    </row>
    <row r="1239" spans="1:10" ht="15" x14ac:dyDescent="0.4">
      <c r="A1239" s="13" t="s">
        <v>1784</v>
      </c>
      <c r="B1239" s="2" t="s">
        <v>1785</v>
      </c>
      <c r="C1239" s="4" t="s">
        <v>8</v>
      </c>
      <c r="D1239" s="11">
        <v>41540</v>
      </c>
      <c r="E1239" s="7" t="s">
        <v>1786</v>
      </c>
      <c r="F1239" s="4" t="s">
        <v>4781</v>
      </c>
      <c r="G1239" s="12" t="str">
        <f>IF(AND(Tabela1[[#This Row],[Data nascimento]]&gt;=$J$2,Tabela1[[#This Row],[Data nascimento]]&lt;=$I$2),"INFANTIL A",H1239)</f>
        <v>INFANTIL B</v>
      </c>
      <c r="H1239" s="3" t="str">
        <f>IF(AND(Tabela1[[#This Row],[Data nascimento]]&gt;=$L$2,Tabela1[[#This Row],[Data nascimento]]&lt;=$K$2),"INFANTIL B",I1239)</f>
        <v>INFANTIL B</v>
      </c>
      <c r="I1239" s="9" t="str">
        <f>IF(AND(Tabela1[[#This Row],[Data nascimento]]&gt;=$N$2,Tabela1[[#This Row],[Data nascimento]]&lt;=$M$2),"INICIADO",J1239)</f>
        <v>JÚNIOR</v>
      </c>
      <c r="J1239" s="9" t="str">
        <f>IF(AND(Tabela1[[#This Row],[Data nascimento]]&gt;=$P$2,Tabela1[[#This Row],[Data nascimento]]&lt;=$O$2),"JUVENIL","JÚNIOR")</f>
        <v>JÚNIOR</v>
      </c>
    </row>
    <row r="1240" spans="1:10" ht="15" x14ac:dyDescent="0.4">
      <c r="A1240" s="13" t="s">
        <v>1787</v>
      </c>
      <c r="B1240" s="2" t="s">
        <v>1788</v>
      </c>
      <c r="C1240" s="4" t="s">
        <v>8</v>
      </c>
      <c r="D1240" s="11">
        <v>41493</v>
      </c>
      <c r="E1240" s="7" t="s">
        <v>1789</v>
      </c>
      <c r="F1240" s="4" t="s">
        <v>4781</v>
      </c>
      <c r="G1240" s="12" t="str">
        <f>IF(AND(Tabela1[[#This Row],[Data nascimento]]&gt;=$J$2,Tabela1[[#This Row],[Data nascimento]]&lt;=$I$2),"INFANTIL A",H1240)</f>
        <v>INFANTIL B</v>
      </c>
      <c r="H1240" s="3" t="str">
        <f>IF(AND(Tabela1[[#This Row],[Data nascimento]]&gt;=$L$2,Tabela1[[#This Row],[Data nascimento]]&lt;=$K$2),"INFANTIL B",I1240)</f>
        <v>INFANTIL B</v>
      </c>
      <c r="I1240" s="9" t="str">
        <f>IF(AND(Tabela1[[#This Row],[Data nascimento]]&gt;=$N$2,Tabela1[[#This Row],[Data nascimento]]&lt;=$M$2),"INICIADO",J1240)</f>
        <v>JÚNIOR</v>
      </c>
      <c r="J1240" s="9" t="str">
        <f>IF(AND(Tabela1[[#This Row],[Data nascimento]]&gt;=$P$2,Tabela1[[#This Row],[Data nascimento]]&lt;=$O$2),"JUVENIL","JÚNIOR")</f>
        <v>JÚNIOR</v>
      </c>
    </row>
    <row r="1241" spans="1:10" ht="15" x14ac:dyDescent="0.4">
      <c r="A1241" s="13" t="s">
        <v>1790</v>
      </c>
      <c r="B1241" s="2" t="s">
        <v>1791</v>
      </c>
      <c r="C1241" s="4" t="s">
        <v>8</v>
      </c>
      <c r="D1241" s="11">
        <v>41555</v>
      </c>
      <c r="E1241" s="7" t="s">
        <v>1792</v>
      </c>
      <c r="F1241" s="4" t="s">
        <v>4781</v>
      </c>
      <c r="G1241" s="12" t="str">
        <f>IF(AND(Tabela1[[#This Row],[Data nascimento]]&gt;=$J$2,Tabela1[[#This Row],[Data nascimento]]&lt;=$I$2),"INFANTIL A",H1241)</f>
        <v>INFANTIL B</v>
      </c>
      <c r="H1241" s="3" t="str">
        <f>IF(AND(Tabela1[[#This Row],[Data nascimento]]&gt;=$L$2,Tabela1[[#This Row],[Data nascimento]]&lt;=$K$2),"INFANTIL B",I1241)</f>
        <v>INFANTIL B</v>
      </c>
      <c r="I1241" s="9" t="str">
        <f>IF(AND(Tabela1[[#This Row],[Data nascimento]]&gt;=$N$2,Tabela1[[#This Row],[Data nascimento]]&lt;=$M$2),"INICIADO",J1241)</f>
        <v>JÚNIOR</v>
      </c>
      <c r="J1241" s="9" t="str">
        <f>IF(AND(Tabela1[[#This Row],[Data nascimento]]&gt;=$P$2,Tabela1[[#This Row],[Data nascimento]]&lt;=$O$2),"JUVENIL","JÚNIOR")</f>
        <v>JÚNIOR</v>
      </c>
    </row>
    <row r="1242" spans="1:10" ht="15" x14ac:dyDescent="0.4">
      <c r="A1242" s="13" t="s">
        <v>1793</v>
      </c>
      <c r="B1242" s="2" t="s">
        <v>1794</v>
      </c>
      <c r="C1242" s="4" t="s">
        <v>8</v>
      </c>
      <c r="D1242" s="11">
        <v>41782</v>
      </c>
      <c r="E1242" s="7" t="s">
        <v>1795</v>
      </c>
      <c r="F1242" s="4" t="s">
        <v>4781</v>
      </c>
      <c r="G1242" s="12" t="str">
        <f>IF(AND(Tabela1[[#This Row],[Data nascimento]]&gt;=$J$2,Tabela1[[#This Row],[Data nascimento]]&lt;=$I$2),"INFANTIL A",H1242)</f>
        <v>INFANTIL B</v>
      </c>
      <c r="H1242" s="3" t="str">
        <f>IF(AND(Tabela1[[#This Row],[Data nascimento]]&gt;=$L$2,Tabela1[[#This Row],[Data nascimento]]&lt;=$K$2),"INFANTIL B",I1242)</f>
        <v>INFANTIL B</v>
      </c>
      <c r="I1242" s="9" t="str">
        <f>IF(AND(Tabela1[[#This Row],[Data nascimento]]&gt;=$N$2,Tabela1[[#This Row],[Data nascimento]]&lt;=$M$2),"INICIADO",J1242)</f>
        <v>JÚNIOR</v>
      </c>
      <c r="J1242" s="9" t="str">
        <f>IF(AND(Tabela1[[#This Row],[Data nascimento]]&gt;=$P$2,Tabela1[[#This Row],[Data nascimento]]&lt;=$O$2),"JUVENIL","JÚNIOR")</f>
        <v>JÚNIOR</v>
      </c>
    </row>
    <row r="1243" spans="1:10" ht="15" x14ac:dyDescent="0.4">
      <c r="A1243" s="13" t="s">
        <v>1796</v>
      </c>
      <c r="B1243" s="2" t="s">
        <v>1797</v>
      </c>
      <c r="C1243" s="4" t="s">
        <v>21</v>
      </c>
      <c r="D1243" s="11">
        <v>41738</v>
      </c>
      <c r="E1243" s="7" t="s">
        <v>1798</v>
      </c>
      <c r="F1243" s="4" t="s">
        <v>4781</v>
      </c>
      <c r="G1243" s="12" t="str">
        <f>IF(AND(Tabela1[[#This Row],[Data nascimento]]&gt;=$J$2,Tabela1[[#This Row],[Data nascimento]]&lt;=$I$2),"INFANTIL A",H1243)</f>
        <v>INFANTIL B</v>
      </c>
      <c r="H1243" s="3" t="str">
        <f>IF(AND(Tabela1[[#This Row],[Data nascimento]]&gt;=$L$2,Tabela1[[#This Row],[Data nascimento]]&lt;=$K$2),"INFANTIL B",I1243)</f>
        <v>INFANTIL B</v>
      </c>
      <c r="I1243" s="9" t="str">
        <f>IF(AND(Tabela1[[#This Row],[Data nascimento]]&gt;=$N$2,Tabela1[[#This Row],[Data nascimento]]&lt;=$M$2),"INICIADO",J1243)</f>
        <v>JÚNIOR</v>
      </c>
      <c r="J1243" s="9" t="str">
        <f>IF(AND(Tabela1[[#This Row],[Data nascimento]]&gt;=$P$2,Tabela1[[#This Row],[Data nascimento]]&lt;=$O$2),"JUVENIL","JÚNIOR")</f>
        <v>JÚNIOR</v>
      </c>
    </row>
    <row r="1244" spans="1:10" ht="15" x14ac:dyDescent="0.4">
      <c r="A1244" s="13" t="s">
        <v>1799</v>
      </c>
      <c r="B1244" s="2" t="s">
        <v>1800</v>
      </c>
      <c r="C1244" s="4" t="s">
        <v>8</v>
      </c>
      <c r="D1244" s="11">
        <v>41691</v>
      </c>
      <c r="E1244" s="7" t="s">
        <v>1801</v>
      </c>
      <c r="F1244" s="4" t="s">
        <v>4781</v>
      </c>
      <c r="G1244" s="12" t="str">
        <f>IF(AND(Tabela1[[#This Row],[Data nascimento]]&gt;=$J$2,Tabela1[[#This Row],[Data nascimento]]&lt;=$I$2),"INFANTIL A",H1244)</f>
        <v>INFANTIL B</v>
      </c>
      <c r="H1244" s="3" t="str">
        <f>IF(AND(Tabela1[[#This Row],[Data nascimento]]&gt;=$L$2,Tabela1[[#This Row],[Data nascimento]]&lt;=$K$2),"INFANTIL B",I1244)</f>
        <v>INFANTIL B</v>
      </c>
      <c r="I1244" s="9" t="str">
        <f>IF(AND(Tabela1[[#This Row],[Data nascimento]]&gt;=$N$2,Tabela1[[#This Row],[Data nascimento]]&lt;=$M$2),"INICIADO",J1244)</f>
        <v>JÚNIOR</v>
      </c>
      <c r="J1244" s="9" t="str">
        <f>IF(AND(Tabela1[[#This Row],[Data nascimento]]&gt;=$P$2,Tabela1[[#This Row],[Data nascimento]]&lt;=$O$2),"JUVENIL","JÚNIOR")</f>
        <v>JÚNIOR</v>
      </c>
    </row>
    <row r="1245" spans="1:10" ht="15" x14ac:dyDescent="0.4">
      <c r="A1245" s="13" t="s">
        <v>1802</v>
      </c>
      <c r="B1245" s="2" t="s">
        <v>1803</v>
      </c>
      <c r="C1245" s="4" t="s">
        <v>21</v>
      </c>
      <c r="D1245" s="11">
        <v>41670</v>
      </c>
      <c r="E1245" s="7" t="s">
        <v>1804</v>
      </c>
      <c r="F1245" s="4" t="s">
        <v>4781</v>
      </c>
      <c r="G1245" s="12" t="str">
        <f>IF(AND(Tabela1[[#This Row],[Data nascimento]]&gt;=$J$2,Tabela1[[#This Row],[Data nascimento]]&lt;=$I$2),"INFANTIL A",H1245)</f>
        <v>INFANTIL B</v>
      </c>
      <c r="H1245" s="3" t="str">
        <f>IF(AND(Tabela1[[#This Row],[Data nascimento]]&gt;=$L$2,Tabela1[[#This Row],[Data nascimento]]&lt;=$K$2),"INFANTIL B",I1245)</f>
        <v>INFANTIL B</v>
      </c>
      <c r="I1245" s="9" t="str">
        <f>IF(AND(Tabela1[[#This Row],[Data nascimento]]&gt;=$N$2,Tabela1[[#This Row],[Data nascimento]]&lt;=$M$2),"INICIADO",J1245)</f>
        <v>JÚNIOR</v>
      </c>
      <c r="J1245" s="9" t="str">
        <f>IF(AND(Tabela1[[#This Row],[Data nascimento]]&gt;=$P$2,Tabela1[[#This Row],[Data nascimento]]&lt;=$O$2),"JUVENIL","JÚNIOR")</f>
        <v>JÚNIOR</v>
      </c>
    </row>
    <row r="1246" spans="1:10" ht="15" x14ac:dyDescent="0.4">
      <c r="A1246" s="13" t="s">
        <v>1805</v>
      </c>
      <c r="B1246" s="2" t="s">
        <v>1806</v>
      </c>
      <c r="C1246" s="4" t="s">
        <v>21</v>
      </c>
      <c r="D1246" s="11">
        <v>41869</v>
      </c>
      <c r="E1246" s="7" t="s">
        <v>1807</v>
      </c>
      <c r="F1246" s="4" t="s">
        <v>4781</v>
      </c>
      <c r="G1246" s="12" t="str">
        <f>IF(AND(Tabela1[[#This Row],[Data nascimento]]&gt;=$J$2,Tabela1[[#This Row],[Data nascimento]]&lt;=$I$2),"INFANTIL A",H1246)</f>
        <v>INFANTIL B</v>
      </c>
      <c r="H1246" s="3" t="str">
        <f>IF(AND(Tabela1[[#This Row],[Data nascimento]]&gt;=$L$2,Tabela1[[#This Row],[Data nascimento]]&lt;=$K$2),"INFANTIL B",I1246)</f>
        <v>INFANTIL B</v>
      </c>
      <c r="I1246" s="9" t="str">
        <f>IF(AND(Tabela1[[#This Row],[Data nascimento]]&gt;=$N$2,Tabela1[[#This Row],[Data nascimento]]&lt;=$M$2),"INICIADO",J1246)</f>
        <v>JÚNIOR</v>
      </c>
      <c r="J1246" s="9" t="str">
        <f>IF(AND(Tabela1[[#This Row],[Data nascimento]]&gt;=$P$2,Tabela1[[#This Row],[Data nascimento]]&lt;=$O$2),"JUVENIL","JÚNIOR")</f>
        <v>JÚNIOR</v>
      </c>
    </row>
    <row r="1247" spans="1:10" ht="15" x14ac:dyDescent="0.4">
      <c r="A1247" s="13" t="s">
        <v>1808</v>
      </c>
      <c r="B1247" s="2" t="s">
        <v>1809</v>
      </c>
      <c r="C1247" s="4" t="s">
        <v>21</v>
      </c>
      <c r="D1247" s="11">
        <v>41979</v>
      </c>
      <c r="E1247" s="7" t="s">
        <v>1810</v>
      </c>
      <c r="F1247" s="4" t="s">
        <v>4781</v>
      </c>
      <c r="G1247" s="12" t="str">
        <f>IF(AND(Tabela1[[#This Row],[Data nascimento]]&gt;=$J$2,Tabela1[[#This Row],[Data nascimento]]&lt;=$I$2),"INFANTIL A",H1247)</f>
        <v>INFANTIL B</v>
      </c>
      <c r="H1247" s="3" t="str">
        <f>IF(AND(Tabela1[[#This Row],[Data nascimento]]&gt;=$L$2,Tabela1[[#This Row],[Data nascimento]]&lt;=$K$2),"INFANTIL B",I1247)</f>
        <v>INFANTIL B</v>
      </c>
      <c r="I1247" s="9" t="str">
        <f>IF(AND(Tabela1[[#This Row],[Data nascimento]]&gt;=$N$2,Tabela1[[#This Row],[Data nascimento]]&lt;=$M$2),"INICIADO",J1247)</f>
        <v>JÚNIOR</v>
      </c>
      <c r="J1247" s="9" t="str">
        <f>IF(AND(Tabela1[[#This Row],[Data nascimento]]&gt;=$P$2,Tabela1[[#This Row],[Data nascimento]]&lt;=$O$2),"JUVENIL","JÚNIOR")</f>
        <v>JÚNIOR</v>
      </c>
    </row>
    <row r="1248" spans="1:10" ht="15" x14ac:dyDescent="0.4">
      <c r="A1248" s="13" t="s">
        <v>1811</v>
      </c>
      <c r="B1248" s="2" t="s">
        <v>1812</v>
      </c>
      <c r="C1248" s="4" t="s">
        <v>21</v>
      </c>
      <c r="D1248" s="11">
        <v>41873</v>
      </c>
      <c r="E1248" s="7" t="s">
        <v>1813</v>
      </c>
      <c r="F1248" s="4" t="s">
        <v>4781</v>
      </c>
      <c r="G1248" s="12" t="str">
        <f>IF(AND(Tabela1[[#This Row],[Data nascimento]]&gt;=$J$2,Tabela1[[#This Row],[Data nascimento]]&lt;=$I$2),"INFANTIL A",H1248)</f>
        <v>INFANTIL B</v>
      </c>
      <c r="H1248" s="3" t="str">
        <f>IF(AND(Tabela1[[#This Row],[Data nascimento]]&gt;=$L$2,Tabela1[[#This Row],[Data nascimento]]&lt;=$K$2),"INFANTIL B",I1248)</f>
        <v>INFANTIL B</v>
      </c>
      <c r="I1248" s="9" t="str">
        <f>IF(AND(Tabela1[[#This Row],[Data nascimento]]&gt;=$N$2,Tabela1[[#This Row],[Data nascimento]]&lt;=$M$2),"INICIADO",J1248)</f>
        <v>JÚNIOR</v>
      </c>
      <c r="J1248" s="9" t="str">
        <f>IF(AND(Tabela1[[#This Row],[Data nascimento]]&gt;=$P$2,Tabela1[[#This Row],[Data nascimento]]&lt;=$O$2),"JUVENIL","JÚNIOR")</f>
        <v>JÚNIOR</v>
      </c>
    </row>
    <row r="1249" spans="1:10" ht="15" x14ac:dyDescent="0.4">
      <c r="A1249" s="13" t="s">
        <v>1814</v>
      </c>
      <c r="B1249" s="2" t="s">
        <v>1815</v>
      </c>
      <c r="C1249" s="4" t="s">
        <v>21</v>
      </c>
      <c r="D1249" s="11">
        <v>41881</v>
      </c>
      <c r="E1249" s="7" t="s">
        <v>1816</v>
      </c>
      <c r="F1249" s="4" t="s">
        <v>4781</v>
      </c>
      <c r="G1249" s="12" t="str">
        <f>IF(AND(Tabela1[[#This Row],[Data nascimento]]&gt;=$J$2,Tabela1[[#This Row],[Data nascimento]]&lt;=$I$2),"INFANTIL A",H1249)</f>
        <v>INFANTIL B</v>
      </c>
      <c r="H1249" s="3" t="str">
        <f>IF(AND(Tabela1[[#This Row],[Data nascimento]]&gt;=$L$2,Tabela1[[#This Row],[Data nascimento]]&lt;=$K$2),"INFANTIL B",I1249)</f>
        <v>INFANTIL B</v>
      </c>
      <c r="I1249" s="9" t="str">
        <f>IF(AND(Tabela1[[#This Row],[Data nascimento]]&gt;=$N$2,Tabela1[[#This Row],[Data nascimento]]&lt;=$M$2),"INICIADO",J1249)</f>
        <v>JÚNIOR</v>
      </c>
      <c r="J1249" s="9" t="str">
        <f>IF(AND(Tabela1[[#This Row],[Data nascimento]]&gt;=$P$2,Tabela1[[#This Row],[Data nascimento]]&lt;=$O$2),"JUVENIL","JÚNIOR")</f>
        <v>JÚNIOR</v>
      </c>
    </row>
    <row r="1250" spans="1:10" ht="15" x14ac:dyDescent="0.4">
      <c r="A1250" s="13" t="s">
        <v>1817</v>
      </c>
      <c r="B1250" s="2" t="s">
        <v>1818</v>
      </c>
      <c r="C1250" s="4" t="s">
        <v>21</v>
      </c>
      <c r="D1250" s="11">
        <v>41644</v>
      </c>
      <c r="E1250" s="7" t="s">
        <v>1819</v>
      </c>
      <c r="F1250" s="4" t="s">
        <v>4781</v>
      </c>
      <c r="G1250" s="12" t="str">
        <f>IF(AND(Tabela1[[#This Row],[Data nascimento]]&gt;=$J$2,Tabela1[[#This Row],[Data nascimento]]&lt;=$I$2),"INFANTIL A",H1250)</f>
        <v>INFANTIL B</v>
      </c>
      <c r="H1250" s="3" t="str">
        <f>IF(AND(Tabela1[[#This Row],[Data nascimento]]&gt;=$L$2,Tabela1[[#This Row],[Data nascimento]]&lt;=$K$2),"INFANTIL B",I1250)</f>
        <v>INFANTIL B</v>
      </c>
      <c r="I1250" s="9" t="str">
        <f>IF(AND(Tabela1[[#This Row],[Data nascimento]]&gt;=$N$2,Tabela1[[#This Row],[Data nascimento]]&lt;=$M$2),"INICIADO",J1250)</f>
        <v>JÚNIOR</v>
      </c>
      <c r="J1250" s="9" t="str">
        <f>IF(AND(Tabela1[[#This Row],[Data nascimento]]&gt;=$P$2,Tabela1[[#This Row],[Data nascimento]]&lt;=$O$2),"JUVENIL","JÚNIOR")</f>
        <v>JÚNIOR</v>
      </c>
    </row>
    <row r="1251" spans="1:10" ht="15" x14ac:dyDescent="0.4">
      <c r="A1251" s="13" t="s">
        <v>1820</v>
      </c>
      <c r="B1251" s="2" t="s">
        <v>1821</v>
      </c>
      <c r="C1251" s="4" t="s">
        <v>21</v>
      </c>
      <c r="D1251" s="11">
        <v>41755</v>
      </c>
      <c r="E1251" s="7" t="s">
        <v>1822</v>
      </c>
      <c r="F1251" s="4" t="s">
        <v>4781</v>
      </c>
      <c r="G1251" s="12" t="str">
        <f>IF(AND(Tabela1[[#This Row],[Data nascimento]]&gt;=$J$2,Tabela1[[#This Row],[Data nascimento]]&lt;=$I$2),"INFANTIL A",H1251)</f>
        <v>INFANTIL B</v>
      </c>
      <c r="H1251" s="3" t="str">
        <f>IF(AND(Tabela1[[#This Row],[Data nascimento]]&gt;=$L$2,Tabela1[[#This Row],[Data nascimento]]&lt;=$K$2),"INFANTIL B",I1251)</f>
        <v>INFANTIL B</v>
      </c>
      <c r="I1251" s="9" t="str">
        <f>IF(AND(Tabela1[[#This Row],[Data nascimento]]&gt;=$N$2,Tabela1[[#This Row],[Data nascimento]]&lt;=$M$2),"INICIADO",J1251)</f>
        <v>JÚNIOR</v>
      </c>
      <c r="J1251" s="9" t="str">
        <f>IF(AND(Tabela1[[#This Row],[Data nascimento]]&gt;=$P$2,Tabela1[[#This Row],[Data nascimento]]&lt;=$O$2),"JUVENIL","JÚNIOR")</f>
        <v>JÚNIOR</v>
      </c>
    </row>
    <row r="1252" spans="1:10" ht="15" x14ac:dyDescent="0.4">
      <c r="A1252" s="13" t="s">
        <v>1823</v>
      </c>
      <c r="B1252" s="2" t="s">
        <v>1824</v>
      </c>
      <c r="C1252" s="4" t="s">
        <v>8</v>
      </c>
      <c r="D1252" s="11">
        <v>41769</v>
      </c>
      <c r="E1252" s="7" t="s">
        <v>1825</v>
      </c>
      <c r="F1252" s="4" t="s">
        <v>4781</v>
      </c>
      <c r="G1252" s="12" t="str">
        <f>IF(AND(Tabela1[[#This Row],[Data nascimento]]&gt;=$J$2,Tabela1[[#This Row],[Data nascimento]]&lt;=$I$2),"INFANTIL A",H1252)</f>
        <v>INFANTIL B</v>
      </c>
      <c r="H1252" s="3" t="str">
        <f>IF(AND(Tabela1[[#This Row],[Data nascimento]]&gt;=$L$2,Tabela1[[#This Row],[Data nascimento]]&lt;=$K$2),"INFANTIL B",I1252)</f>
        <v>INFANTIL B</v>
      </c>
      <c r="I1252" s="9" t="str">
        <f>IF(AND(Tabela1[[#This Row],[Data nascimento]]&gt;=$N$2,Tabela1[[#This Row],[Data nascimento]]&lt;=$M$2),"INICIADO",J1252)</f>
        <v>JÚNIOR</v>
      </c>
      <c r="J1252" s="9" t="str">
        <f>IF(AND(Tabela1[[#This Row],[Data nascimento]]&gt;=$P$2,Tabela1[[#This Row],[Data nascimento]]&lt;=$O$2),"JUVENIL","JÚNIOR")</f>
        <v>JÚNIOR</v>
      </c>
    </row>
    <row r="1253" spans="1:10" ht="15" x14ac:dyDescent="0.4">
      <c r="A1253" s="13" t="s">
        <v>1826</v>
      </c>
      <c r="B1253" s="2" t="s">
        <v>1827</v>
      </c>
      <c r="C1253" s="4" t="s">
        <v>21</v>
      </c>
      <c r="D1253" s="11">
        <v>41660</v>
      </c>
      <c r="E1253" s="7" t="s">
        <v>1828</v>
      </c>
      <c r="F1253" s="4" t="s">
        <v>4781</v>
      </c>
      <c r="G1253" s="12" t="str">
        <f>IF(AND(Tabela1[[#This Row],[Data nascimento]]&gt;=$J$2,Tabela1[[#This Row],[Data nascimento]]&lt;=$I$2),"INFANTIL A",H1253)</f>
        <v>INFANTIL B</v>
      </c>
      <c r="H1253" s="3" t="str">
        <f>IF(AND(Tabela1[[#This Row],[Data nascimento]]&gt;=$L$2,Tabela1[[#This Row],[Data nascimento]]&lt;=$K$2),"INFANTIL B",I1253)</f>
        <v>INFANTIL B</v>
      </c>
      <c r="I1253" s="9" t="str">
        <f>IF(AND(Tabela1[[#This Row],[Data nascimento]]&gt;=$N$2,Tabela1[[#This Row],[Data nascimento]]&lt;=$M$2),"INICIADO",J1253)</f>
        <v>JÚNIOR</v>
      </c>
      <c r="J1253" s="9" t="str">
        <f>IF(AND(Tabela1[[#This Row],[Data nascimento]]&gt;=$P$2,Tabela1[[#This Row],[Data nascimento]]&lt;=$O$2),"JUVENIL","JÚNIOR")</f>
        <v>JÚNIOR</v>
      </c>
    </row>
    <row r="1254" spans="1:10" ht="15" x14ac:dyDescent="0.4">
      <c r="A1254" s="13" t="s">
        <v>1829</v>
      </c>
      <c r="B1254" s="2" t="s">
        <v>1830</v>
      </c>
      <c r="C1254" s="4" t="s">
        <v>21</v>
      </c>
      <c r="D1254" s="11">
        <v>41925</v>
      </c>
      <c r="E1254" s="7" t="s">
        <v>1831</v>
      </c>
      <c r="F1254" s="4" t="s">
        <v>4781</v>
      </c>
      <c r="G1254" s="12" t="str">
        <f>IF(AND(Tabela1[[#This Row],[Data nascimento]]&gt;=$J$2,Tabela1[[#This Row],[Data nascimento]]&lt;=$I$2),"INFANTIL A",H1254)</f>
        <v>INFANTIL B</v>
      </c>
      <c r="H1254" s="3" t="str">
        <f>IF(AND(Tabela1[[#This Row],[Data nascimento]]&gt;=$L$2,Tabela1[[#This Row],[Data nascimento]]&lt;=$K$2),"INFANTIL B",I1254)</f>
        <v>INFANTIL B</v>
      </c>
      <c r="I1254" s="9" t="str">
        <f>IF(AND(Tabela1[[#This Row],[Data nascimento]]&gt;=$N$2,Tabela1[[#This Row],[Data nascimento]]&lt;=$M$2),"INICIADO",J1254)</f>
        <v>JÚNIOR</v>
      </c>
      <c r="J1254" s="9" t="str">
        <f>IF(AND(Tabela1[[#This Row],[Data nascimento]]&gt;=$P$2,Tabela1[[#This Row],[Data nascimento]]&lt;=$O$2),"JUVENIL","JÚNIOR")</f>
        <v>JÚNIOR</v>
      </c>
    </row>
    <row r="1255" spans="1:10" ht="15" x14ac:dyDescent="0.4">
      <c r="A1255" s="13" t="s">
        <v>1832</v>
      </c>
      <c r="B1255" s="2" t="s">
        <v>1833</v>
      </c>
      <c r="C1255" s="4" t="s">
        <v>8</v>
      </c>
      <c r="D1255" s="11">
        <v>41664</v>
      </c>
      <c r="E1255" s="7" t="s">
        <v>1834</v>
      </c>
      <c r="F1255" s="4" t="s">
        <v>4781</v>
      </c>
      <c r="G1255" s="12" t="str">
        <f>IF(AND(Tabela1[[#This Row],[Data nascimento]]&gt;=$J$2,Tabela1[[#This Row],[Data nascimento]]&lt;=$I$2),"INFANTIL A",H1255)</f>
        <v>INFANTIL B</v>
      </c>
      <c r="H1255" s="3" t="str">
        <f>IF(AND(Tabela1[[#This Row],[Data nascimento]]&gt;=$L$2,Tabela1[[#This Row],[Data nascimento]]&lt;=$K$2),"INFANTIL B",I1255)</f>
        <v>INFANTIL B</v>
      </c>
      <c r="I1255" s="9" t="str">
        <f>IF(AND(Tabela1[[#This Row],[Data nascimento]]&gt;=$N$2,Tabela1[[#This Row],[Data nascimento]]&lt;=$M$2),"INICIADO",J1255)</f>
        <v>JÚNIOR</v>
      </c>
      <c r="J1255" s="9" t="str">
        <f>IF(AND(Tabela1[[#This Row],[Data nascimento]]&gt;=$P$2,Tabela1[[#This Row],[Data nascimento]]&lt;=$O$2),"JUVENIL","JÚNIOR")</f>
        <v>JÚNIOR</v>
      </c>
    </row>
    <row r="1256" spans="1:10" ht="15" x14ac:dyDescent="0.4">
      <c r="A1256" s="13" t="s">
        <v>1835</v>
      </c>
      <c r="B1256" s="2" t="s">
        <v>1836</v>
      </c>
      <c r="C1256" s="4" t="s">
        <v>8</v>
      </c>
      <c r="D1256" s="11">
        <v>41590</v>
      </c>
      <c r="E1256" s="7" t="s">
        <v>1837</v>
      </c>
      <c r="F1256" s="4" t="s">
        <v>4782</v>
      </c>
      <c r="G1256" s="12" t="str">
        <f>IF(AND(Tabela1[[#This Row],[Data nascimento]]&gt;=$J$2,Tabela1[[#This Row],[Data nascimento]]&lt;=$I$2),"INFANTIL A",H1256)</f>
        <v>INFANTIL B</v>
      </c>
      <c r="H1256" s="3" t="str">
        <f>IF(AND(Tabela1[[#This Row],[Data nascimento]]&gt;=$L$2,Tabela1[[#This Row],[Data nascimento]]&lt;=$K$2),"INFANTIL B",I1256)</f>
        <v>INFANTIL B</v>
      </c>
      <c r="I1256" s="9" t="str">
        <f>IF(AND(Tabela1[[#This Row],[Data nascimento]]&gt;=$N$2,Tabela1[[#This Row],[Data nascimento]]&lt;=$M$2),"INICIADO",J1256)</f>
        <v>JÚNIOR</v>
      </c>
      <c r="J1256" s="9" t="str">
        <f>IF(AND(Tabela1[[#This Row],[Data nascimento]]&gt;=$P$2,Tabela1[[#This Row],[Data nascimento]]&lt;=$O$2),"JUVENIL","JÚNIOR")</f>
        <v>JÚNIOR</v>
      </c>
    </row>
    <row r="1257" spans="1:10" ht="15" x14ac:dyDescent="0.4">
      <c r="A1257" s="13" t="s">
        <v>1838</v>
      </c>
      <c r="B1257" s="2" t="s">
        <v>1839</v>
      </c>
      <c r="C1257" s="4" t="s">
        <v>8</v>
      </c>
      <c r="D1257" s="11">
        <v>41628</v>
      </c>
      <c r="E1257" s="7" t="s">
        <v>1840</v>
      </c>
      <c r="F1257" s="4" t="s">
        <v>4782</v>
      </c>
      <c r="G1257" s="12" t="str">
        <f>IF(AND(Tabela1[[#This Row],[Data nascimento]]&gt;=$J$2,Tabela1[[#This Row],[Data nascimento]]&lt;=$I$2),"INFANTIL A",H1257)</f>
        <v>INFANTIL B</v>
      </c>
      <c r="H1257" s="3" t="str">
        <f>IF(AND(Tabela1[[#This Row],[Data nascimento]]&gt;=$L$2,Tabela1[[#This Row],[Data nascimento]]&lt;=$K$2),"INFANTIL B",I1257)</f>
        <v>INFANTIL B</v>
      </c>
      <c r="I1257" s="9" t="str">
        <f>IF(AND(Tabela1[[#This Row],[Data nascimento]]&gt;=$N$2,Tabela1[[#This Row],[Data nascimento]]&lt;=$M$2),"INICIADO",J1257)</f>
        <v>JÚNIOR</v>
      </c>
      <c r="J1257" s="9" t="str">
        <f>IF(AND(Tabela1[[#This Row],[Data nascimento]]&gt;=$P$2,Tabela1[[#This Row],[Data nascimento]]&lt;=$O$2),"JUVENIL","JÚNIOR")</f>
        <v>JÚNIOR</v>
      </c>
    </row>
    <row r="1258" spans="1:10" ht="15" x14ac:dyDescent="0.4">
      <c r="A1258" s="13" t="s">
        <v>1841</v>
      </c>
      <c r="B1258" s="2" t="s">
        <v>1842</v>
      </c>
      <c r="C1258" s="4" t="s">
        <v>21</v>
      </c>
      <c r="D1258" s="11">
        <v>41645</v>
      </c>
      <c r="E1258" s="7" t="s">
        <v>1843</v>
      </c>
      <c r="F1258" s="4" t="s">
        <v>4782</v>
      </c>
      <c r="G1258" s="12" t="str">
        <f>IF(AND(Tabela1[[#This Row],[Data nascimento]]&gt;=$J$2,Tabela1[[#This Row],[Data nascimento]]&lt;=$I$2),"INFANTIL A",H1258)</f>
        <v>INFANTIL B</v>
      </c>
      <c r="H1258" s="3" t="str">
        <f>IF(AND(Tabela1[[#This Row],[Data nascimento]]&gt;=$L$2,Tabela1[[#This Row],[Data nascimento]]&lt;=$K$2),"INFANTIL B",I1258)</f>
        <v>INFANTIL B</v>
      </c>
      <c r="I1258" s="9" t="str">
        <f>IF(AND(Tabela1[[#This Row],[Data nascimento]]&gt;=$N$2,Tabela1[[#This Row],[Data nascimento]]&lt;=$M$2),"INICIADO",J1258)</f>
        <v>JÚNIOR</v>
      </c>
      <c r="J1258" s="9" t="str">
        <f>IF(AND(Tabela1[[#This Row],[Data nascimento]]&gt;=$P$2,Tabela1[[#This Row],[Data nascimento]]&lt;=$O$2),"JUVENIL","JÚNIOR")</f>
        <v>JÚNIOR</v>
      </c>
    </row>
    <row r="1259" spans="1:10" ht="15" x14ac:dyDescent="0.4">
      <c r="A1259" s="13" t="s">
        <v>1844</v>
      </c>
      <c r="B1259" s="2" t="s">
        <v>1845</v>
      </c>
      <c r="C1259" s="4" t="s">
        <v>21</v>
      </c>
      <c r="D1259" s="11">
        <v>41719</v>
      </c>
      <c r="E1259" s="7" t="s">
        <v>1846</v>
      </c>
      <c r="F1259" s="4" t="s">
        <v>4782</v>
      </c>
      <c r="G1259" s="12" t="str">
        <f>IF(AND(Tabela1[[#This Row],[Data nascimento]]&gt;=$J$2,Tabela1[[#This Row],[Data nascimento]]&lt;=$I$2),"INFANTIL A",H1259)</f>
        <v>INFANTIL B</v>
      </c>
      <c r="H1259" s="3" t="str">
        <f>IF(AND(Tabela1[[#This Row],[Data nascimento]]&gt;=$L$2,Tabela1[[#This Row],[Data nascimento]]&lt;=$K$2),"INFANTIL B",I1259)</f>
        <v>INFANTIL B</v>
      </c>
      <c r="I1259" s="9" t="str">
        <f>IF(AND(Tabela1[[#This Row],[Data nascimento]]&gt;=$N$2,Tabela1[[#This Row],[Data nascimento]]&lt;=$M$2),"INICIADO",J1259)</f>
        <v>JÚNIOR</v>
      </c>
      <c r="J1259" s="9" t="str">
        <f>IF(AND(Tabela1[[#This Row],[Data nascimento]]&gt;=$P$2,Tabela1[[#This Row],[Data nascimento]]&lt;=$O$2),"JUVENIL","JÚNIOR")</f>
        <v>JÚNIOR</v>
      </c>
    </row>
    <row r="1260" spans="1:10" ht="15" x14ac:dyDescent="0.4">
      <c r="A1260" s="13" t="s">
        <v>1847</v>
      </c>
      <c r="B1260" s="2" t="s">
        <v>1848</v>
      </c>
      <c r="C1260" s="4" t="s">
        <v>21</v>
      </c>
      <c r="D1260" s="11">
        <v>41590</v>
      </c>
      <c r="E1260" s="7" t="s">
        <v>1849</v>
      </c>
      <c r="F1260" s="4" t="s">
        <v>4782</v>
      </c>
      <c r="G1260" s="12" t="str">
        <f>IF(AND(Tabela1[[#This Row],[Data nascimento]]&gt;=$J$2,Tabela1[[#This Row],[Data nascimento]]&lt;=$I$2),"INFANTIL A",H1260)</f>
        <v>INFANTIL B</v>
      </c>
      <c r="H1260" s="3" t="str">
        <f>IF(AND(Tabela1[[#This Row],[Data nascimento]]&gt;=$L$2,Tabela1[[#This Row],[Data nascimento]]&lt;=$K$2),"INFANTIL B",I1260)</f>
        <v>INFANTIL B</v>
      </c>
      <c r="I1260" s="9" t="str">
        <f>IF(AND(Tabela1[[#This Row],[Data nascimento]]&gt;=$N$2,Tabela1[[#This Row],[Data nascimento]]&lt;=$M$2),"INICIADO",J1260)</f>
        <v>JÚNIOR</v>
      </c>
      <c r="J1260" s="9" t="str">
        <f>IF(AND(Tabela1[[#This Row],[Data nascimento]]&gt;=$P$2,Tabela1[[#This Row],[Data nascimento]]&lt;=$O$2),"JUVENIL","JÚNIOR")</f>
        <v>JÚNIOR</v>
      </c>
    </row>
    <row r="1261" spans="1:10" ht="15" x14ac:dyDescent="0.4">
      <c r="A1261" s="13" t="s">
        <v>1850</v>
      </c>
      <c r="B1261" s="2" t="s">
        <v>1851</v>
      </c>
      <c r="C1261" s="4" t="s">
        <v>21</v>
      </c>
      <c r="D1261" s="11">
        <v>41388</v>
      </c>
      <c r="E1261" s="7" t="s">
        <v>1852</v>
      </c>
      <c r="F1261" s="4" t="s">
        <v>4782</v>
      </c>
      <c r="G1261" s="12" t="str">
        <f>IF(AND(Tabela1[[#This Row],[Data nascimento]]&gt;=$J$2,Tabela1[[#This Row],[Data nascimento]]&lt;=$I$2),"INFANTIL A",H1261)</f>
        <v>INFANTIL B</v>
      </c>
      <c r="H1261" s="3" t="str">
        <f>IF(AND(Tabela1[[#This Row],[Data nascimento]]&gt;=$L$2,Tabela1[[#This Row],[Data nascimento]]&lt;=$K$2),"INFANTIL B",I1261)</f>
        <v>INFANTIL B</v>
      </c>
      <c r="I1261" s="9" t="str">
        <f>IF(AND(Tabela1[[#This Row],[Data nascimento]]&gt;=$N$2,Tabela1[[#This Row],[Data nascimento]]&lt;=$M$2),"INICIADO",J1261)</f>
        <v>JÚNIOR</v>
      </c>
      <c r="J1261" s="9" t="str">
        <f>IF(AND(Tabela1[[#This Row],[Data nascimento]]&gt;=$P$2,Tabela1[[#This Row],[Data nascimento]]&lt;=$O$2),"JUVENIL","JÚNIOR")</f>
        <v>JÚNIOR</v>
      </c>
    </row>
    <row r="1262" spans="1:10" ht="15" x14ac:dyDescent="0.4">
      <c r="A1262" s="13" t="s">
        <v>1853</v>
      </c>
      <c r="B1262" s="2" t="s">
        <v>1854</v>
      </c>
      <c r="C1262" s="4" t="s">
        <v>8</v>
      </c>
      <c r="D1262" s="11">
        <v>41884</v>
      </c>
      <c r="E1262" s="7" t="s">
        <v>1855</v>
      </c>
      <c r="F1262" s="4" t="s">
        <v>4782</v>
      </c>
      <c r="G1262" s="12" t="str">
        <f>IF(AND(Tabela1[[#This Row],[Data nascimento]]&gt;=$J$2,Tabela1[[#This Row],[Data nascimento]]&lt;=$I$2),"INFANTIL A",H1262)</f>
        <v>INFANTIL B</v>
      </c>
      <c r="H1262" s="3" t="str">
        <f>IF(AND(Tabela1[[#This Row],[Data nascimento]]&gt;=$L$2,Tabela1[[#This Row],[Data nascimento]]&lt;=$K$2),"INFANTIL B",I1262)</f>
        <v>INFANTIL B</v>
      </c>
      <c r="I1262" s="9" t="str">
        <f>IF(AND(Tabela1[[#This Row],[Data nascimento]]&gt;=$N$2,Tabela1[[#This Row],[Data nascimento]]&lt;=$M$2),"INICIADO",J1262)</f>
        <v>JÚNIOR</v>
      </c>
      <c r="J1262" s="9" t="str">
        <f>IF(AND(Tabela1[[#This Row],[Data nascimento]]&gt;=$P$2,Tabela1[[#This Row],[Data nascimento]]&lt;=$O$2),"JUVENIL","JÚNIOR")</f>
        <v>JÚNIOR</v>
      </c>
    </row>
    <row r="1263" spans="1:10" ht="15" x14ac:dyDescent="0.4">
      <c r="A1263" s="13" t="s">
        <v>1856</v>
      </c>
      <c r="B1263" s="2" t="s">
        <v>1857</v>
      </c>
      <c r="C1263" s="4" t="s">
        <v>21</v>
      </c>
      <c r="D1263" s="11">
        <v>41954</v>
      </c>
      <c r="E1263" s="7" t="s">
        <v>1858</v>
      </c>
      <c r="F1263" s="4" t="s">
        <v>4782</v>
      </c>
      <c r="G1263" s="12" t="str">
        <f>IF(AND(Tabela1[[#This Row],[Data nascimento]]&gt;=$J$2,Tabela1[[#This Row],[Data nascimento]]&lt;=$I$2),"INFANTIL A",H1263)</f>
        <v>INFANTIL B</v>
      </c>
      <c r="H1263" s="3" t="str">
        <f>IF(AND(Tabela1[[#This Row],[Data nascimento]]&gt;=$L$2,Tabela1[[#This Row],[Data nascimento]]&lt;=$K$2),"INFANTIL B",I1263)</f>
        <v>INFANTIL B</v>
      </c>
      <c r="I1263" s="9" t="str">
        <f>IF(AND(Tabela1[[#This Row],[Data nascimento]]&gt;=$N$2,Tabela1[[#This Row],[Data nascimento]]&lt;=$M$2),"INICIADO",J1263)</f>
        <v>JÚNIOR</v>
      </c>
      <c r="J1263" s="9" t="str">
        <f>IF(AND(Tabela1[[#This Row],[Data nascimento]]&gt;=$P$2,Tabela1[[#This Row],[Data nascimento]]&lt;=$O$2),"JUVENIL","JÚNIOR")</f>
        <v>JÚNIOR</v>
      </c>
    </row>
    <row r="1264" spans="1:10" ht="15" x14ac:dyDescent="0.4">
      <c r="A1264" s="13" t="s">
        <v>1859</v>
      </c>
      <c r="B1264" s="2" t="s">
        <v>1860</v>
      </c>
      <c r="C1264" s="4" t="s">
        <v>8</v>
      </c>
      <c r="D1264" s="11">
        <v>41808</v>
      </c>
      <c r="E1264" s="7" t="s">
        <v>1861</v>
      </c>
      <c r="F1264" s="4" t="s">
        <v>4782</v>
      </c>
      <c r="G1264" s="12" t="str">
        <f>IF(AND(Tabela1[[#This Row],[Data nascimento]]&gt;=$J$2,Tabela1[[#This Row],[Data nascimento]]&lt;=$I$2),"INFANTIL A",H1264)</f>
        <v>INFANTIL B</v>
      </c>
      <c r="H1264" s="3" t="str">
        <f>IF(AND(Tabela1[[#This Row],[Data nascimento]]&gt;=$L$2,Tabela1[[#This Row],[Data nascimento]]&lt;=$K$2),"INFANTIL B",I1264)</f>
        <v>INFANTIL B</v>
      </c>
      <c r="I1264" s="9" t="str">
        <f>IF(AND(Tabela1[[#This Row],[Data nascimento]]&gt;=$N$2,Tabela1[[#This Row],[Data nascimento]]&lt;=$M$2),"INICIADO",J1264)</f>
        <v>JÚNIOR</v>
      </c>
      <c r="J1264" s="9" t="str">
        <f>IF(AND(Tabela1[[#This Row],[Data nascimento]]&gt;=$P$2,Tabela1[[#This Row],[Data nascimento]]&lt;=$O$2),"JUVENIL","JÚNIOR")</f>
        <v>JÚNIOR</v>
      </c>
    </row>
    <row r="1265" spans="1:10" ht="15" x14ac:dyDescent="0.4">
      <c r="A1265" s="13" t="s">
        <v>1862</v>
      </c>
      <c r="B1265" s="2" t="s">
        <v>1863</v>
      </c>
      <c r="C1265" s="4" t="s">
        <v>8</v>
      </c>
      <c r="D1265" s="11">
        <v>41677</v>
      </c>
      <c r="E1265" s="7" t="s">
        <v>1864</v>
      </c>
      <c r="F1265" s="4" t="s">
        <v>4782</v>
      </c>
      <c r="G1265" s="12" t="str">
        <f>IF(AND(Tabela1[[#This Row],[Data nascimento]]&gt;=$J$2,Tabela1[[#This Row],[Data nascimento]]&lt;=$I$2),"INFANTIL A",H1265)</f>
        <v>INFANTIL B</v>
      </c>
      <c r="H1265" s="3" t="str">
        <f>IF(AND(Tabela1[[#This Row],[Data nascimento]]&gt;=$L$2,Tabela1[[#This Row],[Data nascimento]]&lt;=$K$2),"INFANTIL B",I1265)</f>
        <v>INFANTIL B</v>
      </c>
      <c r="I1265" s="9" t="str">
        <f>IF(AND(Tabela1[[#This Row],[Data nascimento]]&gt;=$N$2,Tabela1[[#This Row],[Data nascimento]]&lt;=$M$2),"INICIADO",J1265)</f>
        <v>JÚNIOR</v>
      </c>
      <c r="J1265" s="9" t="str">
        <f>IF(AND(Tabela1[[#This Row],[Data nascimento]]&gt;=$P$2,Tabela1[[#This Row],[Data nascimento]]&lt;=$O$2),"JUVENIL","JÚNIOR")</f>
        <v>JÚNIOR</v>
      </c>
    </row>
    <row r="1266" spans="1:10" ht="15" x14ac:dyDescent="0.4">
      <c r="A1266" s="13" t="s">
        <v>1865</v>
      </c>
      <c r="B1266" s="2" t="s">
        <v>1866</v>
      </c>
      <c r="C1266" s="4" t="s">
        <v>21</v>
      </c>
      <c r="D1266" s="11">
        <v>41904</v>
      </c>
      <c r="E1266" s="7" t="s">
        <v>1867</v>
      </c>
      <c r="F1266" s="4" t="s">
        <v>4782</v>
      </c>
      <c r="G1266" s="12" t="str">
        <f>IF(AND(Tabela1[[#This Row],[Data nascimento]]&gt;=$J$2,Tabela1[[#This Row],[Data nascimento]]&lt;=$I$2),"INFANTIL A",H1266)</f>
        <v>INFANTIL B</v>
      </c>
      <c r="H1266" s="3" t="str">
        <f>IF(AND(Tabela1[[#This Row],[Data nascimento]]&gt;=$L$2,Tabela1[[#This Row],[Data nascimento]]&lt;=$K$2),"INFANTIL B",I1266)</f>
        <v>INFANTIL B</v>
      </c>
      <c r="I1266" s="9" t="str">
        <f>IF(AND(Tabela1[[#This Row],[Data nascimento]]&gt;=$N$2,Tabela1[[#This Row],[Data nascimento]]&lt;=$M$2),"INICIADO",J1266)</f>
        <v>JÚNIOR</v>
      </c>
      <c r="J1266" s="9" t="str">
        <f>IF(AND(Tabela1[[#This Row],[Data nascimento]]&gt;=$P$2,Tabela1[[#This Row],[Data nascimento]]&lt;=$O$2),"JUVENIL","JÚNIOR")</f>
        <v>JÚNIOR</v>
      </c>
    </row>
    <row r="1267" spans="1:10" ht="15" x14ac:dyDescent="0.4">
      <c r="A1267" s="13" t="s">
        <v>1868</v>
      </c>
      <c r="B1267" s="2" t="s">
        <v>1869</v>
      </c>
      <c r="C1267" s="4" t="s">
        <v>8</v>
      </c>
      <c r="D1267" s="11">
        <v>41570</v>
      </c>
      <c r="E1267" s="7" t="s">
        <v>1870</v>
      </c>
      <c r="F1267" s="4" t="s">
        <v>4782</v>
      </c>
      <c r="G1267" s="12" t="str">
        <f>IF(AND(Tabela1[[#This Row],[Data nascimento]]&gt;=$J$2,Tabela1[[#This Row],[Data nascimento]]&lt;=$I$2),"INFANTIL A",H1267)</f>
        <v>INFANTIL B</v>
      </c>
      <c r="H1267" s="3" t="str">
        <f>IF(AND(Tabela1[[#This Row],[Data nascimento]]&gt;=$L$2,Tabela1[[#This Row],[Data nascimento]]&lt;=$K$2),"INFANTIL B",I1267)</f>
        <v>INFANTIL B</v>
      </c>
      <c r="I1267" s="9" t="str">
        <f>IF(AND(Tabela1[[#This Row],[Data nascimento]]&gt;=$N$2,Tabela1[[#This Row],[Data nascimento]]&lt;=$M$2),"INICIADO",J1267)</f>
        <v>JÚNIOR</v>
      </c>
      <c r="J1267" s="9" t="str">
        <f>IF(AND(Tabela1[[#This Row],[Data nascimento]]&gt;=$P$2,Tabela1[[#This Row],[Data nascimento]]&lt;=$O$2),"JUVENIL","JÚNIOR")</f>
        <v>JÚNIOR</v>
      </c>
    </row>
    <row r="1268" spans="1:10" ht="15" x14ac:dyDescent="0.4">
      <c r="A1268" s="13" t="s">
        <v>1871</v>
      </c>
      <c r="B1268" s="2" t="s">
        <v>1872</v>
      </c>
      <c r="C1268" s="4" t="s">
        <v>21</v>
      </c>
      <c r="D1268" s="11">
        <v>41964</v>
      </c>
      <c r="E1268" s="7" t="s">
        <v>1873</v>
      </c>
      <c r="F1268" s="4" t="s">
        <v>4782</v>
      </c>
      <c r="G1268" s="12" t="str">
        <f>IF(AND(Tabela1[[#This Row],[Data nascimento]]&gt;=$J$2,Tabela1[[#This Row],[Data nascimento]]&lt;=$I$2),"INFANTIL A",H1268)</f>
        <v>INFANTIL B</v>
      </c>
      <c r="H1268" s="3" t="str">
        <f>IF(AND(Tabela1[[#This Row],[Data nascimento]]&gt;=$L$2,Tabela1[[#This Row],[Data nascimento]]&lt;=$K$2),"INFANTIL B",I1268)</f>
        <v>INFANTIL B</v>
      </c>
      <c r="I1268" s="9" t="str">
        <f>IF(AND(Tabela1[[#This Row],[Data nascimento]]&gt;=$N$2,Tabela1[[#This Row],[Data nascimento]]&lt;=$M$2),"INICIADO",J1268)</f>
        <v>JÚNIOR</v>
      </c>
      <c r="J1268" s="9" t="str">
        <f>IF(AND(Tabela1[[#This Row],[Data nascimento]]&gt;=$P$2,Tabela1[[#This Row],[Data nascimento]]&lt;=$O$2),"JUVENIL","JÚNIOR")</f>
        <v>JÚNIOR</v>
      </c>
    </row>
    <row r="1269" spans="1:10" ht="15" x14ac:dyDescent="0.4">
      <c r="A1269" s="13" t="s">
        <v>1874</v>
      </c>
      <c r="B1269" s="2" t="s">
        <v>1875</v>
      </c>
      <c r="C1269" s="4" t="s">
        <v>21</v>
      </c>
      <c r="D1269" s="11">
        <v>41628</v>
      </c>
      <c r="E1269" s="7" t="s">
        <v>1876</v>
      </c>
      <c r="F1269" s="4" t="s">
        <v>4782</v>
      </c>
      <c r="G1269" s="12" t="str">
        <f>IF(AND(Tabela1[[#This Row],[Data nascimento]]&gt;=$J$2,Tabela1[[#This Row],[Data nascimento]]&lt;=$I$2),"INFANTIL A",H1269)</f>
        <v>INFANTIL B</v>
      </c>
      <c r="H1269" s="3" t="str">
        <f>IF(AND(Tabela1[[#This Row],[Data nascimento]]&gt;=$L$2,Tabela1[[#This Row],[Data nascimento]]&lt;=$K$2),"INFANTIL B",I1269)</f>
        <v>INFANTIL B</v>
      </c>
      <c r="I1269" s="9" t="str">
        <f>IF(AND(Tabela1[[#This Row],[Data nascimento]]&gt;=$N$2,Tabela1[[#This Row],[Data nascimento]]&lt;=$M$2),"INICIADO",J1269)</f>
        <v>JÚNIOR</v>
      </c>
      <c r="J1269" s="9" t="str">
        <f>IF(AND(Tabela1[[#This Row],[Data nascimento]]&gt;=$P$2,Tabela1[[#This Row],[Data nascimento]]&lt;=$O$2),"JUVENIL","JÚNIOR")</f>
        <v>JÚNIOR</v>
      </c>
    </row>
    <row r="1270" spans="1:10" ht="15" x14ac:dyDescent="0.4">
      <c r="A1270" s="13" t="s">
        <v>1877</v>
      </c>
      <c r="B1270" s="2" t="s">
        <v>1878</v>
      </c>
      <c r="C1270" s="4" t="s">
        <v>8</v>
      </c>
      <c r="D1270" s="11">
        <v>41725</v>
      </c>
      <c r="E1270" s="7" t="s">
        <v>1879</v>
      </c>
      <c r="F1270" s="4" t="s">
        <v>4782</v>
      </c>
      <c r="G1270" s="12" t="str">
        <f>IF(AND(Tabela1[[#This Row],[Data nascimento]]&gt;=$J$2,Tabela1[[#This Row],[Data nascimento]]&lt;=$I$2),"INFANTIL A",H1270)</f>
        <v>INFANTIL B</v>
      </c>
      <c r="H1270" s="3" t="str">
        <f>IF(AND(Tabela1[[#This Row],[Data nascimento]]&gt;=$L$2,Tabela1[[#This Row],[Data nascimento]]&lt;=$K$2),"INFANTIL B",I1270)</f>
        <v>INFANTIL B</v>
      </c>
      <c r="I1270" s="9" t="str">
        <f>IF(AND(Tabela1[[#This Row],[Data nascimento]]&gt;=$N$2,Tabela1[[#This Row],[Data nascimento]]&lt;=$M$2),"INICIADO",J1270)</f>
        <v>JÚNIOR</v>
      </c>
      <c r="J1270" s="9" t="str">
        <f>IF(AND(Tabela1[[#This Row],[Data nascimento]]&gt;=$P$2,Tabela1[[#This Row],[Data nascimento]]&lt;=$O$2),"JUVENIL","JÚNIOR")</f>
        <v>JÚNIOR</v>
      </c>
    </row>
    <row r="1271" spans="1:10" ht="15" x14ac:dyDescent="0.4">
      <c r="A1271" s="13" t="s">
        <v>1880</v>
      </c>
      <c r="B1271" s="2" t="s">
        <v>1881</v>
      </c>
      <c r="C1271" s="4" t="s">
        <v>8</v>
      </c>
      <c r="D1271" s="11">
        <v>41723</v>
      </c>
      <c r="E1271" s="7" t="s">
        <v>1882</v>
      </c>
      <c r="F1271" s="4" t="s">
        <v>4782</v>
      </c>
      <c r="G1271" s="12" t="str">
        <f>IF(AND(Tabela1[[#This Row],[Data nascimento]]&gt;=$J$2,Tabela1[[#This Row],[Data nascimento]]&lt;=$I$2),"INFANTIL A",H1271)</f>
        <v>INFANTIL B</v>
      </c>
      <c r="H1271" s="3" t="str">
        <f>IF(AND(Tabela1[[#This Row],[Data nascimento]]&gt;=$L$2,Tabela1[[#This Row],[Data nascimento]]&lt;=$K$2),"INFANTIL B",I1271)</f>
        <v>INFANTIL B</v>
      </c>
      <c r="I1271" s="9" t="str">
        <f>IF(AND(Tabela1[[#This Row],[Data nascimento]]&gt;=$N$2,Tabela1[[#This Row],[Data nascimento]]&lt;=$M$2),"INICIADO",J1271)</f>
        <v>JÚNIOR</v>
      </c>
      <c r="J1271" s="9" t="str">
        <f>IF(AND(Tabela1[[#This Row],[Data nascimento]]&gt;=$P$2,Tabela1[[#This Row],[Data nascimento]]&lt;=$O$2),"JUVENIL","JÚNIOR")</f>
        <v>JÚNIOR</v>
      </c>
    </row>
    <row r="1272" spans="1:10" ht="15" x14ac:dyDescent="0.4">
      <c r="A1272" s="13" t="s">
        <v>1883</v>
      </c>
      <c r="B1272" s="2" t="s">
        <v>1884</v>
      </c>
      <c r="C1272" s="4" t="s">
        <v>21</v>
      </c>
      <c r="D1272" s="11">
        <v>41614</v>
      </c>
      <c r="E1272" s="7" t="s">
        <v>1885</v>
      </c>
      <c r="F1272" s="4" t="s">
        <v>4782</v>
      </c>
      <c r="G1272" s="12" t="str">
        <f>IF(AND(Tabela1[[#This Row],[Data nascimento]]&gt;=$J$2,Tabela1[[#This Row],[Data nascimento]]&lt;=$I$2),"INFANTIL A",H1272)</f>
        <v>INFANTIL B</v>
      </c>
      <c r="H1272" s="3" t="str">
        <f>IF(AND(Tabela1[[#This Row],[Data nascimento]]&gt;=$L$2,Tabela1[[#This Row],[Data nascimento]]&lt;=$K$2),"INFANTIL B",I1272)</f>
        <v>INFANTIL B</v>
      </c>
      <c r="I1272" s="9" t="str">
        <f>IF(AND(Tabela1[[#This Row],[Data nascimento]]&gt;=$N$2,Tabela1[[#This Row],[Data nascimento]]&lt;=$M$2),"INICIADO",J1272)</f>
        <v>JÚNIOR</v>
      </c>
      <c r="J1272" s="9" t="str">
        <f>IF(AND(Tabela1[[#This Row],[Data nascimento]]&gt;=$P$2,Tabela1[[#This Row],[Data nascimento]]&lt;=$O$2),"JUVENIL","JÚNIOR")</f>
        <v>JÚNIOR</v>
      </c>
    </row>
    <row r="1273" spans="1:10" ht="15" x14ac:dyDescent="0.4">
      <c r="A1273" s="13" t="s">
        <v>1886</v>
      </c>
      <c r="B1273" s="2" t="s">
        <v>1887</v>
      </c>
      <c r="C1273" s="4" t="s">
        <v>21</v>
      </c>
      <c r="D1273" s="11">
        <v>41138</v>
      </c>
      <c r="E1273" s="7" t="s">
        <v>1888</v>
      </c>
      <c r="F1273" s="4" t="s">
        <v>4782</v>
      </c>
      <c r="G1273" s="12" t="str">
        <f>IF(AND(Tabela1[[#This Row],[Data nascimento]]&gt;=$J$2,Tabela1[[#This Row],[Data nascimento]]&lt;=$I$2),"INFANTIL A",H1273)</f>
        <v>INICIADO</v>
      </c>
      <c r="H1273" s="3" t="str">
        <f>IF(AND(Tabela1[[#This Row],[Data nascimento]]&gt;=$L$2,Tabela1[[#This Row],[Data nascimento]]&lt;=$K$2),"INFANTIL B",I1273)</f>
        <v>INICIADO</v>
      </c>
      <c r="I1273" s="9" t="str">
        <f>IF(AND(Tabela1[[#This Row],[Data nascimento]]&gt;=$N$2,Tabela1[[#This Row],[Data nascimento]]&lt;=$M$2),"INICIADO",J1273)</f>
        <v>INICIADO</v>
      </c>
      <c r="J1273" s="9" t="str">
        <f>IF(AND(Tabela1[[#This Row],[Data nascimento]]&gt;=$P$2,Tabela1[[#This Row],[Data nascimento]]&lt;=$O$2),"JUVENIL","JÚNIOR")</f>
        <v>JÚNIOR</v>
      </c>
    </row>
    <row r="1274" spans="1:10" ht="15" x14ac:dyDescent="0.4">
      <c r="A1274" s="13" t="s">
        <v>1889</v>
      </c>
      <c r="B1274" s="2" t="s">
        <v>1890</v>
      </c>
      <c r="C1274" s="4" t="s">
        <v>21</v>
      </c>
      <c r="D1274" s="11">
        <v>41603</v>
      </c>
      <c r="E1274" s="7" t="s">
        <v>1891</v>
      </c>
      <c r="F1274" s="4" t="s">
        <v>4782</v>
      </c>
      <c r="G1274" s="12" t="str">
        <f>IF(AND(Tabela1[[#This Row],[Data nascimento]]&gt;=$J$2,Tabela1[[#This Row],[Data nascimento]]&lt;=$I$2),"INFANTIL A",H1274)</f>
        <v>INFANTIL B</v>
      </c>
      <c r="H1274" s="3" t="str">
        <f>IF(AND(Tabela1[[#This Row],[Data nascimento]]&gt;=$L$2,Tabela1[[#This Row],[Data nascimento]]&lt;=$K$2),"INFANTIL B",I1274)</f>
        <v>INFANTIL B</v>
      </c>
      <c r="I1274" s="9" t="str">
        <f>IF(AND(Tabela1[[#This Row],[Data nascimento]]&gt;=$N$2,Tabela1[[#This Row],[Data nascimento]]&lt;=$M$2),"INICIADO",J1274)</f>
        <v>JÚNIOR</v>
      </c>
      <c r="J1274" s="9" t="str">
        <f>IF(AND(Tabela1[[#This Row],[Data nascimento]]&gt;=$P$2,Tabela1[[#This Row],[Data nascimento]]&lt;=$O$2),"JUVENIL","JÚNIOR")</f>
        <v>JÚNIOR</v>
      </c>
    </row>
    <row r="1275" spans="1:10" ht="15" x14ac:dyDescent="0.4">
      <c r="A1275" s="13" t="s">
        <v>1892</v>
      </c>
      <c r="B1275" s="2" t="s">
        <v>1893</v>
      </c>
      <c r="C1275" s="4" t="s">
        <v>8</v>
      </c>
      <c r="D1275" s="11">
        <v>41688</v>
      </c>
      <c r="E1275" s="7" t="s">
        <v>1894</v>
      </c>
      <c r="F1275" s="4" t="s">
        <v>4782</v>
      </c>
      <c r="G1275" s="12" t="str">
        <f>IF(AND(Tabela1[[#This Row],[Data nascimento]]&gt;=$J$2,Tabela1[[#This Row],[Data nascimento]]&lt;=$I$2),"INFANTIL A",H1275)</f>
        <v>INFANTIL B</v>
      </c>
      <c r="H1275" s="3" t="str">
        <f>IF(AND(Tabela1[[#This Row],[Data nascimento]]&gt;=$L$2,Tabela1[[#This Row],[Data nascimento]]&lt;=$K$2),"INFANTIL B",I1275)</f>
        <v>INFANTIL B</v>
      </c>
      <c r="I1275" s="9" t="str">
        <f>IF(AND(Tabela1[[#This Row],[Data nascimento]]&gt;=$N$2,Tabela1[[#This Row],[Data nascimento]]&lt;=$M$2),"INICIADO",J1275)</f>
        <v>JÚNIOR</v>
      </c>
      <c r="J1275" s="9" t="str">
        <f>IF(AND(Tabela1[[#This Row],[Data nascimento]]&gt;=$P$2,Tabela1[[#This Row],[Data nascimento]]&lt;=$O$2),"JUVENIL","JÚNIOR")</f>
        <v>JÚNIOR</v>
      </c>
    </row>
    <row r="1276" spans="1:10" ht="15" x14ac:dyDescent="0.4">
      <c r="A1276" s="13" t="s">
        <v>1895</v>
      </c>
      <c r="B1276" s="2" t="s">
        <v>1896</v>
      </c>
      <c r="C1276" s="4" t="s">
        <v>21</v>
      </c>
      <c r="D1276" s="11">
        <v>41092</v>
      </c>
      <c r="E1276" s="7" t="s">
        <v>1897</v>
      </c>
      <c r="F1276" s="4" t="s">
        <v>4782</v>
      </c>
      <c r="G1276" s="12" t="str">
        <f>IF(AND(Tabela1[[#This Row],[Data nascimento]]&gt;=$J$2,Tabela1[[#This Row],[Data nascimento]]&lt;=$I$2),"INFANTIL A",H1276)</f>
        <v>INICIADO</v>
      </c>
      <c r="H1276" s="3" t="str">
        <f>IF(AND(Tabela1[[#This Row],[Data nascimento]]&gt;=$L$2,Tabela1[[#This Row],[Data nascimento]]&lt;=$K$2),"INFANTIL B",I1276)</f>
        <v>INICIADO</v>
      </c>
      <c r="I1276" s="9" t="str">
        <f>IF(AND(Tabela1[[#This Row],[Data nascimento]]&gt;=$N$2,Tabela1[[#This Row],[Data nascimento]]&lt;=$M$2),"INICIADO",J1276)</f>
        <v>INICIADO</v>
      </c>
      <c r="J1276" s="9" t="str">
        <f>IF(AND(Tabela1[[#This Row],[Data nascimento]]&gt;=$P$2,Tabela1[[#This Row],[Data nascimento]]&lt;=$O$2),"JUVENIL","JÚNIOR")</f>
        <v>JÚNIOR</v>
      </c>
    </row>
    <row r="1277" spans="1:10" ht="15" x14ac:dyDescent="0.4">
      <c r="A1277" s="13" t="s">
        <v>1898</v>
      </c>
      <c r="B1277" s="2" t="s">
        <v>1899</v>
      </c>
      <c r="C1277" s="4" t="s">
        <v>21</v>
      </c>
      <c r="D1277" s="11">
        <v>42079</v>
      </c>
      <c r="E1277" s="7" t="s">
        <v>1900</v>
      </c>
      <c r="F1277" s="4" t="s">
        <v>4782</v>
      </c>
      <c r="G1277" s="12" t="str">
        <f>IF(AND(Tabela1[[#This Row],[Data nascimento]]&gt;=$J$2,Tabela1[[#This Row],[Data nascimento]]&lt;=$I$2),"INFANTIL A",H1277)</f>
        <v>INFANTIL A</v>
      </c>
      <c r="H1277" s="3" t="str">
        <f>IF(AND(Tabela1[[#This Row],[Data nascimento]]&gt;=$L$2,Tabela1[[#This Row],[Data nascimento]]&lt;=$K$2),"INFANTIL B",I1277)</f>
        <v>JÚNIOR</v>
      </c>
      <c r="I1277" s="9" t="str">
        <f>IF(AND(Tabela1[[#This Row],[Data nascimento]]&gt;=$N$2,Tabela1[[#This Row],[Data nascimento]]&lt;=$M$2),"INICIADO",J1277)</f>
        <v>JÚNIOR</v>
      </c>
      <c r="J1277" s="9" t="str">
        <f>IF(AND(Tabela1[[#This Row],[Data nascimento]]&gt;=$P$2,Tabela1[[#This Row],[Data nascimento]]&lt;=$O$2),"JUVENIL","JÚNIOR")</f>
        <v>JÚNIOR</v>
      </c>
    </row>
    <row r="1278" spans="1:10" ht="15" x14ac:dyDescent="0.4">
      <c r="A1278" s="13" t="s">
        <v>3131</v>
      </c>
      <c r="B1278" s="2" t="s">
        <v>3132</v>
      </c>
      <c r="C1278" s="4" t="s">
        <v>21</v>
      </c>
      <c r="D1278" s="11">
        <v>41488</v>
      </c>
      <c r="E1278" s="7" t="s">
        <v>3133</v>
      </c>
      <c r="F1278" s="4" t="s">
        <v>4780</v>
      </c>
      <c r="G1278" s="12" t="str">
        <f>IF(AND(Tabela1[[#This Row],[Data nascimento]]&gt;=$J$2,Tabela1[[#This Row],[Data nascimento]]&lt;=$I$2),"INFANTIL A",H1278)</f>
        <v>INFANTIL B</v>
      </c>
      <c r="H1278" s="3" t="str">
        <f>IF(AND(Tabela1[[#This Row],[Data nascimento]]&gt;=$L$2,Tabela1[[#This Row],[Data nascimento]]&lt;=$K$2),"INFANTIL B",I1278)</f>
        <v>INFANTIL B</v>
      </c>
      <c r="I1278" s="9" t="str">
        <f>IF(AND(Tabela1[[#This Row],[Data nascimento]]&gt;=$N$2,Tabela1[[#This Row],[Data nascimento]]&lt;=$M$2),"INICIADO",J1278)</f>
        <v>JÚNIOR</v>
      </c>
      <c r="J1278" s="9" t="str">
        <f>IF(AND(Tabela1[[#This Row],[Data nascimento]]&gt;=$P$2,Tabela1[[#This Row],[Data nascimento]]&lt;=$O$2),"JUVENIL","JÚNIOR")</f>
        <v>JÚNIOR</v>
      </c>
    </row>
    <row r="1279" spans="1:10" ht="15" x14ac:dyDescent="0.4">
      <c r="A1279" s="13" t="s">
        <v>3134</v>
      </c>
      <c r="B1279" s="2" t="s">
        <v>3135</v>
      </c>
      <c r="C1279" s="4" t="s">
        <v>8</v>
      </c>
      <c r="D1279" s="11">
        <v>41629</v>
      </c>
      <c r="E1279" s="7" t="s">
        <v>3136</v>
      </c>
      <c r="F1279" s="4" t="s">
        <v>4782</v>
      </c>
      <c r="G1279" s="12" t="str">
        <f>IF(AND(Tabela1[[#This Row],[Data nascimento]]&gt;=$J$2,Tabela1[[#This Row],[Data nascimento]]&lt;=$I$2),"INFANTIL A",H1279)</f>
        <v>INFANTIL B</v>
      </c>
      <c r="H1279" s="3" t="str">
        <f>IF(AND(Tabela1[[#This Row],[Data nascimento]]&gt;=$L$2,Tabela1[[#This Row],[Data nascimento]]&lt;=$K$2),"INFANTIL B",I1279)</f>
        <v>INFANTIL B</v>
      </c>
      <c r="I1279" s="9" t="str">
        <f>IF(AND(Tabela1[[#This Row],[Data nascimento]]&gt;=$N$2,Tabela1[[#This Row],[Data nascimento]]&lt;=$M$2),"INICIADO",J1279)</f>
        <v>JÚNIOR</v>
      </c>
      <c r="J1279" s="9" t="str">
        <f>IF(AND(Tabela1[[#This Row],[Data nascimento]]&gt;=$P$2,Tabela1[[#This Row],[Data nascimento]]&lt;=$O$2),"JUVENIL","JÚNIOR")</f>
        <v>JÚNIOR</v>
      </c>
    </row>
    <row r="1280" spans="1:10" ht="15" x14ac:dyDescent="0.4">
      <c r="A1280" s="13" t="s">
        <v>3137</v>
      </c>
      <c r="B1280" s="2" t="s">
        <v>3138</v>
      </c>
      <c r="C1280" s="4" t="s">
        <v>21</v>
      </c>
      <c r="D1280" s="11">
        <v>41583</v>
      </c>
      <c r="E1280" s="7" t="s">
        <v>3139</v>
      </c>
      <c r="F1280" s="4" t="s">
        <v>4781</v>
      </c>
      <c r="G1280" s="12" t="str">
        <f>IF(AND(Tabela1[[#This Row],[Data nascimento]]&gt;=$J$2,Tabela1[[#This Row],[Data nascimento]]&lt;=$I$2),"INFANTIL A",H1280)</f>
        <v>INFANTIL B</v>
      </c>
      <c r="H1280" s="3" t="str">
        <f>IF(AND(Tabela1[[#This Row],[Data nascimento]]&gt;=$L$2,Tabela1[[#This Row],[Data nascimento]]&lt;=$K$2),"INFANTIL B",I1280)</f>
        <v>INFANTIL B</v>
      </c>
      <c r="I1280" s="9" t="str">
        <f>IF(AND(Tabela1[[#This Row],[Data nascimento]]&gt;=$N$2,Tabela1[[#This Row],[Data nascimento]]&lt;=$M$2),"INICIADO",J1280)</f>
        <v>JÚNIOR</v>
      </c>
      <c r="J1280" s="9" t="str">
        <f>IF(AND(Tabela1[[#This Row],[Data nascimento]]&gt;=$P$2,Tabela1[[#This Row],[Data nascimento]]&lt;=$O$2),"JUVENIL","JÚNIOR")</f>
        <v>JÚNIOR</v>
      </c>
    </row>
    <row r="1281" spans="1:10" ht="15" x14ac:dyDescent="0.4">
      <c r="A1281" s="13" t="s">
        <v>3755</v>
      </c>
      <c r="B1281" s="2" t="s">
        <v>3756</v>
      </c>
      <c r="C1281" s="4" t="s">
        <v>21</v>
      </c>
      <c r="D1281" s="11">
        <v>41617</v>
      </c>
      <c r="E1281" s="7" t="s">
        <v>3757</v>
      </c>
      <c r="F1281" s="4" t="s">
        <v>4780</v>
      </c>
      <c r="G1281" s="12" t="str">
        <f>IF(AND(Tabela1[[#This Row],[Data nascimento]]&gt;=$J$2,Tabela1[[#This Row],[Data nascimento]]&lt;=$I$2),"INFANTIL A",H1281)</f>
        <v>INFANTIL B</v>
      </c>
      <c r="H1281" s="3" t="str">
        <f>IF(AND(Tabela1[[#This Row],[Data nascimento]]&gt;=$L$2,Tabela1[[#This Row],[Data nascimento]]&lt;=$K$2),"INFANTIL B",I1281)</f>
        <v>INFANTIL B</v>
      </c>
      <c r="I1281" s="9" t="str">
        <f>IF(AND(Tabela1[[#This Row],[Data nascimento]]&gt;=$N$2,Tabela1[[#This Row],[Data nascimento]]&lt;=$M$2),"INICIADO",J1281)</f>
        <v>JÚNIOR</v>
      </c>
      <c r="J1281" s="9" t="str">
        <f>IF(AND(Tabela1[[#This Row],[Data nascimento]]&gt;=$P$2,Tabela1[[#This Row],[Data nascimento]]&lt;=$O$2),"JUVENIL","JÚNIOR")</f>
        <v>JÚNIOR</v>
      </c>
    </row>
    <row r="1282" spans="1:10" ht="15" x14ac:dyDescent="0.4">
      <c r="A1282" s="13" t="s">
        <v>3803</v>
      </c>
      <c r="B1282" s="2" t="s">
        <v>3804</v>
      </c>
      <c r="C1282" s="4" t="s">
        <v>21</v>
      </c>
      <c r="D1282" s="11">
        <v>41925</v>
      </c>
      <c r="E1282" s="7" t="s">
        <v>3805</v>
      </c>
      <c r="F1282" s="4" t="s">
        <v>4781</v>
      </c>
      <c r="G1282" s="12" t="str">
        <f>IF(AND(Tabela1[[#This Row],[Data nascimento]]&gt;=$J$2,Tabela1[[#This Row],[Data nascimento]]&lt;=$I$2),"INFANTIL A",H1282)</f>
        <v>INFANTIL B</v>
      </c>
      <c r="H1282" s="3" t="str">
        <f>IF(AND(Tabela1[[#This Row],[Data nascimento]]&gt;=$L$2,Tabela1[[#This Row],[Data nascimento]]&lt;=$K$2),"INFANTIL B",I1282)</f>
        <v>INFANTIL B</v>
      </c>
      <c r="I1282" s="9" t="str">
        <f>IF(AND(Tabela1[[#This Row],[Data nascimento]]&gt;=$N$2,Tabela1[[#This Row],[Data nascimento]]&lt;=$M$2),"INICIADO",J1282)</f>
        <v>JÚNIOR</v>
      </c>
      <c r="J1282" s="9" t="str">
        <f>IF(AND(Tabela1[[#This Row],[Data nascimento]]&gt;=$P$2,Tabela1[[#This Row],[Data nascimento]]&lt;=$O$2),"JUVENIL","JÚNIOR")</f>
        <v>JÚNIOR</v>
      </c>
    </row>
    <row r="1283" spans="1:10" ht="15" x14ac:dyDescent="0.4">
      <c r="A1283" s="13" t="s">
        <v>4337</v>
      </c>
      <c r="B1283" s="2" t="s">
        <v>4338</v>
      </c>
      <c r="C1283" s="4" t="s">
        <v>8</v>
      </c>
      <c r="D1283" s="11">
        <v>41596</v>
      </c>
      <c r="E1283" s="7" t="s">
        <v>4339</v>
      </c>
      <c r="F1283" s="4" t="s">
        <v>4782</v>
      </c>
      <c r="G1283" s="12" t="str">
        <f>IF(AND(Tabela1[[#This Row],[Data nascimento]]&gt;=$J$2,Tabela1[[#This Row],[Data nascimento]]&lt;=$I$2),"INFANTIL A",H1283)</f>
        <v>INFANTIL B</v>
      </c>
      <c r="H1283" s="3" t="str">
        <f>IF(AND(Tabela1[[#This Row],[Data nascimento]]&gt;=$L$2,Tabela1[[#This Row],[Data nascimento]]&lt;=$K$2),"INFANTIL B",I1283)</f>
        <v>INFANTIL B</v>
      </c>
      <c r="I1283" s="9" t="str">
        <f>IF(AND(Tabela1[[#This Row],[Data nascimento]]&gt;=$N$2,Tabela1[[#This Row],[Data nascimento]]&lt;=$M$2),"INICIADO",J1283)</f>
        <v>JÚNIOR</v>
      </c>
      <c r="J1283" s="9" t="str">
        <f>IF(AND(Tabela1[[#This Row],[Data nascimento]]&gt;=$P$2,Tabela1[[#This Row],[Data nascimento]]&lt;=$O$2),"JUVENIL","JÚNIOR")</f>
        <v>JÚNIOR</v>
      </c>
    </row>
    <row r="1284" spans="1:10" ht="15" x14ac:dyDescent="0.4">
      <c r="A1284" s="13" t="s">
        <v>4340</v>
      </c>
      <c r="B1284" s="2" t="s">
        <v>4341</v>
      </c>
      <c r="C1284" s="4" t="s">
        <v>21</v>
      </c>
      <c r="D1284" s="11">
        <v>41579</v>
      </c>
      <c r="E1284" s="7" t="s">
        <v>4342</v>
      </c>
      <c r="F1284" s="4" t="s">
        <v>4782</v>
      </c>
      <c r="G1284" s="12" t="str">
        <f>IF(AND(Tabela1[[#This Row],[Data nascimento]]&gt;=$J$2,Tabela1[[#This Row],[Data nascimento]]&lt;=$I$2),"INFANTIL A",H1284)</f>
        <v>INFANTIL B</v>
      </c>
      <c r="H1284" s="3" t="str">
        <f>IF(AND(Tabela1[[#This Row],[Data nascimento]]&gt;=$L$2,Tabela1[[#This Row],[Data nascimento]]&lt;=$K$2),"INFANTIL B",I1284)</f>
        <v>INFANTIL B</v>
      </c>
      <c r="I1284" s="9" t="str">
        <f>IF(AND(Tabela1[[#This Row],[Data nascimento]]&gt;=$N$2,Tabela1[[#This Row],[Data nascimento]]&lt;=$M$2),"INICIADO",J1284)</f>
        <v>JÚNIOR</v>
      </c>
      <c r="J1284" s="9" t="str">
        <f>IF(AND(Tabela1[[#This Row],[Data nascimento]]&gt;=$P$2,Tabela1[[#This Row],[Data nascimento]]&lt;=$O$2),"JUVENIL","JÚNIOR")</f>
        <v>JÚNIOR</v>
      </c>
    </row>
    <row r="1285" spans="1:10" ht="15" x14ac:dyDescent="0.4">
      <c r="A1285" s="13" t="s">
        <v>4343</v>
      </c>
      <c r="B1285" s="2" t="s">
        <v>4344</v>
      </c>
      <c r="C1285" s="4" t="s">
        <v>8</v>
      </c>
      <c r="D1285" s="11">
        <v>41536</v>
      </c>
      <c r="E1285" s="7" t="s">
        <v>4345</v>
      </c>
      <c r="F1285" s="4" t="s">
        <v>4782</v>
      </c>
      <c r="G1285" s="12" t="str">
        <f>IF(AND(Tabela1[[#This Row],[Data nascimento]]&gt;=$J$2,Tabela1[[#This Row],[Data nascimento]]&lt;=$I$2),"INFANTIL A",H1285)</f>
        <v>INFANTIL B</v>
      </c>
      <c r="H1285" s="3" t="str">
        <f>IF(AND(Tabela1[[#This Row],[Data nascimento]]&gt;=$L$2,Tabela1[[#This Row],[Data nascimento]]&lt;=$K$2),"INFANTIL B",I1285)</f>
        <v>INFANTIL B</v>
      </c>
      <c r="I1285" s="9" t="str">
        <f>IF(AND(Tabela1[[#This Row],[Data nascimento]]&gt;=$N$2,Tabela1[[#This Row],[Data nascimento]]&lt;=$M$2),"INICIADO",J1285)</f>
        <v>JÚNIOR</v>
      </c>
      <c r="J1285" s="9" t="str">
        <f>IF(AND(Tabela1[[#This Row],[Data nascimento]]&gt;=$P$2,Tabela1[[#This Row],[Data nascimento]]&lt;=$O$2),"JUVENIL","JÚNIOR")</f>
        <v>JÚNIOR</v>
      </c>
    </row>
    <row r="1286" spans="1:10" ht="15" x14ac:dyDescent="0.4">
      <c r="A1286" s="13" t="s">
        <v>4607</v>
      </c>
      <c r="B1286" s="2" t="s">
        <v>4608</v>
      </c>
      <c r="C1286" s="4" t="s">
        <v>21</v>
      </c>
      <c r="D1286" s="11">
        <v>42188</v>
      </c>
      <c r="E1286" s="7" t="s">
        <v>4609</v>
      </c>
      <c r="F1286" s="4" t="s">
        <v>4782</v>
      </c>
      <c r="G1286" s="12" t="str">
        <f>IF(AND(Tabela1[[#This Row],[Data nascimento]]&gt;=$J$2,Tabela1[[#This Row],[Data nascimento]]&lt;=$I$2),"INFANTIL A",H1286)</f>
        <v>INFANTIL A</v>
      </c>
      <c r="H1286" s="3" t="str">
        <f>IF(AND(Tabela1[[#This Row],[Data nascimento]]&gt;=$L$2,Tabela1[[#This Row],[Data nascimento]]&lt;=$K$2),"INFANTIL B",I1286)</f>
        <v>JÚNIOR</v>
      </c>
      <c r="I1286" s="9" t="str">
        <f>IF(AND(Tabela1[[#This Row],[Data nascimento]]&gt;=$N$2,Tabela1[[#This Row],[Data nascimento]]&lt;=$M$2),"INICIADO",J1286)</f>
        <v>JÚNIOR</v>
      </c>
      <c r="J1286" s="9" t="str">
        <f>IF(AND(Tabela1[[#This Row],[Data nascimento]]&gt;=$P$2,Tabela1[[#This Row],[Data nascimento]]&lt;=$O$2),"JUVENIL","JÚNIOR")</f>
        <v>JÚNIOR</v>
      </c>
    </row>
    <row r="1287" spans="1:10" ht="15" x14ac:dyDescent="0.4">
      <c r="A1287" s="13" t="s">
        <v>4679</v>
      </c>
      <c r="B1287" s="2" t="s">
        <v>4680</v>
      </c>
      <c r="C1287" s="4" t="s">
        <v>8</v>
      </c>
      <c r="D1287" s="11">
        <v>41473</v>
      </c>
      <c r="E1287" s="7" t="s">
        <v>4681</v>
      </c>
      <c r="F1287" s="4" t="s">
        <v>4780</v>
      </c>
      <c r="G1287" s="12" t="str">
        <f>IF(AND(Tabela1[[#This Row],[Data nascimento]]&gt;=$J$2,Tabela1[[#This Row],[Data nascimento]]&lt;=$I$2),"INFANTIL A",H1287)</f>
        <v>INFANTIL B</v>
      </c>
      <c r="H1287" s="3" t="str">
        <f>IF(AND(Tabela1[[#This Row],[Data nascimento]]&gt;=$L$2,Tabela1[[#This Row],[Data nascimento]]&lt;=$K$2),"INFANTIL B",I1287)</f>
        <v>INFANTIL B</v>
      </c>
      <c r="I1287" s="9" t="str">
        <f>IF(AND(Tabela1[[#This Row],[Data nascimento]]&gt;=$N$2,Tabela1[[#This Row],[Data nascimento]]&lt;=$M$2),"INICIADO",J1287)</f>
        <v>JÚNIOR</v>
      </c>
      <c r="J1287" s="9" t="str">
        <f>IF(AND(Tabela1[[#This Row],[Data nascimento]]&gt;=$P$2,Tabela1[[#This Row],[Data nascimento]]&lt;=$O$2),"JUVENIL","JÚNIOR")</f>
        <v>JÚNIOR</v>
      </c>
    </row>
    <row r="1288" spans="1:10" ht="15" x14ac:dyDescent="0.4">
      <c r="A1288" s="13" t="s">
        <v>4691</v>
      </c>
      <c r="B1288" s="2" t="s">
        <v>4692</v>
      </c>
      <c r="C1288" s="4" t="s">
        <v>8</v>
      </c>
      <c r="D1288" s="11">
        <v>41614</v>
      </c>
      <c r="E1288" s="7" t="s">
        <v>4693</v>
      </c>
      <c r="F1288" s="4" t="s">
        <v>4782</v>
      </c>
      <c r="G1288" s="12" t="str">
        <f>IF(AND(Tabela1[[#This Row],[Data nascimento]]&gt;=$J$2,Tabela1[[#This Row],[Data nascimento]]&lt;=$I$2),"INFANTIL A",H1288)</f>
        <v>INFANTIL B</v>
      </c>
      <c r="H1288" s="3" t="str">
        <f>IF(AND(Tabela1[[#This Row],[Data nascimento]]&gt;=$L$2,Tabela1[[#This Row],[Data nascimento]]&lt;=$K$2),"INFANTIL B",I1288)</f>
        <v>INFANTIL B</v>
      </c>
      <c r="I1288" s="9" t="str">
        <f>IF(AND(Tabela1[[#This Row],[Data nascimento]]&gt;=$N$2,Tabela1[[#This Row],[Data nascimento]]&lt;=$M$2),"INICIADO",J1288)</f>
        <v>JÚNIOR</v>
      </c>
      <c r="J1288" s="9" t="str">
        <f>IF(AND(Tabela1[[#This Row],[Data nascimento]]&gt;=$P$2,Tabela1[[#This Row],[Data nascimento]]&lt;=$O$2),"JUVENIL","JÚNIOR")</f>
        <v>JÚNIOR</v>
      </c>
    </row>
    <row r="1289" spans="1:10" ht="15" x14ac:dyDescent="0.4">
      <c r="A1289" s="13" t="s">
        <v>2852</v>
      </c>
      <c r="B1289" s="2" t="s">
        <v>2853</v>
      </c>
      <c r="C1289" s="4" t="s">
        <v>21</v>
      </c>
      <c r="D1289" s="11">
        <v>40174</v>
      </c>
      <c r="E1289" s="7" t="s">
        <v>2854</v>
      </c>
      <c r="F1289" s="4" t="s">
        <v>4783</v>
      </c>
      <c r="G1289" s="12" t="str">
        <f>IF(AND(Tabela1[[#This Row],[Data nascimento]]&gt;=$J$2,Tabela1[[#This Row],[Data nascimento]]&lt;=$I$2),"INFANTIL A",H1289)</f>
        <v>JUVENIL</v>
      </c>
      <c r="H1289" s="3" t="str">
        <f>IF(AND(Tabela1[[#This Row],[Data nascimento]]&gt;=$L$2,Tabela1[[#This Row],[Data nascimento]]&lt;=$K$2),"INFANTIL B",I1289)</f>
        <v>JUVENIL</v>
      </c>
      <c r="I1289" s="9" t="str">
        <f>IF(AND(Tabela1[[#This Row],[Data nascimento]]&gt;=$N$2,Tabela1[[#This Row],[Data nascimento]]&lt;=$M$2),"INICIADO",J1289)</f>
        <v>JUVENIL</v>
      </c>
      <c r="J1289" s="9" t="str">
        <f>IF(AND(Tabela1[[#This Row],[Data nascimento]]&gt;=$P$2,Tabela1[[#This Row],[Data nascimento]]&lt;=$O$2),"JUVENIL","JÚNIOR")</f>
        <v>JUVENIL</v>
      </c>
    </row>
    <row r="1290" spans="1:10" ht="15" x14ac:dyDescent="0.4">
      <c r="A1290" s="13" t="s">
        <v>2855</v>
      </c>
      <c r="B1290" s="2" t="s">
        <v>2856</v>
      </c>
      <c r="C1290" s="4" t="s">
        <v>8</v>
      </c>
      <c r="D1290" s="11">
        <v>40736</v>
      </c>
      <c r="E1290" s="7" t="s">
        <v>2857</v>
      </c>
      <c r="F1290" s="4" t="s">
        <v>4784</v>
      </c>
      <c r="G1290" s="12" t="str">
        <f>IF(AND(Tabela1[[#This Row],[Data nascimento]]&gt;=$J$2,Tabela1[[#This Row],[Data nascimento]]&lt;=$I$2),"INFANTIL A",H1290)</f>
        <v>INICIADO</v>
      </c>
      <c r="H1290" s="3" t="str">
        <f>IF(AND(Tabela1[[#This Row],[Data nascimento]]&gt;=$L$2,Tabela1[[#This Row],[Data nascimento]]&lt;=$K$2),"INFANTIL B",I1290)</f>
        <v>INICIADO</v>
      </c>
      <c r="I1290" s="9" t="str">
        <f>IF(AND(Tabela1[[#This Row],[Data nascimento]]&gt;=$N$2,Tabela1[[#This Row],[Data nascimento]]&lt;=$M$2),"INICIADO",J1290)</f>
        <v>INICIADO</v>
      </c>
      <c r="J1290" s="9" t="str">
        <f>IF(AND(Tabela1[[#This Row],[Data nascimento]]&gt;=$P$2,Tabela1[[#This Row],[Data nascimento]]&lt;=$O$2),"JUVENIL","JÚNIOR")</f>
        <v>JÚNIOR</v>
      </c>
    </row>
    <row r="1291" spans="1:10" ht="15" x14ac:dyDescent="0.4">
      <c r="A1291" s="13" t="s">
        <v>2858</v>
      </c>
      <c r="B1291" s="2" t="s">
        <v>2859</v>
      </c>
      <c r="C1291" s="4" t="s">
        <v>8</v>
      </c>
      <c r="D1291" s="11">
        <v>41352</v>
      </c>
      <c r="E1291" s="7" t="s">
        <v>2860</v>
      </c>
      <c r="F1291" s="4" t="s">
        <v>4783</v>
      </c>
      <c r="G1291" s="12" t="str">
        <f>IF(AND(Tabela1[[#This Row],[Data nascimento]]&gt;=$J$2,Tabela1[[#This Row],[Data nascimento]]&lt;=$I$2),"INFANTIL A",H1291)</f>
        <v>INFANTIL B</v>
      </c>
      <c r="H1291" s="3" t="str">
        <f>IF(AND(Tabela1[[#This Row],[Data nascimento]]&gt;=$L$2,Tabela1[[#This Row],[Data nascimento]]&lt;=$K$2),"INFANTIL B",I1291)</f>
        <v>INFANTIL B</v>
      </c>
      <c r="I1291" s="9" t="str">
        <f>IF(AND(Tabela1[[#This Row],[Data nascimento]]&gt;=$N$2,Tabela1[[#This Row],[Data nascimento]]&lt;=$M$2),"INICIADO",J1291)</f>
        <v>JÚNIOR</v>
      </c>
      <c r="J1291" s="9" t="str">
        <f>IF(AND(Tabela1[[#This Row],[Data nascimento]]&gt;=$P$2,Tabela1[[#This Row],[Data nascimento]]&lt;=$O$2),"JUVENIL","JÚNIOR")</f>
        <v>JÚNIOR</v>
      </c>
    </row>
    <row r="1292" spans="1:10" ht="15" x14ac:dyDescent="0.4">
      <c r="A1292" s="13" t="s">
        <v>2861</v>
      </c>
      <c r="B1292" s="2" t="s">
        <v>2862</v>
      </c>
      <c r="C1292" s="4" t="s">
        <v>8</v>
      </c>
      <c r="D1292" s="11">
        <v>41208</v>
      </c>
      <c r="E1292" s="7" t="s">
        <v>2863</v>
      </c>
      <c r="F1292" s="4" t="s">
        <v>4785</v>
      </c>
      <c r="G1292" s="12" t="str">
        <f>IF(AND(Tabela1[[#This Row],[Data nascimento]]&gt;=$J$2,Tabela1[[#This Row],[Data nascimento]]&lt;=$I$2),"INFANTIL A",H1292)</f>
        <v>INICIADO</v>
      </c>
      <c r="H1292" s="3" t="str">
        <f>IF(AND(Tabela1[[#This Row],[Data nascimento]]&gt;=$L$2,Tabela1[[#This Row],[Data nascimento]]&lt;=$K$2),"INFANTIL B",I1292)</f>
        <v>INICIADO</v>
      </c>
      <c r="I1292" s="9" t="str">
        <f>IF(AND(Tabela1[[#This Row],[Data nascimento]]&gt;=$N$2,Tabela1[[#This Row],[Data nascimento]]&lt;=$M$2),"INICIADO",J1292)</f>
        <v>INICIADO</v>
      </c>
      <c r="J1292" s="9" t="str">
        <f>IF(AND(Tabela1[[#This Row],[Data nascimento]]&gt;=$P$2,Tabela1[[#This Row],[Data nascimento]]&lt;=$O$2),"JUVENIL","JÚNIOR")</f>
        <v>JÚNIOR</v>
      </c>
    </row>
    <row r="1293" spans="1:10" ht="15" x14ac:dyDescent="0.4">
      <c r="A1293" s="13" t="s">
        <v>2864</v>
      </c>
      <c r="B1293" s="2" t="s">
        <v>2865</v>
      </c>
      <c r="C1293" s="4" t="s">
        <v>21</v>
      </c>
      <c r="D1293" s="11">
        <v>41510</v>
      </c>
      <c r="E1293" s="7" t="s">
        <v>2866</v>
      </c>
      <c r="F1293" s="4" t="s">
        <v>4784</v>
      </c>
      <c r="G1293" s="12" t="str">
        <f>IF(AND(Tabela1[[#This Row],[Data nascimento]]&gt;=$J$2,Tabela1[[#This Row],[Data nascimento]]&lt;=$I$2),"INFANTIL A",H1293)</f>
        <v>INFANTIL B</v>
      </c>
      <c r="H1293" s="3" t="str">
        <f>IF(AND(Tabela1[[#This Row],[Data nascimento]]&gt;=$L$2,Tabela1[[#This Row],[Data nascimento]]&lt;=$K$2),"INFANTIL B",I1293)</f>
        <v>INFANTIL B</v>
      </c>
      <c r="I1293" s="9" t="str">
        <f>IF(AND(Tabela1[[#This Row],[Data nascimento]]&gt;=$N$2,Tabela1[[#This Row],[Data nascimento]]&lt;=$M$2),"INICIADO",J1293)</f>
        <v>JÚNIOR</v>
      </c>
      <c r="J1293" s="9" t="str">
        <f>IF(AND(Tabela1[[#This Row],[Data nascimento]]&gt;=$P$2,Tabela1[[#This Row],[Data nascimento]]&lt;=$O$2),"JUVENIL","JÚNIOR")</f>
        <v>JÚNIOR</v>
      </c>
    </row>
    <row r="1294" spans="1:10" ht="15" x14ac:dyDescent="0.4">
      <c r="A1294" s="13" t="s">
        <v>2867</v>
      </c>
      <c r="B1294" s="2" t="s">
        <v>2868</v>
      </c>
      <c r="C1294" s="4" t="s">
        <v>8</v>
      </c>
      <c r="D1294" s="11">
        <v>41046</v>
      </c>
      <c r="E1294" s="7" t="s">
        <v>2869</v>
      </c>
      <c r="F1294" s="4" t="s">
        <v>4785</v>
      </c>
      <c r="G1294" s="12" t="str">
        <f>IF(AND(Tabela1[[#This Row],[Data nascimento]]&gt;=$J$2,Tabela1[[#This Row],[Data nascimento]]&lt;=$I$2),"INFANTIL A",H1294)</f>
        <v>INICIADO</v>
      </c>
      <c r="H1294" s="3" t="str">
        <f>IF(AND(Tabela1[[#This Row],[Data nascimento]]&gt;=$L$2,Tabela1[[#This Row],[Data nascimento]]&lt;=$K$2),"INFANTIL B",I1294)</f>
        <v>INICIADO</v>
      </c>
      <c r="I1294" s="9" t="str">
        <f>IF(AND(Tabela1[[#This Row],[Data nascimento]]&gt;=$N$2,Tabela1[[#This Row],[Data nascimento]]&lt;=$M$2),"INICIADO",J1294)</f>
        <v>INICIADO</v>
      </c>
      <c r="J1294" s="9" t="str">
        <f>IF(AND(Tabela1[[#This Row],[Data nascimento]]&gt;=$P$2,Tabela1[[#This Row],[Data nascimento]]&lt;=$O$2),"JUVENIL","JÚNIOR")</f>
        <v>JÚNIOR</v>
      </c>
    </row>
    <row r="1295" spans="1:10" ht="15" x14ac:dyDescent="0.4">
      <c r="A1295" s="13" t="s">
        <v>2870</v>
      </c>
      <c r="B1295" s="2" t="s">
        <v>2871</v>
      </c>
      <c r="C1295" s="4" t="s">
        <v>8</v>
      </c>
      <c r="D1295" s="11">
        <v>41316</v>
      </c>
      <c r="E1295" s="7" t="s">
        <v>2872</v>
      </c>
      <c r="F1295" s="4" t="s">
        <v>4784</v>
      </c>
      <c r="G1295" s="12" t="str">
        <f>IF(AND(Tabela1[[#This Row],[Data nascimento]]&gt;=$J$2,Tabela1[[#This Row],[Data nascimento]]&lt;=$I$2),"INFANTIL A",H1295)</f>
        <v>INFANTIL B</v>
      </c>
      <c r="H1295" s="3" t="str">
        <f>IF(AND(Tabela1[[#This Row],[Data nascimento]]&gt;=$L$2,Tabela1[[#This Row],[Data nascimento]]&lt;=$K$2),"INFANTIL B",I1295)</f>
        <v>INFANTIL B</v>
      </c>
      <c r="I1295" s="9" t="str">
        <f>IF(AND(Tabela1[[#This Row],[Data nascimento]]&gt;=$N$2,Tabela1[[#This Row],[Data nascimento]]&lt;=$M$2),"INICIADO",J1295)</f>
        <v>JÚNIOR</v>
      </c>
      <c r="J1295" s="9" t="str">
        <f>IF(AND(Tabela1[[#This Row],[Data nascimento]]&gt;=$P$2,Tabela1[[#This Row],[Data nascimento]]&lt;=$O$2),"JUVENIL","JÚNIOR")</f>
        <v>JÚNIOR</v>
      </c>
    </row>
    <row r="1296" spans="1:10" ht="15" x14ac:dyDescent="0.4">
      <c r="A1296" s="13" t="s">
        <v>2873</v>
      </c>
      <c r="B1296" s="2" t="s">
        <v>2874</v>
      </c>
      <c r="C1296" s="4" t="s">
        <v>8</v>
      </c>
      <c r="D1296" s="11">
        <v>41565</v>
      </c>
      <c r="E1296" s="7" t="s">
        <v>2875</v>
      </c>
      <c r="F1296" s="4" t="s">
        <v>4786</v>
      </c>
      <c r="G1296" s="12" t="str">
        <f>IF(AND(Tabela1[[#This Row],[Data nascimento]]&gt;=$J$2,Tabela1[[#This Row],[Data nascimento]]&lt;=$I$2),"INFANTIL A",H1296)</f>
        <v>INFANTIL B</v>
      </c>
      <c r="H1296" s="3" t="str">
        <f>IF(AND(Tabela1[[#This Row],[Data nascimento]]&gt;=$L$2,Tabela1[[#This Row],[Data nascimento]]&lt;=$K$2),"INFANTIL B",I1296)</f>
        <v>INFANTIL B</v>
      </c>
      <c r="I1296" s="9" t="str">
        <f>IF(AND(Tabela1[[#This Row],[Data nascimento]]&gt;=$N$2,Tabela1[[#This Row],[Data nascimento]]&lt;=$M$2),"INICIADO",J1296)</f>
        <v>JÚNIOR</v>
      </c>
      <c r="J1296" s="9" t="str">
        <f>IF(AND(Tabela1[[#This Row],[Data nascimento]]&gt;=$P$2,Tabela1[[#This Row],[Data nascimento]]&lt;=$O$2),"JUVENIL","JÚNIOR")</f>
        <v>JÚNIOR</v>
      </c>
    </row>
    <row r="1297" spans="1:10" ht="15" x14ac:dyDescent="0.4">
      <c r="A1297" s="13" t="s">
        <v>2876</v>
      </c>
      <c r="B1297" s="2" t="s">
        <v>2877</v>
      </c>
      <c r="C1297" s="4" t="s">
        <v>8</v>
      </c>
      <c r="D1297" s="11">
        <v>41538</v>
      </c>
      <c r="E1297" s="7" t="s">
        <v>2878</v>
      </c>
      <c r="F1297" s="4" t="s">
        <v>4786</v>
      </c>
      <c r="G1297" s="12" t="str">
        <f>IF(AND(Tabela1[[#This Row],[Data nascimento]]&gt;=$J$2,Tabela1[[#This Row],[Data nascimento]]&lt;=$I$2),"INFANTIL A",H1297)</f>
        <v>INFANTIL B</v>
      </c>
      <c r="H1297" s="3" t="str">
        <f>IF(AND(Tabela1[[#This Row],[Data nascimento]]&gt;=$L$2,Tabela1[[#This Row],[Data nascimento]]&lt;=$K$2),"INFANTIL B",I1297)</f>
        <v>INFANTIL B</v>
      </c>
      <c r="I1297" s="9" t="str">
        <f>IF(AND(Tabela1[[#This Row],[Data nascimento]]&gt;=$N$2,Tabela1[[#This Row],[Data nascimento]]&lt;=$M$2),"INICIADO",J1297)</f>
        <v>JÚNIOR</v>
      </c>
      <c r="J1297" s="9" t="str">
        <f>IF(AND(Tabela1[[#This Row],[Data nascimento]]&gt;=$P$2,Tabela1[[#This Row],[Data nascimento]]&lt;=$O$2),"JUVENIL","JÚNIOR")</f>
        <v>JÚNIOR</v>
      </c>
    </row>
    <row r="1298" spans="1:10" ht="15" x14ac:dyDescent="0.4">
      <c r="A1298" s="13" t="s">
        <v>2879</v>
      </c>
      <c r="B1298" s="2" t="s">
        <v>2880</v>
      </c>
      <c r="C1298" s="4" t="s">
        <v>8</v>
      </c>
      <c r="D1298" s="11">
        <v>40951</v>
      </c>
      <c r="E1298" s="7" t="s">
        <v>2881</v>
      </c>
      <c r="F1298" s="4" t="s">
        <v>4783</v>
      </c>
      <c r="G1298" s="12" t="str">
        <f>IF(AND(Tabela1[[#This Row],[Data nascimento]]&gt;=$J$2,Tabela1[[#This Row],[Data nascimento]]&lt;=$I$2),"INFANTIL A",H1298)</f>
        <v>INICIADO</v>
      </c>
      <c r="H1298" s="3" t="str">
        <f>IF(AND(Tabela1[[#This Row],[Data nascimento]]&gt;=$L$2,Tabela1[[#This Row],[Data nascimento]]&lt;=$K$2),"INFANTIL B",I1298)</f>
        <v>INICIADO</v>
      </c>
      <c r="I1298" s="9" t="str">
        <f>IF(AND(Tabela1[[#This Row],[Data nascimento]]&gt;=$N$2,Tabela1[[#This Row],[Data nascimento]]&lt;=$M$2),"INICIADO",J1298)</f>
        <v>INICIADO</v>
      </c>
      <c r="J1298" s="9" t="str">
        <f>IF(AND(Tabela1[[#This Row],[Data nascimento]]&gt;=$P$2,Tabela1[[#This Row],[Data nascimento]]&lt;=$O$2),"JUVENIL","JÚNIOR")</f>
        <v>JÚNIOR</v>
      </c>
    </row>
    <row r="1299" spans="1:10" ht="15" x14ac:dyDescent="0.4">
      <c r="A1299" s="13" t="s">
        <v>2882</v>
      </c>
      <c r="B1299" s="2" t="s">
        <v>2883</v>
      </c>
      <c r="C1299" s="4" t="s">
        <v>8</v>
      </c>
      <c r="D1299" s="11">
        <v>41308</v>
      </c>
      <c r="E1299" s="7" t="s">
        <v>2884</v>
      </c>
      <c r="F1299" s="4" t="s">
        <v>4784</v>
      </c>
      <c r="G1299" s="12" t="str">
        <f>IF(AND(Tabela1[[#This Row],[Data nascimento]]&gt;=$J$2,Tabela1[[#This Row],[Data nascimento]]&lt;=$I$2),"INFANTIL A",H1299)</f>
        <v>INFANTIL B</v>
      </c>
      <c r="H1299" s="3" t="str">
        <f>IF(AND(Tabela1[[#This Row],[Data nascimento]]&gt;=$L$2,Tabela1[[#This Row],[Data nascimento]]&lt;=$K$2),"INFANTIL B",I1299)</f>
        <v>INFANTIL B</v>
      </c>
      <c r="I1299" s="9" t="str">
        <f>IF(AND(Tabela1[[#This Row],[Data nascimento]]&gt;=$N$2,Tabela1[[#This Row],[Data nascimento]]&lt;=$M$2),"INICIADO",J1299)</f>
        <v>JÚNIOR</v>
      </c>
      <c r="J1299" s="9" t="str">
        <f>IF(AND(Tabela1[[#This Row],[Data nascimento]]&gt;=$P$2,Tabela1[[#This Row],[Data nascimento]]&lt;=$O$2),"JUVENIL","JÚNIOR")</f>
        <v>JÚNIOR</v>
      </c>
    </row>
    <row r="1300" spans="1:10" ht="15" x14ac:dyDescent="0.4">
      <c r="A1300" s="13" t="s">
        <v>2885</v>
      </c>
      <c r="B1300" s="2" t="s">
        <v>2886</v>
      </c>
      <c r="C1300" s="4" t="s">
        <v>21</v>
      </c>
      <c r="D1300" s="11">
        <v>41519</v>
      </c>
      <c r="E1300" s="7" t="s">
        <v>2887</v>
      </c>
      <c r="F1300" s="4" t="s">
        <v>4785</v>
      </c>
      <c r="G1300" s="12" t="str">
        <f>IF(AND(Tabela1[[#This Row],[Data nascimento]]&gt;=$J$2,Tabela1[[#This Row],[Data nascimento]]&lt;=$I$2),"INFANTIL A",H1300)</f>
        <v>INFANTIL B</v>
      </c>
      <c r="H1300" s="3" t="str">
        <f>IF(AND(Tabela1[[#This Row],[Data nascimento]]&gt;=$L$2,Tabela1[[#This Row],[Data nascimento]]&lt;=$K$2),"INFANTIL B",I1300)</f>
        <v>INFANTIL B</v>
      </c>
      <c r="I1300" s="9" t="str">
        <f>IF(AND(Tabela1[[#This Row],[Data nascimento]]&gt;=$N$2,Tabela1[[#This Row],[Data nascimento]]&lt;=$M$2),"INICIADO",J1300)</f>
        <v>JÚNIOR</v>
      </c>
      <c r="J1300" s="9" t="str">
        <f>IF(AND(Tabela1[[#This Row],[Data nascimento]]&gt;=$P$2,Tabela1[[#This Row],[Data nascimento]]&lt;=$O$2),"JUVENIL","JÚNIOR")</f>
        <v>JÚNIOR</v>
      </c>
    </row>
    <row r="1301" spans="1:10" ht="15" x14ac:dyDescent="0.4">
      <c r="A1301" s="13" t="s">
        <v>2888</v>
      </c>
      <c r="B1301" s="2" t="s">
        <v>2889</v>
      </c>
      <c r="C1301" s="4" t="s">
        <v>8</v>
      </c>
      <c r="D1301" s="11">
        <v>41361</v>
      </c>
      <c r="E1301" s="7" t="s">
        <v>2890</v>
      </c>
      <c r="F1301" s="4" t="s">
        <v>4783</v>
      </c>
      <c r="G1301" s="12" t="str">
        <f>IF(AND(Tabela1[[#This Row],[Data nascimento]]&gt;=$J$2,Tabela1[[#This Row],[Data nascimento]]&lt;=$I$2),"INFANTIL A",H1301)</f>
        <v>INFANTIL B</v>
      </c>
      <c r="H1301" s="3" t="str">
        <f>IF(AND(Tabela1[[#This Row],[Data nascimento]]&gt;=$L$2,Tabela1[[#This Row],[Data nascimento]]&lt;=$K$2),"INFANTIL B",I1301)</f>
        <v>INFANTIL B</v>
      </c>
      <c r="I1301" s="9" t="str">
        <f>IF(AND(Tabela1[[#This Row],[Data nascimento]]&gt;=$N$2,Tabela1[[#This Row],[Data nascimento]]&lt;=$M$2),"INICIADO",J1301)</f>
        <v>JÚNIOR</v>
      </c>
      <c r="J1301" s="9" t="str">
        <f>IF(AND(Tabela1[[#This Row],[Data nascimento]]&gt;=$P$2,Tabela1[[#This Row],[Data nascimento]]&lt;=$O$2),"JUVENIL","JÚNIOR")</f>
        <v>JÚNIOR</v>
      </c>
    </row>
    <row r="1302" spans="1:10" ht="15" x14ac:dyDescent="0.4">
      <c r="A1302" s="13" t="s">
        <v>2891</v>
      </c>
      <c r="B1302" s="2" t="s">
        <v>2892</v>
      </c>
      <c r="C1302" s="4" t="s">
        <v>21</v>
      </c>
      <c r="D1302" s="11">
        <v>41584</v>
      </c>
      <c r="E1302" s="7" t="s">
        <v>2893</v>
      </c>
      <c r="F1302" s="4" t="s">
        <v>4785</v>
      </c>
      <c r="G1302" s="12" t="str">
        <f>IF(AND(Tabela1[[#This Row],[Data nascimento]]&gt;=$J$2,Tabela1[[#This Row],[Data nascimento]]&lt;=$I$2),"INFANTIL A",H1302)</f>
        <v>INFANTIL B</v>
      </c>
      <c r="H1302" s="3" t="str">
        <f>IF(AND(Tabela1[[#This Row],[Data nascimento]]&gt;=$L$2,Tabela1[[#This Row],[Data nascimento]]&lt;=$K$2),"INFANTIL B",I1302)</f>
        <v>INFANTIL B</v>
      </c>
      <c r="I1302" s="9" t="str">
        <f>IF(AND(Tabela1[[#This Row],[Data nascimento]]&gt;=$N$2,Tabela1[[#This Row],[Data nascimento]]&lt;=$M$2),"INICIADO",J1302)</f>
        <v>JÚNIOR</v>
      </c>
      <c r="J1302" s="9" t="str">
        <f>IF(AND(Tabela1[[#This Row],[Data nascimento]]&gt;=$P$2,Tabela1[[#This Row],[Data nascimento]]&lt;=$O$2),"JUVENIL","JÚNIOR")</f>
        <v>JÚNIOR</v>
      </c>
    </row>
    <row r="1303" spans="1:10" ht="15" x14ac:dyDescent="0.4">
      <c r="A1303" s="13" t="s">
        <v>2894</v>
      </c>
      <c r="B1303" s="2" t="s">
        <v>2895</v>
      </c>
      <c r="C1303" s="4" t="s">
        <v>8</v>
      </c>
      <c r="D1303" s="11">
        <v>41622</v>
      </c>
      <c r="E1303" s="7" t="s">
        <v>2896</v>
      </c>
      <c r="F1303" s="4" t="s">
        <v>4785</v>
      </c>
      <c r="G1303" s="12" t="str">
        <f>IF(AND(Tabela1[[#This Row],[Data nascimento]]&gt;=$J$2,Tabela1[[#This Row],[Data nascimento]]&lt;=$I$2),"INFANTIL A",H1303)</f>
        <v>INFANTIL B</v>
      </c>
      <c r="H1303" s="3" t="str">
        <f>IF(AND(Tabela1[[#This Row],[Data nascimento]]&gt;=$L$2,Tabela1[[#This Row],[Data nascimento]]&lt;=$K$2),"INFANTIL B",I1303)</f>
        <v>INFANTIL B</v>
      </c>
      <c r="I1303" s="9" t="str">
        <f>IF(AND(Tabela1[[#This Row],[Data nascimento]]&gt;=$N$2,Tabela1[[#This Row],[Data nascimento]]&lt;=$M$2),"INICIADO",J1303)</f>
        <v>JÚNIOR</v>
      </c>
      <c r="J1303" s="9" t="str">
        <f>IF(AND(Tabela1[[#This Row],[Data nascimento]]&gt;=$P$2,Tabela1[[#This Row],[Data nascimento]]&lt;=$O$2),"JUVENIL","JÚNIOR")</f>
        <v>JÚNIOR</v>
      </c>
    </row>
    <row r="1304" spans="1:10" ht="15" x14ac:dyDescent="0.4">
      <c r="A1304" s="13" t="s">
        <v>2897</v>
      </c>
      <c r="B1304" s="2" t="s">
        <v>2898</v>
      </c>
      <c r="C1304" s="4" t="s">
        <v>21</v>
      </c>
      <c r="D1304" s="11">
        <v>41520</v>
      </c>
      <c r="E1304" s="7" t="s">
        <v>2899</v>
      </c>
      <c r="F1304" s="4" t="s">
        <v>4784</v>
      </c>
      <c r="G1304" s="12" t="str">
        <f>IF(AND(Tabela1[[#This Row],[Data nascimento]]&gt;=$J$2,Tabela1[[#This Row],[Data nascimento]]&lt;=$I$2),"INFANTIL A",H1304)</f>
        <v>INFANTIL B</v>
      </c>
      <c r="H1304" s="3" t="str">
        <f>IF(AND(Tabela1[[#This Row],[Data nascimento]]&gt;=$L$2,Tabela1[[#This Row],[Data nascimento]]&lt;=$K$2),"INFANTIL B",I1304)</f>
        <v>INFANTIL B</v>
      </c>
      <c r="I1304" s="9" t="str">
        <f>IF(AND(Tabela1[[#This Row],[Data nascimento]]&gt;=$N$2,Tabela1[[#This Row],[Data nascimento]]&lt;=$M$2),"INICIADO",J1304)</f>
        <v>JÚNIOR</v>
      </c>
      <c r="J1304" s="9" t="str">
        <f>IF(AND(Tabela1[[#This Row],[Data nascimento]]&gt;=$P$2,Tabela1[[#This Row],[Data nascimento]]&lt;=$O$2),"JUVENIL","JÚNIOR")</f>
        <v>JÚNIOR</v>
      </c>
    </row>
    <row r="1305" spans="1:10" ht="15" x14ac:dyDescent="0.4">
      <c r="A1305" s="13" t="s">
        <v>2900</v>
      </c>
      <c r="B1305" s="2" t="s">
        <v>2901</v>
      </c>
      <c r="C1305" s="4" t="s">
        <v>8</v>
      </c>
      <c r="D1305" s="11">
        <v>41378</v>
      </c>
      <c r="E1305" s="7" t="s">
        <v>2902</v>
      </c>
      <c r="F1305" s="4" t="s">
        <v>4787</v>
      </c>
      <c r="G1305" s="12" t="str">
        <f>IF(AND(Tabela1[[#This Row],[Data nascimento]]&gt;=$J$2,Tabela1[[#This Row],[Data nascimento]]&lt;=$I$2),"INFANTIL A",H1305)</f>
        <v>INFANTIL B</v>
      </c>
      <c r="H1305" s="3" t="str">
        <f>IF(AND(Tabela1[[#This Row],[Data nascimento]]&gt;=$L$2,Tabela1[[#This Row],[Data nascimento]]&lt;=$K$2),"INFANTIL B",I1305)</f>
        <v>INFANTIL B</v>
      </c>
      <c r="I1305" s="9" t="str">
        <f>IF(AND(Tabela1[[#This Row],[Data nascimento]]&gt;=$N$2,Tabela1[[#This Row],[Data nascimento]]&lt;=$M$2),"INICIADO",J1305)</f>
        <v>JÚNIOR</v>
      </c>
      <c r="J1305" s="9" t="str">
        <f>IF(AND(Tabela1[[#This Row],[Data nascimento]]&gt;=$P$2,Tabela1[[#This Row],[Data nascimento]]&lt;=$O$2),"JUVENIL","JÚNIOR")</f>
        <v>JÚNIOR</v>
      </c>
    </row>
    <row r="1306" spans="1:10" ht="15" x14ac:dyDescent="0.4">
      <c r="A1306" s="13" t="s">
        <v>2903</v>
      </c>
      <c r="B1306" s="2" t="s">
        <v>2904</v>
      </c>
      <c r="C1306" s="4" t="s">
        <v>21</v>
      </c>
      <c r="D1306" s="11">
        <v>41586</v>
      </c>
      <c r="E1306" s="7" t="s">
        <v>2905</v>
      </c>
      <c r="F1306" s="4" t="s">
        <v>4786</v>
      </c>
      <c r="G1306" s="12" t="str">
        <f>IF(AND(Tabela1[[#This Row],[Data nascimento]]&gt;=$J$2,Tabela1[[#This Row],[Data nascimento]]&lt;=$I$2),"INFANTIL A",H1306)</f>
        <v>INFANTIL B</v>
      </c>
      <c r="H1306" s="3" t="str">
        <f>IF(AND(Tabela1[[#This Row],[Data nascimento]]&gt;=$L$2,Tabela1[[#This Row],[Data nascimento]]&lt;=$K$2),"INFANTIL B",I1306)</f>
        <v>INFANTIL B</v>
      </c>
      <c r="I1306" s="9" t="str">
        <f>IF(AND(Tabela1[[#This Row],[Data nascimento]]&gt;=$N$2,Tabela1[[#This Row],[Data nascimento]]&lt;=$M$2),"INICIADO",J1306)</f>
        <v>JÚNIOR</v>
      </c>
      <c r="J1306" s="9" t="str">
        <f>IF(AND(Tabela1[[#This Row],[Data nascimento]]&gt;=$P$2,Tabela1[[#This Row],[Data nascimento]]&lt;=$O$2),"JUVENIL","JÚNIOR")</f>
        <v>JÚNIOR</v>
      </c>
    </row>
    <row r="1307" spans="1:10" ht="15" x14ac:dyDescent="0.4">
      <c r="A1307" s="13" t="s">
        <v>2906</v>
      </c>
      <c r="B1307" s="2" t="s">
        <v>2907</v>
      </c>
      <c r="C1307" s="4" t="s">
        <v>8</v>
      </c>
      <c r="D1307" s="11">
        <v>41447</v>
      </c>
      <c r="E1307" s="7" t="s">
        <v>2908</v>
      </c>
      <c r="F1307" s="4" t="s">
        <v>4786</v>
      </c>
      <c r="G1307" s="12" t="str">
        <f>IF(AND(Tabela1[[#This Row],[Data nascimento]]&gt;=$J$2,Tabela1[[#This Row],[Data nascimento]]&lt;=$I$2),"INFANTIL A",H1307)</f>
        <v>INFANTIL B</v>
      </c>
      <c r="H1307" s="3" t="str">
        <f>IF(AND(Tabela1[[#This Row],[Data nascimento]]&gt;=$L$2,Tabela1[[#This Row],[Data nascimento]]&lt;=$K$2),"INFANTIL B",I1307)</f>
        <v>INFANTIL B</v>
      </c>
      <c r="I1307" s="9" t="str">
        <f>IF(AND(Tabela1[[#This Row],[Data nascimento]]&gt;=$N$2,Tabela1[[#This Row],[Data nascimento]]&lt;=$M$2),"INICIADO",J1307)</f>
        <v>JÚNIOR</v>
      </c>
      <c r="J1307" s="9" t="str">
        <f>IF(AND(Tabela1[[#This Row],[Data nascimento]]&gt;=$P$2,Tabela1[[#This Row],[Data nascimento]]&lt;=$O$2),"JUVENIL","JÚNIOR")</f>
        <v>JÚNIOR</v>
      </c>
    </row>
    <row r="1308" spans="1:10" ht="15" x14ac:dyDescent="0.4">
      <c r="A1308" s="13" t="s">
        <v>2909</v>
      </c>
      <c r="B1308" s="2" t="s">
        <v>2910</v>
      </c>
      <c r="C1308" s="4" t="s">
        <v>21</v>
      </c>
      <c r="D1308" s="11">
        <v>41353</v>
      </c>
      <c r="E1308" s="7" t="s">
        <v>2911</v>
      </c>
      <c r="F1308" s="4" t="s">
        <v>4786</v>
      </c>
      <c r="G1308" s="12" t="str">
        <f>IF(AND(Tabela1[[#This Row],[Data nascimento]]&gt;=$J$2,Tabela1[[#This Row],[Data nascimento]]&lt;=$I$2),"INFANTIL A",H1308)</f>
        <v>INFANTIL B</v>
      </c>
      <c r="H1308" s="3" t="str">
        <f>IF(AND(Tabela1[[#This Row],[Data nascimento]]&gt;=$L$2,Tabela1[[#This Row],[Data nascimento]]&lt;=$K$2),"INFANTIL B",I1308)</f>
        <v>INFANTIL B</v>
      </c>
      <c r="I1308" s="9" t="str">
        <f>IF(AND(Tabela1[[#This Row],[Data nascimento]]&gt;=$N$2,Tabela1[[#This Row],[Data nascimento]]&lt;=$M$2),"INICIADO",J1308)</f>
        <v>JÚNIOR</v>
      </c>
      <c r="J1308" s="9" t="str">
        <f>IF(AND(Tabela1[[#This Row],[Data nascimento]]&gt;=$P$2,Tabela1[[#This Row],[Data nascimento]]&lt;=$O$2),"JUVENIL","JÚNIOR")</f>
        <v>JÚNIOR</v>
      </c>
    </row>
    <row r="1309" spans="1:10" ht="15" x14ac:dyDescent="0.4">
      <c r="A1309" s="13" t="s">
        <v>2912</v>
      </c>
      <c r="B1309" s="2" t="s">
        <v>2913</v>
      </c>
      <c r="C1309" s="4" t="s">
        <v>21</v>
      </c>
      <c r="D1309" s="11">
        <v>41616</v>
      </c>
      <c r="E1309" s="7" t="s">
        <v>2914</v>
      </c>
      <c r="F1309" s="4" t="s">
        <v>4785</v>
      </c>
      <c r="G1309" s="12" t="str">
        <f>IF(AND(Tabela1[[#This Row],[Data nascimento]]&gt;=$J$2,Tabela1[[#This Row],[Data nascimento]]&lt;=$I$2),"INFANTIL A",H1309)</f>
        <v>INFANTIL B</v>
      </c>
      <c r="H1309" s="3" t="str">
        <f>IF(AND(Tabela1[[#This Row],[Data nascimento]]&gt;=$L$2,Tabela1[[#This Row],[Data nascimento]]&lt;=$K$2),"INFANTIL B",I1309)</f>
        <v>INFANTIL B</v>
      </c>
      <c r="I1309" s="9" t="str">
        <f>IF(AND(Tabela1[[#This Row],[Data nascimento]]&gt;=$N$2,Tabela1[[#This Row],[Data nascimento]]&lt;=$M$2),"INICIADO",J1309)</f>
        <v>JÚNIOR</v>
      </c>
      <c r="J1309" s="9" t="str">
        <f>IF(AND(Tabela1[[#This Row],[Data nascimento]]&gt;=$P$2,Tabela1[[#This Row],[Data nascimento]]&lt;=$O$2),"JUVENIL","JÚNIOR")</f>
        <v>JÚNIOR</v>
      </c>
    </row>
    <row r="1310" spans="1:10" ht="15" x14ac:dyDescent="0.4">
      <c r="A1310" s="13" t="s">
        <v>2915</v>
      </c>
      <c r="B1310" s="2" t="s">
        <v>2916</v>
      </c>
      <c r="C1310" s="4" t="s">
        <v>8</v>
      </c>
      <c r="D1310" s="11">
        <v>41254</v>
      </c>
      <c r="E1310" s="7" t="s">
        <v>2917</v>
      </c>
      <c r="F1310" s="4" t="s">
        <v>4785</v>
      </c>
      <c r="G1310" s="12" t="str">
        <f>IF(AND(Tabela1[[#This Row],[Data nascimento]]&gt;=$J$2,Tabela1[[#This Row],[Data nascimento]]&lt;=$I$2),"INFANTIL A",H1310)</f>
        <v>INICIADO</v>
      </c>
      <c r="H1310" s="3" t="str">
        <f>IF(AND(Tabela1[[#This Row],[Data nascimento]]&gt;=$L$2,Tabela1[[#This Row],[Data nascimento]]&lt;=$K$2),"INFANTIL B",I1310)</f>
        <v>INICIADO</v>
      </c>
      <c r="I1310" s="9" t="str">
        <f>IF(AND(Tabela1[[#This Row],[Data nascimento]]&gt;=$N$2,Tabela1[[#This Row],[Data nascimento]]&lt;=$M$2),"INICIADO",J1310)</f>
        <v>INICIADO</v>
      </c>
      <c r="J1310" s="9" t="str">
        <f>IF(AND(Tabela1[[#This Row],[Data nascimento]]&gt;=$P$2,Tabela1[[#This Row],[Data nascimento]]&lt;=$O$2),"JUVENIL","JÚNIOR")</f>
        <v>JÚNIOR</v>
      </c>
    </row>
    <row r="1311" spans="1:10" ht="15" x14ac:dyDescent="0.4">
      <c r="A1311" s="13" t="s">
        <v>2918</v>
      </c>
      <c r="B1311" s="2" t="s">
        <v>2919</v>
      </c>
      <c r="C1311" s="4" t="s">
        <v>21</v>
      </c>
      <c r="D1311" s="11">
        <v>41299</v>
      </c>
      <c r="E1311" s="7" t="s">
        <v>2920</v>
      </c>
      <c r="F1311" s="4" t="s">
        <v>4785</v>
      </c>
      <c r="G1311" s="12" t="str">
        <f>IF(AND(Tabela1[[#This Row],[Data nascimento]]&gt;=$J$2,Tabela1[[#This Row],[Data nascimento]]&lt;=$I$2),"INFANTIL A",H1311)</f>
        <v>INFANTIL B</v>
      </c>
      <c r="H1311" s="3" t="str">
        <f>IF(AND(Tabela1[[#This Row],[Data nascimento]]&gt;=$L$2,Tabela1[[#This Row],[Data nascimento]]&lt;=$K$2),"INFANTIL B",I1311)</f>
        <v>INFANTIL B</v>
      </c>
      <c r="I1311" s="9" t="str">
        <f>IF(AND(Tabela1[[#This Row],[Data nascimento]]&gt;=$N$2,Tabela1[[#This Row],[Data nascimento]]&lt;=$M$2),"INICIADO",J1311)</f>
        <v>JÚNIOR</v>
      </c>
      <c r="J1311" s="9" t="str">
        <f>IF(AND(Tabela1[[#This Row],[Data nascimento]]&gt;=$P$2,Tabela1[[#This Row],[Data nascimento]]&lt;=$O$2),"JUVENIL","JÚNIOR")</f>
        <v>JÚNIOR</v>
      </c>
    </row>
    <row r="1312" spans="1:10" ht="15" x14ac:dyDescent="0.4">
      <c r="A1312" s="13" t="s">
        <v>2921</v>
      </c>
      <c r="B1312" s="2" t="s">
        <v>2922</v>
      </c>
      <c r="C1312" s="4" t="s">
        <v>8</v>
      </c>
      <c r="D1312" s="11">
        <v>41472</v>
      </c>
      <c r="E1312" s="7" t="s">
        <v>2923</v>
      </c>
      <c r="F1312" s="4" t="s">
        <v>4783</v>
      </c>
      <c r="G1312" s="12" t="str">
        <f>IF(AND(Tabela1[[#This Row],[Data nascimento]]&gt;=$J$2,Tabela1[[#This Row],[Data nascimento]]&lt;=$I$2),"INFANTIL A",H1312)</f>
        <v>INFANTIL B</v>
      </c>
      <c r="H1312" s="3" t="str">
        <f>IF(AND(Tabela1[[#This Row],[Data nascimento]]&gt;=$L$2,Tabela1[[#This Row],[Data nascimento]]&lt;=$K$2),"INFANTIL B",I1312)</f>
        <v>INFANTIL B</v>
      </c>
      <c r="I1312" s="9" t="str">
        <f>IF(AND(Tabela1[[#This Row],[Data nascimento]]&gt;=$N$2,Tabela1[[#This Row],[Data nascimento]]&lt;=$M$2),"INICIADO",J1312)</f>
        <v>JÚNIOR</v>
      </c>
      <c r="J1312" s="9" t="str">
        <f>IF(AND(Tabela1[[#This Row],[Data nascimento]]&gt;=$P$2,Tabela1[[#This Row],[Data nascimento]]&lt;=$O$2),"JUVENIL","JÚNIOR")</f>
        <v>JÚNIOR</v>
      </c>
    </row>
    <row r="1313" spans="1:10" ht="15" x14ac:dyDescent="0.4">
      <c r="A1313" s="13" t="s">
        <v>2924</v>
      </c>
      <c r="B1313" s="2" t="s">
        <v>2925</v>
      </c>
      <c r="C1313" s="4" t="s">
        <v>21</v>
      </c>
      <c r="D1313" s="11">
        <v>41241</v>
      </c>
      <c r="E1313" s="7" t="s">
        <v>2926</v>
      </c>
      <c r="F1313" s="4" t="s">
        <v>4784</v>
      </c>
      <c r="G1313" s="12" t="str">
        <f>IF(AND(Tabela1[[#This Row],[Data nascimento]]&gt;=$J$2,Tabela1[[#This Row],[Data nascimento]]&lt;=$I$2),"INFANTIL A",H1313)</f>
        <v>INICIADO</v>
      </c>
      <c r="H1313" s="3" t="str">
        <f>IF(AND(Tabela1[[#This Row],[Data nascimento]]&gt;=$L$2,Tabela1[[#This Row],[Data nascimento]]&lt;=$K$2),"INFANTIL B",I1313)</f>
        <v>INICIADO</v>
      </c>
      <c r="I1313" s="9" t="str">
        <f>IF(AND(Tabela1[[#This Row],[Data nascimento]]&gt;=$N$2,Tabela1[[#This Row],[Data nascimento]]&lt;=$M$2),"INICIADO",J1313)</f>
        <v>INICIADO</v>
      </c>
      <c r="J1313" s="9" t="str">
        <f>IF(AND(Tabela1[[#This Row],[Data nascimento]]&gt;=$P$2,Tabela1[[#This Row],[Data nascimento]]&lt;=$O$2),"JUVENIL","JÚNIOR")</f>
        <v>JÚNIOR</v>
      </c>
    </row>
    <row r="1314" spans="1:10" ht="15" x14ac:dyDescent="0.4">
      <c r="A1314" s="13" t="s">
        <v>2927</v>
      </c>
      <c r="B1314" s="2" t="s">
        <v>2928</v>
      </c>
      <c r="C1314" s="4" t="s">
        <v>8</v>
      </c>
      <c r="D1314" s="11">
        <v>41504</v>
      </c>
      <c r="E1314" s="7" t="s">
        <v>2929</v>
      </c>
      <c r="F1314" s="4" t="s">
        <v>4785</v>
      </c>
      <c r="G1314" s="12" t="str">
        <f>IF(AND(Tabela1[[#This Row],[Data nascimento]]&gt;=$J$2,Tabela1[[#This Row],[Data nascimento]]&lt;=$I$2),"INFANTIL A",H1314)</f>
        <v>INFANTIL B</v>
      </c>
      <c r="H1314" s="3" t="str">
        <f>IF(AND(Tabela1[[#This Row],[Data nascimento]]&gt;=$L$2,Tabela1[[#This Row],[Data nascimento]]&lt;=$K$2),"INFANTIL B",I1314)</f>
        <v>INFANTIL B</v>
      </c>
      <c r="I1314" s="9" t="str">
        <f>IF(AND(Tabela1[[#This Row],[Data nascimento]]&gt;=$N$2,Tabela1[[#This Row],[Data nascimento]]&lt;=$M$2),"INICIADO",J1314)</f>
        <v>JÚNIOR</v>
      </c>
      <c r="J1314" s="9" t="str">
        <f>IF(AND(Tabela1[[#This Row],[Data nascimento]]&gt;=$P$2,Tabela1[[#This Row],[Data nascimento]]&lt;=$O$2),"JUVENIL","JÚNIOR")</f>
        <v>JÚNIOR</v>
      </c>
    </row>
    <row r="1315" spans="1:10" ht="15" x14ac:dyDescent="0.4">
      <c r="A1315" s="13" t="s">
        <v>2930</v>
      </c>
      <c r="B1315" s="2" t="s">
        <v>2931</v>
      </c>
      <c r="C1315" s="4" t="s">
        <v>8</v>
      </c>
      <c r="D1315" s="11">
        <v>41236</v>
      </c>
      <c r="E1315" s="7" t="s">
        <v>2932</v>
      </c>
      <c r="F1315" s="4" t="s">
        <v>4784</v>
      </c>
      <c r="G1315" s="12" t="str">
        <f>IF(AND(Tabela1[[#This Row],[Data nascimento]]&gt;=$J$2,Tabela1[[#This Row],[Data nascimento]]&lt;=$I$2),"INFANTIL A",H1315)</f>
        <v>INICIADO</v>
      </c>
      <c r="H1315" s="3" t="str">
        <f>IF(AND(Tabela1[[#This Row],[Data nascimento]]&gt;=$L$2,Tabela1[[#This Row],[Data nascimento]]&lt;=$K$2),"INFANTIL B",I1315)</f>
        <v>INICIADO</v>
      </c>
      <c r="I1315" s="9" t="str">
        <f>IF(AND(Tabela1[[#This Row],[Data nascimento]]&gt;=$N$2,Tabela1[[#This Row],[Data nascimento]]&lt;=$M$2),"INICIADO",J1315)</f>
        <v>INICIADO</v>
      </c>
      <c r="J1315" s="9" t="str">
        <f>IF(AND(Tabela1[[#This Row],[Data nascimento]]&gt;=$P$2,Tabela1[[#This Row],[Data nascimento]]&lt;=$O$2),"JUVENIL","JÚNIOR")</f>
        <v>JÚNIOR</v>
      </c>
    </row>
    <row r="1316" spans="1:10" ht="15" x14ac:dyDescent="0.4">
      <c r="A1316" s="13" t="s">
        <v>2933</v>
      </c>
      <c r="B1316" s="2" t="s">
        <v>2934</v>
      </c>
      <c r="C1316" s="4" t="s">
        <v>8</v>
      </c>
      <c r="D1316" s="11">
        <v>41225</v>
      </c>
      <c r="E1316" s="7" t="s">
        <v>2935</v>
      </c>
      <c r="F1316" s="4" t="s">
        <v>4784</v>
      </c>
      <c r="G1316" s="12" t="str">
        <f>IF(AND(Tabela1[[#This Row],[Data nascimento]]&gt;=$J$2,Tabela1[[#This Row],[Data nascimento]]&lt;=$I$2),"INFANTIL A",H1316)</f>
        <v>INICIADO</v>
      </c>
      <c r="H1316" s="3" t="str">
        <f>IF(AND(Tabela1[[#This Row],[Data nascimento]]&gt;=$L$2,Tabela1[[#This Row],[Data nascimento]]&lt;=$K$2),"INFANTIL B",I1316)</f>
        <v>INICIADO</v>
      </c>
      <c r="I1316" s="9" t="str">
        <f>IF(AND(Tabela1[[#This Row],[Data nascimento]]&gt;=$N$2,Tabela1[[#This Row],[Data nascimento]]&lt;=$M$2),"INICIADO",J1316)</f>
        <v>INICIADO</v>
      </c>
      <c r="J1316" s="9" t="str">
        <f>IF(AND(Tabela1[[#This Row],[Data nascimento]]&gt;=$P$2,Tabela1[[#This Row],[Data nascimento]]&lt;=$O$2),"JUVENIL","JÚNIOR")</f>
        <v>JÚNIOR</v>
      </c>
    </row>
    <row r="1317" spans="1:10" ht="15" x14ac:dyDescent="0.4">
      <c r="A1317" s="13" t="s">
        <v>2936</v>
      </c>
      <c r="B1317" s="2" t="s">
        <v>2937</v>
      </c>
      <c r="C1317" s="4" t="s">
        <v>8</v>
      </c>
      <c r="D1317" s="11">
        <v>41254</v>
      </c>
      <c r="E1317" s="7" t="s">
        <v>2938</v>
      </c>
      <c r="F1317" s="4" t="s">
        <v>4787</v>
      </c>
      <c r="G1317" s="12" t="str">
        <f>IF(AND(Tabela1[[#This Row],[Data nascimento]]&gt;=$J$2,Tabela1[[#This Row],[Data nascimento]]&lt;=$I$2),"INFANTIL A",H1317)</f>
        <v>INICIADO</v>
      </c>
      <c r="H1317" s="3" t="str">
        <f>IF(AND(Tabela1[[#This Row],[Data nascimento]]&gt;=$L$2,Tabela1[[#This Row],[Data nascimento]]&lt;=$K$2),"INFANTIL B",I1317)</f>
        <v>INICIADO</v>
      </c>
      <c r="I1317" s="9" t="str">
        <f>IF(AND(Tabela1[[#This Row],[Data nascimento]]&gt;=$N$2,Tabela1[[#This Row],[Data nascimento]]&lt;=$M$2),"INICIADO",J1317)</f>
        <v>INICIADO</v>
      </c>
      <c r="J1317" s="9" t="str">
        <f>IF(AND(Tabela1[[#This Row],[Data nascimento]]&gt;=$P$2,Tabela1[[#This Row],[Data nascimento]]&lt;=$O$2),"JUVENIL","JÚNIOR")</f>
        <v>JÚNIOR</v>
      </c>
    </row>
    <row r="1318" spans="1:10" ht="15" x14ac:dyDescent="0.4">
      <c r="A1318" s="13" t="s">
        <v>2939</v>
      </c>
      <c r="B1318" s="2" t="s">
        <v>2940</v>
      </c>
      <c r="C1318" s="4" t="s">
        <v>8</v>
      </c>
      <c r="D1318" s="11">
        <v>41370</v>
      </c>
      <c r="E1318" s="7" t="s">
        <v>2941</v>
      </c>
      <c r="F1318" s="4" t="s">
        <v>4786</v>
      </c>
      <c r="G1318" s="12" t="str">
        <f>IF(AND(Tabela1[[#This Row],[Data nascimento]]&gt;=$J$2,Tabela1[[#This Row],[Data nascimento]]&lt;=$I$2),"INFANTIL A",H1318)</f>
        <v>INFANTIL B</v>
      </c>
      <c r="H1318" s="3" t="str">
        <f>IF(AND(Tabela1[[#This Row],[Data nascimento]]&gt;=$L$2,Tabela1[[#This Row],[Data nascimento]]&lt;=$K$2),"INFANTIL B",I1318)</f>
        <v>INFANTIL B</v>
      </c>
      <c r="I1318" s="9" t="str">
        <f>IF(AND(Tabela1[[#This Row],[Data nascimento]]&gt;=$N$2,Tabela1[[#This Row],[Data nascimento]]&lt;=$M$2),"INICIADO",J1318)</f>
        <v>JÚNIOR</v>
      </c>
      <c r="J1318" s="9" t="str">
        <f>IF(AND(Tabela1[[#This Row],[Data nascimento]]&gt;=$P$2,Tabela1[[#This Row],[Data nascimento]]&lt;=$O$2),"JUVENIL","JÚNIOR")</f>
        <v>JÚNIOR</v>
      </c>
    </row>
    <row r="1319" spans="1:10" ht="15" x14ac:dyDescent="0.4">
      <c r="A1319" s="13" t="s">
        <v>2942</v>
      </c>
      <c r="B1319" s="2" t="s">
        <v>2943</v>
      </c>
      <c r="C1319" s="4" t="s">
        <v>21</v>
      </c>
      <c r="D1319" s="11">
        <v>41444</v>
      </c>
      <c r="E1319" s="7" t="s">
        <v>2944</v>
      </c>
      <c r="F1319" s="4" t="s">
        <v>4786</v>
      </c>
      <c r="G1319" s="12" t="str">
        <f>IF(AND(Tabela1[[#This Row],[Data nascimento]]&gt;=$J$2,Tabela1[[#This Row],[Data nascimento]]&lt;=$I$2),"INFANTIL A",H1319)</f>
        <v>INFANTIL B</v>
      </c>
      <c r="H1319" s="3" t="str">
        <f>IF(AND(Tabela1[[#This Row],[Data nascimento]]&gt;=$L$2,Tabela1[[#This Row],[Data nascimento]]&lt;=$K$2),"INFANTIL B",I1319)</f>
        <v>INFANTIL B</v>
      </c>
      <c r="I1319" s="9" t="str">
        <f>IF(AND(Tabela1[[#This Row],[Data nascimento]]&gt;=$N$2,Tabela1[[#This Row],[Data nascimento]]&lt;=$M$2),"INICIADO",J1319)</f>
        <v>JÚNIOR</v>
      </c>
      <c r="J1319" s="9" t="str">
        <f>IF(AND(Tabela1[[#This Row],[Data nascimento]]&gt;=$P$2,Tabela1[[#This Row],[Data nascimento]]&lt;=$O$2),"JUVENIL","JÚNIOR")</f>
        <v>JÚNIOR</v>
      </c>
    </row>
    <row r="1320" spans="1:10" ht="15" x14ac:dyDescent="0.4">
      <c r="A1320" s="13" t="s">
        <v>2945</v>
      </c>
      <c r="B1320" s="2" t="s">
        <v>2946</v>
      </c>
      <c r="C1320" s="4" t="s">
        <v>21</v>
      </c>
      <c r="D1320" s="11">
        <v>41276</v>
      </c>
      <c r="E1320" s="7" t="s">
        <v>2947</v>
      </c>
      <c r="F1320" s="4" t="s">
        <v>4784</v>
      </c>
      <c r="G1320" s="12" t="str">
        <f>IF(AND(Tabela1[[#This Row],[Data nascimento]]&gt;=$J$2,Tabela1[[#This Row],[Data nascimento]]&lt;=$I$2),"INFANTIL A",H1320)</f>
        <v>INFANTIL B</v>
      </c>
      <c r="H1320" s="3" t="str">
        <f>IF(AND(Tabela1[[#This Row],[Data nascimento]]&gt;=$L$2,Tabela1[[#This Row],[Data nascimento]]&lt;=$K$2),"INFANTIL B",I1320)</f>
        <v>INFANTIL B</v>
      </c>
      <c r="I1320" s="9" t="str">
        <f>IF(AND(Tabela1[[#This Row],[Data nascimento]]&gt;=$N$2,Tabela1[[#This Row],[Data nascimento]]&lt;=$M$2),"INICIADO",J1320)</f>
        <v>JÚNIOR</v>
      </c>
      <c r="J1320" s="9" t="str">
        <f>IF(AND(Tabela1[[#This Row],[Data nascimento]]&gt;=$P$2,Tabela1[[#This Row],[Data nascimento]]&lt;=$O$2),"JUVENIL","JÚNIOR")</f>
        <v>JÚNIOR</v>
      </c>
    </row>
    <row r="1321" spans="1:10" ht="15" x14ac:dyDescent="0.4">
      <c r="A1321" s="13" t="s">
        <v>2948</v>
      </c>
      <c r="B1321" s="2" t="s">
        <v>2949</v>
      </c>
      <c r="C1321" s="4" t="s">
        <v>8</v>
      </c>
      <c r="D1321" s="11">
        <v>40786</v>
      </c>
      <c r="E1321" s="7" t="s">
        <v>2950</v>
      </c>
      <c r="F1321" s="4" t="s">
        <v>4785</v>
      </c>
      <c r="G1321" s="12" t="str">
        <f>IF(AND(Tabela1[[#This Row],[Data nascimento]]&gt;=$J$2,Tabela1[[#This Row],[Data nascimento]]&lt;=$I$2),"INFANTIL A",H1321)</f>
        <v>INICIADO</v>
      </c>
      <c r="H1321" s="3" t="str">
        <f>IF(AND(Tabela1[[#This Row],[Data nascimento]]&gt;=$L$2,Tabela1[[#This Row],[Data nascimento]]&lt;=$K$2),"INFANTIL B",I1321)</f>
        <v>INICIADO</v>
      </c>
      <c r="I1321" s="9" t="str">
        <f>IF(AND(Tabela1[[#This Row],[Data nascimento]]&gt;=$N$2,Tabela1[[#This Row],[Data nascimento]]&lt;=$M$2),"INICIADO",J1321)</f>
        <v>INICIADO</v>
      </c>
      <c r="J1321" s="9" t="str">
        <f>IF(AND(Tabela1[[#This Row],[Data nascimento]]&gt;=$P$2,Tabela1[[#This Row],[Data nascimento]]&lt;=$O$2),"JUVENIL","JÚNIOR")</f>
        <v>JÚNIOR</v>
      </c>
    </row>
    <row r="1322" spans="1:10" ht="15" x14ac:dyDescent="0.4">
      <c r="A1322" s="13" t="s">
        <v>2951</v>
      </c>
      <c r="B1322" s="2" t="s">
        <v>2952</v>
      </c>
      <c r="C1322" s="4" t="s">
        <v>21</v>
      </c>
      <c r="D1322" s="11">
        <v>41253</v>
      </c>
      <c r="E1322" s="7" t="s">
        <v>2953</v>
      </c>
      <c r="F1322" s="4" t="s">
        <v>4783</v>
      </c>
      <c r="G1322" s="12" t="str">
        <f>IF(AND(Tabela1[[#This Row],[Data nascimento]]&gt;=$J$2,Tabela1[[#This Row],[Data nascimento]]&lt;=$I$2),"INFANTIL A",H1322)</f>
        <v>INICIADO</v>
      </c>
      <c r="H1322" s="3" t="str">
        <f>IF(AND(Tabela1[[#This Row],[Data nascimento]]&gt;=$L$2,Tabela1[[#This Row],[Data nascimento]]&lt;=$K$2),"INFANTIL B",I1322)</f>
        <v>INICIADO</v>
      </c>
      <c r="I1322" s="9" t="str">
        <f>IF(AND(Tabela1[[#This Row],[Data nascimento]]&gt;=$N$2,Tabela1[[#This Row],[Data nascimento]]&lt;=$M$2),"INICIADO",J1322)</f>
        <v>INICIADO</v>
      </c>
      <c r="J1322" s="9" t="str">
        <f>IF(AND(Tabela1[[#This Row],[Data nascimento]]&gt;=$P$2,Tabela1[[#This Row],[Data nascimento]]&lt;=$O$2),"JUVENIL","JÚNIOR")</f>
        <v>JÚNIOR</v>
      </c>
    </row>
    <row r="1323" spans="1:10" ht="15" x14ac:dyDescent="0.4">
      <c r="A1323" s="13" t="s">
        <v>2954</v>
      </c>
      <c r="B1323" s="2" t="s">
        <v>2955</v>
      </c>
      <c r="C1323" s="4" t="s">
        <v>21</v>
      </c>
      <c r="D1323" s="11">
        <v>41613</v>
      </c>
      <c r="E1323" s="7" t="s">
        <v>2956</v>
      </c>
      <c r="F1323" s="4" t="s">
        <v>4786</v>
      </c>
      <c r="G1323" s="12" t="str">
        <f>IF(AND(Tabela1[[#This Row],[Data nascimento]]&gt;=$J$2,Tabela1[[#This Row],[Data nascimento]]&lt;=$I$2),"INFANTIL A",H1323)</f>
        <v>INFANTIL B</v>
      </c>
      <c r="H1323" s="3" t="str">
        <f>IF(AND(Tabela1[[#This Row],[Data nascimento]]&gt;=$L$2,Tabela1[[#This Row],[Data nascimento]]&lt;=$K$2),"INFANTIL B",I1323)</f>
        <v>INFANTIL B</v>
      </c>
      <c r="I1323" s="9" t="str">
        <f>IF(AND(Tabela1[[#This Row],[Data nascimento]]&gt;=$N$2,Tabela1[[#This Row],[Data nascimento]]&lt;=$M$2),"INICIADO",J1323)</f>
        <v>JÚNIOR</v>
      </c>
      <c r="J1323" s="9" t="str">
        <f>IF(AND(Tabela1[[#This Row],[Data nascimento]]&gt;=$P$2,Tabela1[[#This Row],[Data nascimento]]&lt;=$O$2),"JUVENIL","JÚNIOR")</f>
        <v>JÚNIOR</v>
      </c>
    </row>
    <row r="1324" spans="1:10" ht="15" x14ac:dyDescent="0.4">
      <c r="A1324" s="13" t="s">
        <v>2957</v>
      </c>
      <c r="B1324" s="2" t="s">
        <v>2958</v>
      </c>
      <c r="C1324" s="4" t="s">
        <v>21</v>
      </c>
      <c r="D1324" s="11">
        <v>41488</v>
      </c>
      <c r="E1324" s="7" t="s">
        <v>2959</v>
      </c>
      <c r="F1324" s="4" t="s">
        <v>4784</v>
      </c>
      <c r="G1324" s="12" t="str">
        <f>IF(AND(Tabela1[[#This Row],[Data nascimento]]&gt;=$J$2,Tabela1[[#This Row],[Data nascimento]]&lt;=$I$2),"INFANTIL A",H1324)</f>
        <v>INFANTIL B</v>
      </c>
      <c r="H1324" s="3" t="str">
        <f>IF(AND(Tabela1[[#This Row],[Data nascimento]]&gt;=$L$2,Tabela1[[#This Row],[Data nascimento]]&lt;=$K$2),"INFANTIL B",I1324)</f>
        <v>INFANTIL B</v>
      </c>
      <c r="I1324" s="9" t="str">
        <f>IF(AND(Tabela1[[#This Row],[Data nascimento]]&gt;=$N$2,Tabela1[[#This Row],[Data nascimento]]&lt;=$M$2),"INICIADO",J1324)</f>
        <v>JÚNIOR</v>
      </c>
      <c r="J1324" s="9" t="str">
        <f>IF(AND(Tabela1[[#This Row],[Data nascimento]]&gt;=$P$2,Tabela1[[#This Row],[Data nascimento]]&lt;=$O$2),"JUVENIL","JÚNIOR")</f>
        <v>JÚNIOR</v>
      </c>
    </row>
    <row r="1325" spans="1:10" ht="15" x14ac:dyDescent="0.4">
      <c r="A1325" s="13" t="s">
        <v>2960</v>
      </c>
      <c r="B1325" s="2" t="s">
        <v>2961</v>
      </c>
      <c r="C1325" s="4" t="s">
        <v>8</v>
      </c>
      <c r="D1325" s="11">
        <v>41324</v>
      </c>
      <c r="E1325" s="7" t="s">
        <v>2962</v>
      </c>
      <c r="F1325" s="4" t="s">
        <v>4783</v>
      </c>
      <c r="G1325" s="12" t="str">
        <f>IF(AND(Tabela1[[#This Row],[Data nascimento]]&gt;=$J$2,Tabela1[[#This Row],[Data nascimento]]&lt;=$I$2),"INFANTIL A",H1325)</f>
        <v>INFANTIL B</v>
      </c>
      <c r="H1325" s="3" t="str">
        <f>IF(AND(Tabela1[[#This Row],[Data nascimento]]&gt;=$L$2,Tabela1[[#This Row],[Data nascimento]]&lt;=$K$2),"INFANTIL B",I1325)</f>
        <v>INFANTIL B</v>
      </c>
      <c r="I1325" s="9" t="str">
        <f>IF(AND(Tabela1[[#This Row],[Data nascimento]]&gt;=$N$2,Tabela1[[#This Row],[Data nascimento]]&lt;=$M$2),"INICIADO",J1325)</f>
        <v>JÚNIOR</v>
      </c>
      <c r="J1325" s="9" t="str">
        <f>IF(AND(Tabela1[[#This Row],[Data nascimento]]&gt;=$P$2,Tabela1[[#This Row],[Data nascimento]]&lt;=$O$2),"JUVENIL","JÚNIOR")</f>
        <v>JÚNIOR</v>
      </c>
    </row>
    <row r="1326" spans="1:10" ht="15" x14ac:dyDescent="0.4">
      <c r="A1326" s="13" t="s">
        <v>2963</v>
      </c>
      <c r="B1326" s="2" t="s">
        <v>2964</v>
      </c>
      <c r="C1326" s="4" t="s">
        <v>21</v>
      </c>
      <c r="D1326" s="11">
        <v>41587</v>
      </c>
      <c r="E1326" s="7" t="s">
        <v>2965</v>
      </c>
      <c r="F1326" s="4" t="s">
        <v>4784</v>
      </c>
      <c r="G1326" s="12" t="str">
        <f>IF(AND(Tabela1[[#This Row],[Data nascimento]]&gt;=$J$2,Tabela1[[#This Row],[Data nascimento]]&lt;=$I$2),"INFANTIL A",H1326)</f>
        <v>INFANTIL B</v>
      </c>
      <c r="H1326" s="3" t="str">
        <f>IF(AND(Tabela1[[#This Row],[Data nascimento]]&gt;=$L$2,Tabela1[[#This Row],[Data nascimento]]&lt;=$K$2),"INFANTIL B",I1326)</f>
        <v>INFANTIL B</v>
      </c>
      <c r="I1326" s="9" t="str">
        <f>IF(AND(Tabela1[[#This Row],[Data nascimento]]&gt;=$N$2,Tabela1[[#This Row],[Data nascimento]]&lt;=$M$2),"INICIADO",J1326)</f>
        <v>JÚNIOR</v>
      </c>
      <c r="J1326" s="9" t="str">
        <f>IF(AND(Tabela1[[#This Row],[Data nascimento]]&gt;=$P$2,Tabela1[[#This Row],[Data nascimento]]&lt;=$O$2),"JUVENIL","JÚNIOR")</f>
        <v>JÚNIOR</v>
      </c>
    </row>
    <row r="1327" spans="1:10" ht="15" x14ac:dyDescent="0.4">
      <c r="A1327" s="13" t="s">
        <v>2966</v>
      </c>
      <c r="B1327" s="2" t="s">
        <v>2967</v>
      </c>
      <c r="C1327" s="4" t="s">
        <v>8</v>
      </c>
      <c r="D1327" s="11">
        <v>41471</v>
      </c>
      <c r="E1327" s="7" t="s">
        <v>2968</v>
      </c>
      <c r="F1327" s="4" t="s">
        <v>4787</v>
      </c>
      <c r="G1327" s="12" t="str">
        <f>IF(AND(Tabela1[[#This Row],[Data nascimento]]&gt;=$J$2,Tabela1[[#This Row],[Data nascimento]]&lt;=$I$2),"INFANTIL A",H1327)</f>
        <v>INFANTIL B</v>
      </c>
      <c r="H1327" s="3" t="str">
        <f>IF(AND(Tabela1[[#This Row],[Data nascimento]]&gt;=$L$2,Tabela1[[#This Row],[Data nascimento]]&lt;=$K$2),"INFANTIL B",I1327)</f>
        <v>INFANTIL B</v>
      </c>
      <c r="I1327" s="9" t="str">
        <f>IF(AND(Tabela1[[#This Row],[Data nascimento]]&gt;=$N$2,Tabela1[[#This Row],[Data nascimento]]&lt;=$M$2),"INICIADO",J1327)</f>
        <v>JÚNIOR</v>
      </c>
      <c r="J1327" s="9" t="str">
        <f>IF(AND(Tabela1[[#This Row],[Data nascimento]]&gt;=$P$2,Tabela1[[#This Row],[Data nascimento]]&lt;=$O$2),"JUVENIL","JÚNIOR")</f>
        <v>JÚNIOR</v>
      </c>
    </row>
    <row r="1328" spans="1:10" ht="15" x14ac:dyDescent="0.4">
      <c r="A1328" s="13" t="s">
        <v>2969</v>
      </c>
      <c r="B1328" s="2" t="s">
        <v>2970</v>
      </c>
      <c r="C1328" s="4" t="s">
        <v>8</v>
      </c>
      <c r="D1328" s="11">
        <v>41360</v>
      </c>
      <c r="E1328" s="7" t="s">
        <v>2971</v>
      </c>
      <c r="F1328" s="4" t="s">
        <v>4786</v>
      </c>
      <c r="G1328" s="12" t="str">
        <f>IF(AND(Tabela1[[#This Row],[Data nascimento]]&gt;=$J$2,Tabela1[[#This Row],[Data nascimento]]&lt;=$I$2),"INFANTIL A",H1328)</f>
        <v>INFANTIL B</v>
      </c>
      <c r="H1328" s="3" t="str">
        <f>IF(AND(Tabela1[[#This Row],[Data nascimento]]&gt;=$L$2,Tabela1[[#This Row],[Data nascimento]]&lt;=$K$2),"INFANTIL B",I1328)</f>
        <v>INFANTIL B</v>
      </c>
      <c r="I1328" s="9" t="str">
        <f>IF(AND(Tabela1[[#This Row],[Data nascimento]]&gt;=$N$2,Tabela1[[#This Row],[Data nascimento]]&lt;=$M$2),"INICIADO",J1328)</f>
        <v>JÚNIOR</v>
      </c>
      <c r="J1328" s="9" t="str">
        <f>IF(AND(Tabela1[[#This Row],[Data nascimento]]&gt;=$P$2,Tabela1[[#This Row],[Data nascimento]]&lt;=$O$2),"JUVENIL","JÚNIOR")</f>
        <v>JÚNIOR</v>
      </c>
    </row>
    <row r="1329" spans="1:10" ht="15" x14ac:dyDescent="0.4">
      <c r="A1329" s="13" t="s">
        <v>2972</v>
      </c>
      <c r="B1329" s="2" t="s">
        <v>2973</v>
      </c>
      <c r="C1329" s="4" t="s">
        <v>21</v>
      </c>
      <c r="D1329" s="11">
        <v>40579</v>
      </c>
      <c r="E1329" s="7" t="s">
        <v>2974</v>
      </c>
      <c r="F1329" s="4" t="s">
        <v>4785</v>
      </c>
      <c r="G1329" s="12" t="str">
        <f>IF(AND(Tabela1[[#This Row],[Data nascimento]]&gt;=$J$2,Tabela1[[#This Row],[Data nascimento]]&lt;=$I$2),"INFANTIL A",H1329)</f>
        <v>INICIADO</v>
      </c>
      <c r="H1329" s="3" t="str">
        <f>IF(AND(Tabela1[[#This Row],[Data nascimento]]&gt;=$L$2,Tabela1[[#This Row],[Data nascimento]]&lt;=$K$2),"INFANTIL B",I1329)</f>
        <v>INICIADO</v>
      </c>
      <c r="I1329" s="9" t="str">
        <f>IF(AND(Tabela1[[#This Row],[Data nascimento]]&gt;=$N$2,Tabela1[[#This Row],[Data nascimento]]&lt;=$M$2),"INICIADO",J1329)</f>
        <v>INICIADO</v>
      </c>
      <c r="J1329" s="9" t="str">
        <f>IF(AND(Tabela1[[#This Row],[Data nascimento]]&gt;=$P$2,Tabela1[[#This Row],[Data nascimento]]&lt;=$O$2),"JUVENIL","JÚNIOR")</f>
        <v>JÚNIOR</v>
      </c>
    </row>
    <row r="1330" spans="1:10" ht="15" x14ac:dyDescent="0.4">
      <c r="A1330" s="13" t="s">
        <v>2975</v>
      </c>
      <c r="B1330" s="2" t="s">
        <v>2976</v>
      </c>
      <c r="C1330" s="4" t="s">
        <v>21</v>
      </c>
      <c r="D1330" s="11">
        <v>41409</v>
      </c>
      <c r="E1330" s="7" t="s">
        <v>2977</v>
      </c>
      <c r="F1330" s="4" t="s">
        <v>4783</v>
      </c>
      <c r="G1330" s="12" t="str">
        <f>IF(AND(Tabela1[[#This Row],[Data nascimento]]&gt;=$J$2,Tabela1[[#This Row],[Data nascimento]]&lt;=$I$2),"INFANTIL A",H1330)</f>
        <v>INFANTIL B</v>
      </c>
      <c r="H1330" s="3" t="str">
        <f>IF(AND(Tabela1[[#This Row],[Data nascimento]]&gt;=$L$2,Tabela1[[#This Row],[Data nascimento]]&lt;=$K$2),"INFANTIL B",I1330)</f>
        <v>INFANTIL B</v>
      </c>
      <c r="I1330" s="9" t="str">
        <f>IF(AND(Tabela1[[#This Row],[Data nascimento]]&gt;=$N$2,Tabela1[[#This Row],[Data nascimento]]&lt;=$M$2),"INICIADO",J1330)</f>
        <v>JÚNIOR</v>
      </c>
      <c r="J1330" s="9" t="str">
        <f>IF(AND(Tabela1[[#This Row],[Data nascimento]]&gt;=$P$2,Tabela1[[#This Row],[Data nascimento]]&lt;=$O$2),"JUVENIL","JÚNIOR")</f>
        <v>JÚNIOR</v>
      </c>
    </row>
    <row r="1331" spans="1:10" ht="15" x14ac:dyDescent="0.4">
      <c r="A1331" s="13" t="s">
        <v>2978</v>
      </c>
      <c r="B1331" s="2" t="s">
        <v>2979</v>
      </c>
      <c r="C1331" s="4" t="s">
        <v>8</v>
      </c>
      <c r="D1331" s="11">
        <v>41543</v>
      </c>
      <c r="E1331" s="7" t="s">
        <v>2980</v>
      </c>
      <c r="F1331" s="4" t="s">
        <v>4784</v>
      </c>
      <c r="G1331" s="12" t="str">
        <f>IF(AND(Tabela1[[#This Row],[Data nascimento]]&gt;=$J$2,Tabela1[[#This Row],[Data nascimento]]&lt;=$I$2),"INFANTIL A",H1331)</f>
        <v>INFANTIL B</v>
      </c>
      <c r="H1331" s="3" t="str">
        <f>IF(AND(Tabela1[[#This Row],[Data nascimento]]&gt;=$L$2,Tabela1[[#This Row],[Data nascimento]]&lt;=$K$2),"INFANTIL B",I1331)</f>
        <v>INFANTIL B</v>
      </c>
      <c r="I1331" s="9" t="str">
        <f>IF(AND(Tabela1[[#This Row],[Data nascimento]]&gt;=$N$2,Tabela1[[#This Row],[Data nascimento]]&lt;=$M$2),"INICIADO",J1331)</f>
        <v>JÚNIOR</v>
      </c>
      <c r="J1331" s="9" t="str">
        <f>IF(AND(Tabela1[[#This Row],[Data nascimento]]&gt;=$P$2,Tabela1[[#This Row],[Data nascimento]]&lt;=$O$2),"JUVENIL","JÚNIOR")</f>
        <v>JÚNIOR</v>
      </c>
    </row>
    <row r="1332" spans="1:10" ht="15" x14ac:dyDescent="0.4">
      <c r="A1332" s="13" t="s">
        <v>2981</v>
      </c>
      <c r="B1332" s="2" t="s">
        <v>2982</v>
      </c>
      <c r="C1332" s="4" t="s">
        <v>21</v>
      </c>
      <c r="D1332" s="11">
        <v>41386</v>
      </c>
      <c r="E1332" s="7" t="s">
        <v>2983</v>
      </c>
      <c r="F1332" s="4" t="s">
        <v>4784</v>
      </c>
      <c r="G1332" s="12" t="str">
        <f>IF(AND(Tabela1[[#This Row],[Data nascimento]]&gt;=$J$2,Tabela1[[#This Row],[Data nascimento]]&lt;=$I$2),"INFANTIL A",H1332)</f>
        <v>INFANTIL B</v>
      </c>
      <c r="H1332" s="3" t="str">
        <f>IF(AND(Tabela1[[#This Row],[Data nascimento]]&gt;=$L$2,Tabela1[[#This Row],[Data nascimento]]&lt;=$K$2),"INFANTIL B",I1332)</f>
        <v>INFANTIL B</v>
      </c>
      <c r="I1332" s="9" t="str">
        <f>IF(AND(Tabela1[[#This Row],[Data nascimento]]&gt;=$N$2,Tabela1[[#This Row],[Data nascimento]]&lt;=$M$2),"INICIADO",J1332)</f>
        <v>JÚNIOR</v>
      </c>
      <c r="J1332" s="9" t="str">
        <f>IF(AND(Tabela1[[#This Row],[Data nascimento]]&gt;=$P$2,Tabela1[[#This Row],[Data nascimento]]&lt;=$O$2),"JUVENIL","JÚNIOR")</f>
        <v>JÚNIOR</v>
      </c>
    </row>
    <row r="1333" spans="1:10" ht="15" x14ac:dyDescent="0.4">
      <c r="A1333" s="13" t="s">
        <v>2984</v>
      </c>
      <c r="B1333" s="2" t="s">
        <v>2985</v>
      </c>
      <c r="C1333" s="4" t="s">
        <v>8</v>
      </c>
      <c r="D1333" s="11">
        <v>41535</v>
      </c>
      <c r="E1333" s="7" t="s">
        <v>2986</v>
      </c>
      <c r="F1333" s="4" t="s">
        <v>4783</v>
      </c>
      <c r="G1333" s="12" t="str">
        <f>IF(AND(Tabela1[[#This Row],[Data nascimento]]&gt;=$J$2,Tabela1[[#This Row],[Data nascimento]]&lt;=$I$2),"INFANTIL A",H1333)</f>
        <v>INFANTIL B</v>
      </c>
      <c r="H1333" s="3" t="str">
        <f>IF(AND(Tabela1[[#This Row],[Data nascimento]]&gt;=$L$2,Tabela1[[#This Row],[Data nascimento]]&lt;=$K$2),"INFANTIL B",I1333)</f>
        <v>INFANTIL B</v>
      </c>
      <c r="I1333" s="9" t="str">
        <f>IF(AND(Tabela1[[#This Row],[Data nascimento]]&gt;=$N$2,Tabela1[[#This Row],[Data nascimento]]&lt;=$M$2),"INICIADO",J1333)</f>
        <v>JÚNIOR</v>
      </c>
      <c r="J1333" s="9" t="str">
        <f>IF(AND(Tabela1[[#This Row],[Data nascimento]]&gt;=$P$2,Tabela1[[#This Row],[Data nascimento]]&lt;=$O$2),"JUVENIL","JÚNIOR")</f>
        <v>JÚNIOR</v>
      </c>
    </row>
    <row r="1334" spans="1:10" ht="15" x14ac:dyDescent="0.4">
      <c r="A1334" s="13" t="s">
        <v>2987</v>
      </c>
      <c r="B1334" s="2" t="s">
        <v>2988</v>
      </c>
      <c r="C1334" s="4" t="s">
        <v>21</v>
      </c>
      <c r="D1334" s="11">
        <v>41609</v>
      </c>
      <c r="E1334" s="7" t="s">
        <v>2989</v>
      </c>
      <c r="F1334" s="4" t="s">
        <v>4785</v>
      </c>
      <c r="G1334" s="12" t="str">
        <f>IF(AND(Tabela1[[#This Row],[Data nascimento]]&gt;=$J$2,Tabela1[[#This Row],[Data nascimento]]&lt;=$I$2),"INFANTIL A",H1334)</f>
        <v>INFANTIL B</v>
      </c>
      <c r="H1334" s="3" t="str">
        <f>IF(AND(Tabela1[[#This Row],[Data nascimento]]&gt;=$L$2,Tabela1[[#This Row],[Data nascimento]]&lt;=$K$2),"INFANTIL B",I1334)</f>
        <v>INFANTIL B</v>
      </c>
      <c r="I1334" s="9" t="str">
        <f>IF(AND(Tabela1[[#This Row],[Data nascimento]]&gt;=$N$2,Tabela1[[#This Row],[Data nascimento]]&lt;=$M$2),"INICIADO",J1334)</f>
        <v>JÚNIOR</v>
      </c>
      <c r="J1334" s="9" t="str">
        <f>IF(AND(Tabela1[[#This Row],[Data nascimento]]&gt;=$P$2,Tabela1[[#This Row],[Data nascimento]]&lt;=$O$2),"JUVENIL","JÚNIOR")</f>
        <v>JÚNIOR</v>
      </c>
    </row>
    <row r="1335" spans="1:10" ht="15" x14ac:dyDescent="0.4">
      <c r="A1335" s="13" t="s">
        <v>2990</v>
      </c>
      <c r="B1335" s="2" t="s">
        <v>2991</v>
      </c>
      <c r="C1335" s="4" t="s">
        <v>8</v>
      </c>
      <c r="D1335" s="11">
        <v>41217</v>
      </c>
      <c r="E1335" s="7" t="s">
        <v>2992</v>
      </c>
      <c r="F1335" s="4" t="s">
        <v>4783</v>
      </c>
      <c r="G1335" s="12" t="str">
        <f>IF(AND(Tabela1[[#This Row],[Data nascimento]]&gt;=$J$2,Tabela1[[#This Row],[Data nascimento]]&lt;=$I$2),"INFANTIL A",H1335)</f>
        <v>INICIADO</v>
      </c>
      <c r="H1335" s="3" t="str">
        <f>IF(AND(Tabela1[[#This Row],[Data nascimento]]&gt;=$L$2,Tabela1[[#This Row],[Data nascimento]]&lt;=$K$2),"INFANTIL B",I1335)</f>
        <v>INICIADO</v>
      </c>
      <c r="I1335" s="9" t="str">
        <f>IF(AND(Tabela1[[#This Row],[Data nascimento]]&gt;=$N$2,Tabela1[[#This Row],[Data nascimento]]&lt;=$M$2),"INICIADO",J1335)</f>
        <v>INICIADO</v>
      </c>
      <c r="J1335" s="9" t="str">
        <f>IF(AND(Tabela1[[#This Row],[Data nascimento]]&gt;=$P$2,Tabela1[[#This Row],[Data nascimento]]&lt;=$O$2),"JUVENIL","JÚNIOR")</f>
        <v>JÚNIOR</v>
      </c>
    </row>
    <row r="1336" spans="1:10" ht="15" x14ac:dyDescent="0.4">
      <c r="A1336" s="13" t="s">
        <v>2993</v>
      </c>
      <c r="B1336" s="2" t="s">
        <v>2994</v>
      </c>
      <c r="C1336" s="4" t="s">
        <v>21</v>
      </c>
      <c r="D1336" s="11">
        <v>41480</v>
      </c>
      <c r="E1336" s="7" t="s">
        <v>2995</v>
      </c>
      <c r="F1336" s="4" t="s">
        <v>4786</v>
      </c>
      <c r="G1336" s="12" t="str">
        <f>IF(AND(Tabela1[[#This Row],[Data nascimento]]&gt;=$J$2,Tabela1[[#This Row],[Data nascimento]]&lt;=$I$2),"INFANTIL A",H1336)</f>
        <v>INFANTIL B</v>
      </c>
      <c r="H1336" s="3" t="str">
        <f>IF(AND(Tabela1[[#This Row],[Data nascimento]]&gt;=$L$2,Tabela1[[#This Row],[Data nascimento]]&lt;=$K$2),"INFANTIL B",I1336)</f>
        <v>INFANTIL B</v>
      </c>
      <c r="I1336" s="9" t="str">
        <f>IF(AND(Tabela1[[#This Row],[Data nascimento]]&gt;=$N$2,Tabela1[[#This Row],[Data nascimento]]&lt;=$M$2),"INICIADO",J1336)</f>
        <v>JÚNIOR</v>
      </c>
      <c r="J1336" s="9" t="str">
        <f>IF(AND(Tabela1[[#This Row],[Data nascimento]]&gt;=$P$2,Tabela1[[#This Row],[Data nascimento]]&lt;=$O$2),"JUVENIL","JÚNIOR")</f>
        <v>JÚNIOR</v>
      </c>
    </row>
    <row r="1337" spans="1:10" ht="15" x14ac:dyDescent="0.4">
      <c r="A1337" s="13" t="s">
        <v>2996</v>
      </c>
      <c r="B1337" s="2" t="s">
        <v>2997</v>
      </c>
      <c r="C1337" s="4" t="s">
        <v>21</v>
      </c>
      <c r="D1337" s="11">
        <v>41018</v>
      </c>
      <c r="E1337" s="7" t="s">
        <v>2998</v>
      </c>
      <c r="F1337" s="4" t="s">
        <v>4785</v>
      </c>
      <c r="G1337" s="12" t="str">
        <f>IF(AND(Tabela1[[#This Row],[Data nascimento]]&gt;=$J$2,Tabela1[[#This Row],[Data nascimento]]&lt;=$I$2),"INFANTIL A",H1337)</f>
        <v>INICIADO</v>
      </c>
      <c r="H1337" s="3" t="str">
        <f>IF(AND(Tabela1[[#This Row],[Data nascimento]]&gt;=$L$2,Tabela1[[#This Row],[Data nascimento]]&lt;=$K$2),"INFANTIL B",I1337)</f>
        <v>INICIADO</v>
      </c>
      <c r="I1337" s="9" t="str">
        <f>IF(AND(Tabela1[[#This Row],[Data nascimento]]&gt;=$N$2,Tabela1[[#This Row],[Data nascimento]]&lt;=$M$2),"INICIADO",J1337)</f>
        <v>INICIADO</v>
      </c>
      <c r="J1337" s="9" t="str">
        <f>IF(AND(Tabela1[[#This Row],[Data nascimento]]&gt;=$P$2,Tabela1[[#This Row],[Data nascimento]]&lt;=$O$2),"JUVENIL","JÚNIOR")</f>
        <v>JÚNIOR</v>
      </c>
    </row>
    <row r="1338" spans="1:10" ht="15" x14ac:dyDescent="0.4">
      <c r="A1338" s="13" t="s">
        <v>2999</v>
      </c>
      <c r="B1338" s="2" t="s">
        <v>3000</v>
      </c>
      <c r="C1338" s="4" t="s">
        <v>21</v>
      </c>
      <c r="D1338" s="11">
        <v>41465</v>
      </c>
      <c r="E1338" s="7" t="s">
        <v>3001</v>
      </c>
      <c r="F1338" s="4" t="s">
        <v>4783</v>
      </c>
      <c r="G1338" s="12" t="str">
        <f>IF(AND(Tabela1[[#This Row],[Data nascimento]]&gt;=$J$2,Tabela1[[#This Row],[Data nascimento]]&lt;=$I$2),"INFANTIL A",H1338)</f>
        <v>INFANTIL B</v>
      </c>
      <c r="H1338" s="3" t="str">
        <f>IF(AND(Tabela1[[#This Row],[Data nascimento]]&gt;=$L$2,Tabela1[[#This Row],[Data nascimento]]&lt;=$K$2),"INFANTIL B",I1338)</f>
        <v>INFANTIL B</v>
      </c>
      <c r="I1338" s="9" t="str">
        <f>IF(AND(Tabela1[[#This Row],[Data nascimento]]&gt;=$N$2,Tabela1[[#This Row],[Data nascimento]]&lt;=$M$2),"INICIADO",J1338)</f>
        <v>JÚNIOR</v>
      </c>
      <c r="J1338" s="9" t="str">
        <f>IF(AND(Tabela1[[#This Row],[Data nascimento]]&gt;=$P$2,Tabela1[[#This Row],[Data nascimento]]&lt;=$O$2),"JUVENIL","JÚNIOR")</f>
        <v>JÚNIOR</v>
      </c>
    </row>
    <row r="1339" spans="1:10" ht="15" x14ac:dyDescent="0.4">
      <c r="A1339" s="13" t="s">
        <v>3002</v>
      </c>
      <c r="B1339" s="2" t="s">
        <v>3003</v>
      </c>
      <c r="C1339" s="4" t="s">
        <v>8</v>
      </c>
      <c r="D1339" s="11">
        <v>41459</v>
      </c>
      <c r="E1339" s="7" t="s">
        <v>3004</v>
      </c>
      <c r="F1339" s="4" t="s">
        <v>4786</v>
      </c>
      <c r="G1339" s="12" t="str">
        <f>IF(AND(Tabela1[[#This Row],[Data nascimento]]&gt;=$J$2,Tabela1[[#This Row],[Data nascimento]]&lt;=$I$2),"INFANTIL A",H1339)</f>
        <v>INFANTIL B</v>
      </c>
      <c r="H1339" s="3" t="str">
        <f>IF(AND(Tabela1[[#This Row],[Data nascimento]]&gt;=$L$2,Tabela1[[#This Row],[Data nascimento]]&lt;=$K$2),"INFANTIL B",I1339)</f>
        <v>INFANTIL B</v>
      </c>
      <c r="I1339" s="9" t="str">
        <f>IF(AND(Tabela1[[#This Row],[Data nascimento]]&gt;=$N$2,Tabela1[[#This Row],[Data nascimento]]&lt;=$M$2),"INICIADO",J1339)</f>
        <v>JÚNIOR</v>
      </c>
      <c r="J1339" s="9" t="str">
        <f>IF(AND(Tabela1[[#This Row],[Data nascimento]]&gt;=$P$2,Tabela1[[#This Row],[Data nascimento]]&lt;=$O$2),"JUVENIL","JÚNIOR")</f>
        <v>JÚNIOR</v>
      </c>
    </row>
    <row r="1340" spans="1:10" ht="15" x14ac:dyDescent="0.4">
      <c r="A1340" s="13" t="s">
        <v>3005</v>
      </c>
      <c r="B1340" s="2" t="s">
        <v>3006</v>
      </c>
      <c r="C1340" s="4" t="s">
        <v>21</v>
      </c>
      <c r="D1340" s="11">
        <v>40783</v>
      </c>
      <c r="E1340" s="7" t="s">
        <v>3007</v>
      </c>
      <c r="F1340" s="4" t="s">
        <v>4786</v>
      </c>
      <c r="G1340" s="12" t="str">
        <f>IF(AND(Tabela1[[#This Row],[Data nascimento]]&gt;=$J$2,Tabela1[[#This Row],[Data nascimento]]&lt;=$I$2),"INFANTIL A",H1340)</f>
        <v>INICIADO</v>
      </c>
      <c r="H1340" s="3" t="str">
        <f>IF(AND(Tabela1[[#This Row],[Data nascimento]]&gt;=$L$2,Tabela1[[#This Row],[Data nascimento]]&lt;=$K$2),"INFANTIL B",I1340)</f>
        <v>INICIADO</v>
      </c>
      <c r="I1340" s="9" t="str">
        <f>IF(AND(Tabela1[[#This Row],[Data nascimento]]&gt;=$N$2,Tabela1[[#This Row],[Data nascimento]]&lt;=$M$2),"INICIADO",J1340)</f>
        <v>INICIADO</v>
      </c>
      <c r="J1340" s="9" t="str">
        <f>IF(AND(Tabela1[[#This Row],[Data nascimento]]&gt;=$P$2,Tabela1[[#This Row],[Data nascimento]]&lt;=$O$2),"JUVENIL","JÚNIOR")</f>
        <v>JÚNIOR</v>
      </c>
    </row>
    <row r="1341" spans="1:10" ht="15" x14ac:dyDescent="0.4">
      <c r="A1341" s="13" t="s">
        <v>3008</v>
      </c>
      <c r="B1341" s="2" t="s">
        <v>3009</v>
      </c>
      <c r="C1341" s="4" t="s">
        <v>8</v>
      </c>
      <c r="D1341" s="11">
        <v>41506</v>
      </c>
      <c r="E1341" s="7" t="s">
        <v>3010</v>
      </c>
      <c r="F1341" s="4" t="s">
        <v>4787</v>
      </c>
      <c r="G1341" s="12" t="str">
        <f>IF(AND(Tabela1[[#This Row],[Data nascimento]]&gt;=$J$2,Tabela1[[#This Row],[Data nascimento]]&lt;=$I$2),"INFANTIL A",H1341)</f>
        <v>INFANTIL B</v>
      </c>
      <c r="H1341" s="3" t="str">
        <f>IF(AND(Tabela1[[#This Row],[Data nascimento]]&gt;=$L$2,Tabela1[[#This Row],[Data nascimento]]&lt;=$K$2),"INFANTIL B",I1341)</f>
        <v>INFANTIL B</v>
      </c>
      <c r="I1341" s="9" t="str">
        <f>IF(AND(Tabela1[[#This Row],[Data nascimento]]&gt;=$N$2,Tabela1[[#This Row],[Data nascimento]]&lt;=$M$2),"INICIADO",J1341)</f>
        <v>JÚNIOR</v>
      </c>
      <c r="J1341" s="9" t="str">
        <f>IF(AND(Tabela1[[#This Row],[Data nascimento]]&gt;=$P$2,Tabela1[[#This Row],[Data nascimento]]&lt;=$O$2),"JUVENIL","JÚNIOR")</f>
        <v>JÚNIOR</v>
      </c>
    </row>
    <row r="1342" spans="1:10" ht="15" x14ac:dyDescent="0.4">
      <c r="A1342" s="13" t="s">
        <v>3011</v>
      </c>
      <c r="B1342" s="2" t="s">
        <v>3012</v>
      </c>
      <c r="C1342" s="4" t="s">
        <v>8</v>
      </c>
      <c r="D1342" s="11">
        <v>41403</v>
      </c>
      <c r="E1342" s="7" t="s">
        <v>3013</v>
      </c>
      <c r="F1342" s="4" t="s">
        <v>4787</v>
      </c>
      <c r="G1342" s="12" t="str">
        <f>IF(AND(Tabela1[[#This Row],[Data nascimento]]&gt;=$J$2,Tabela1[[#This Row],[Data nascimento]]&lt;=$I$2),"INFANTIL A",H1342)</f>
        <v>INFANTIL B</v>
      </c>
      <c r="H1342" s="3" t="str">
        <f>IF(AND(Tabela1[[#This Row],[Data nascimento]]&gt;=$L$2,Tabela1[[#This Row],[Data nascimento]]&lt;=$K$2),"INFANTIL B",I1342)</f>
        <v>INFANTIL B</v>
      </c>
      <c r="I1342" s="9" t="str">
        <f>IF(AND(Tabela1[[#This Row],[Data nascimento]]&gt;=$N$2,Tabela1[[#This Row],[Data nascimento]]&lt;=$M$2),"INICIADO",J1342)</f>
        <v>JÚNIOR</v>
      </c>
      <c r="J1342" s="9" t="str">
        <f>IF(AND(Tabela1[[#This Row],[Data nascimento]]&gt;=$P$2,Tabela1[[#This Row],[Data nascimento]]&lt;=$O$2),"JUVENIL","JÚNIOR")</f>
        <v>JÚNIOR</v>
      </c>
    </row>
    <row r="1343" spans="1:10" ht="15" x14ac:dyDescent="0.4">
      <c r="A1343" s="13" t="s">
        <v>3014</v>
      </c>
      <c r="B1343" s="2" t="s">
        <v>3015</v>
      </c>
      <c r="C1343" s="4" t="s">
        <v>21</v>
      </c>
      <c r="D1343" s="11">
        <v>40901</v>
      </c>
      <c r="E1343" s="7" t="s">
        <v>3016</v>
      </c>
      <c r="F1343" s="4" t="s">
        <v>4787</v>
      </c>
      <c r="G1343" s="12" t="str">
        <f>IF(AND(Tabela1[[#This Row],[Data nascimento]]&gt;=$J$2,Tabela1[[#This Row],[Data nascimento]]&lt;=$I$2),"INFANTIL A",H1343)</f>
        <v>INICIADO</v>
      </c>
      <c r="H1343" s="3" t="str">
        <f>IF(AND(Tabela1[[#This Row],[Data nascimento]]&gt;=$L$2,Tabela1[[#This Row],[Data nascimento]]&lt;=$K$2),"INFANTIL B",I1343)</f>
        <v>INICIADO</v>
      </c>
      <c r="I1343" s="9" t="str">
        <f>IF(AND(Tabela1[[#This Row],[Data nascimento]]&gt;=$N$2,Tabela1[[#This Row],[Data nascimento]]&lt;=$M$2),"INICIADO",J1343)</f>
        <v>INICIADO</v>
      </c>
      <c r="J1343" s="9" t="str">
        <f>IF(AND(Tabela1[[#This Row],[Data nascimento]]&gt;=$P$2,Tabela1[[#This Row],[Data nascimento]]&lt;=$O$2),"JUVENIL","JÚNIOR")</f>
        <v>JÚNIOR</v>
      </c>
    </row>
    <row r="1344" spans="1:10" ht="15" x14ac:dyDescent="0.4">
      <c r="A1344" s="13" t="s">
        <v>3017</v>
      </c>
      <c r="B1344" s="2" t="s">
        <v>3018</v>
      </c>
      <c r="C1344" s="4" t="s">
        <v>8</v>
      </c>
      <c r="D1344" s="11">
        <v>41306</v>
      </c>
      <c r="E1344" s="7" t="s">
        <v>3019</v>
      </c>
      <c r="F1344" s="4" t="s">
        <v>4787</v>
      </c>
      <c r="G1344" s="12" t="str">
        <f>IF(AND(Tabela1[[#This Row],[Data nascimento]]&gt;=$J$2,Tabela1[[#This Row],[Data nascimento]]&lt;=$I$2),"INFANTIL A",H1344)</f>
        <v>INFANTIL B</v>
      </c>
      <c r="H1344" s="3" t="str">
        <f>IF(AND(Tabela1[[#This Row],[Data nascimento]]&gt;=$L$2,Tabela1[[#This Row],[Data nascimento]]&lt;=$K$2),"INFANTIL B",I1344)</f>
        <v>INFANTIL B</v>
      </c>
      <c r="I1344" s="9" t="str">
        <f>IF(AND(Tabela1[[#This Row],[Data nascimento]]&gt;=$N$2,Tabela1[[#This Row],[Data nascimento]]&lt;=$M$2),"INICIADO",J1344)</f>
        <v>JÚNIOR</v>
      </c>
      <c r="J1344" s="9" t="str">
        <f>IF(AND(Tabela1[[#This Row],[Data nascimento]]&gt;=$P$2,Tabela1[[#This Row],[Data nascimento]]&lt;=$O$2),"JUVENIL","JÚNIOR")</f>
        <v>JÚNIOR</v>
      </c>
    </row>
    <row r="1345" spans="1:10" ht="15" x14ac:dyDescent="0.4">
      <c r="A1345" s="13" t="s">
        <v>3020</v>
      </c>
      <c r="B1345" s="2" t="s">
        <v>3021</v>
      </c>
      <c r="C1345" s="4" t="s">
        <v>8</v>
      </c>
      <c r="D1345" s="11">
        <v>41277</v>
      </c>
      <c r="E1345" s="7" t="s">
        <v>3022</v>
      </c>
      <c r="F1345" s="4" t="s">
        <v>4783</v>
      </c>
      <c r="G1345" s="12" t="str">
        <f>IF(AND(Tabela1[[#This Row],[Data nascimento]]&gt;=$J$2,Tabela1[[#This Row],[Data nascimento]]&lt;=$I$2),"INFANTIL A",H1345)</f>
        <v>INFANTIL B</v>
      </c>
      <c r="H1345" s="3" t="str">
        <f>IF(AND(Tabela1[[#This Row],[Data nascimento]]&gt;=$L$2,Tabela1[[#This Row],[Data nascimento]]&lt;=$K$2),"INFANTIL B",I1345)</f>
        <v>INFANTIL B</v>
      </c>
      <c r="I1345" s="9" t="str">
        <f>IF(AND(Tabela1[[#This Row],[Data nascimento]]&gt;=$N$2,Tabela1[[#This Row],[Data nascimento]]&lt;=$M$2),"INICIADO",J1345)</f>
        <v>JÚNIOR</v>
      </c>
      <c r="J1345" s="9" t="str">
        <f>IF(AND(Tabela1[[#This Row],[Data nascimento]]&gt;=$P$2,Tabela1[[#This Row],[Data nascimento]]&lt;=$O$2),"JUVENIL","JÚNIOR")</f>
        <v>JÚNIOR</v>
      </c>
    </row>
    <row r="1346" spans="1:10" ht="15" x14ac:dyDescent="0.4">
      <c r="A1346" s="13" t="s">
        <v>3023</v>
      </c>
      <c r="B1346" s="2" t="s">
        <v>3024</v>
      </c>
      <c r="C1346" s="4" t="s">
        <v>8</v>
      </c>
      <c r="D1346" s="11">
        <v>41392</v>
      </c>
      <c r="E1346" s="7" t="s">
        <v>3025</v>
      </c>
      <c r="F1346" s="4" t="s">
        <v>4783</v>
      </c>
      <c r="G1346" s="12" t="str">
        <f>IF(AND(Tabela1[[#This Row],[Data nascimento]]&gt;=$J$2,Tabela1[[#This Row],[Data nascimento]]&lt;=$I$2),"INFANTIL A",H1346)</f>
        <v>INFANTIL B</v>
      </c>
      <c r="H1346" s="3" t="str">
        <f>IF(AND(Tabela1[[#This Row],[Data nascimento]]&gt;=$L$2,Tabela1[[#This Row],[Data nascimento]]&lt;=$K$2),"INFANTIL B",I1346)</f>
        <v>INFANTIL B</v>
      </c>
      <c r="I1346" s="9" t="str">
        <f>IF(AND(Tabela1[[#This Row],[Data nascimento]]&gt;=$N$2,Tabela1[[#This Row],[Data nascimento]]&lt;=$M$2),"INICIADO",J1346)</f>
        <v>JÚNIOR</v>
      </c>
      <c r="J1346" s="9" t="str">
        <f>IF(AND(Tabela1[[#This Row],[Data nascimento]]&gt;=$P$2,Tabela1[[#This Row],[Data nascimento]]&lt;=$O$2),"JUVENIL","JÚNIOR")</f>
        <v>JÚNIOR</v>
      </c>
    </row>
    <row r="1347" spans="1:10" ht="15" x14ac:dyDescent="0.4">
      <c r="A1347" s="13" t="s">
        <v>3026</v>
      </c>
      <c r="B1347" s="2" t="s">
        <v>3027</v>
      </c>
      <c r="C1347" s="4" t="s">
        <v>8</v>
      </c>
      <c r="D1347" s="11">
        <v>41421</v>
      </c>
      <c r="E1347" s="7" t="s">
        <v>3028</v>
      </c>
      <c r="F1347" s="4" t="s">
        <v>4784</v>
      </c>
      <c r="G1347" s="12" t="str">
        <f>IF(AND(Tabela1[[#This Row],[Data nascimento]]&gt;=$J$2,Tabela1[[#This Row],[Data nascimento]]&lt;=$I$2),"INFANTIL A",H1347)</f>
        <v>INFANTIL B</v>
      </c>
      <c r="H1347" s="3" t="str">
        <f>IF(AND(Tabela1[[#This Row],[Data nascimento]]&gt;=$L$2,Tabela1[[#This Row],[Data nascimento]]&lt;=$K$2),"INFANTIL B",I1347)</f>
        <v>INFANTIL B</v>
      </c>
      <c r="I1347" s="9" t="str">
        <f>IF(AND(Tabela1[[#This Row],[Data nascimento]]&gt;=$N$2,Tabela1[[#This Row],[Data nascimento]]&lt;=$M$2),"INICIADO",J1347)</f>
        <v>JÚNIOR</v>
      </c>
      <c r="J1347" s="9" t="str">
        <f>IF(AND(Tabela1[[#This Row],[Data nascimento]]&gt;=$P$2,Tabela1[[#This Row],[Data nascimento]]&lt;=$O$2),"JUVENIL","JÚNIOR")</f>
        <v>JÚNIOR</v>
      </c>
    </row>
    <row r="1348" spans="1:10" ht="15" x14ac:dyDescent="0.4">
      <c r="A1348" s="13" t="s">
        <v>3029</v>
      </c>
      <c r="B1348" s="2" t="s">
        <v>3030</v>
      </c>
      <c r="C1348" s="4" t="s">
        <v>8</v>
      </c>
      <c r="D1348" s="11">
        <v>41520</v>
      </c>
      <c r="E1348" s="7" t="s">
        <v>3031</v>
      </c>
      <c r="F1348" s="4" t="s">
        <v>4785</v>
      </c>
      <c r="G1348" s="12" t="str">
        <f>IF(AND(Tabela1[[#This Row],[Data nascimento]]&gt;=$J$2,Tabela1[[#This Row],[Data nascimento]]&lt;=$I$2),"INFANTIL A",H1348)</f>
        <v>INFANTIL B</v>
      </c>
      <c r="H1348" s="3" t="str">
        <f>IF(AND(Tabela1[[#This Row],[Data nascimento]]&gt;=$L$2,Tabela1[[#This Row],[Data nascimento]]&lt;=$K$2),"INFANTIL B",I1348)</f>
        <v>INFANTIL B</v>
      </c>
      <c r="I1348" s="9" t="str">
        <f>IF(AND(Tabela1[[#This Row],[Data nascimento]]&gt;=$N$2,Tabela1[[#This Row],[Data nascimento]]&lt;=$M$2),"INICIADO",J1348)</f>
        <v>JÚNIOR</v>
      </c>
      <c r="J1348" s="9" t="str">
        <f>IF(AND(Tabela1[[#This Row],[Data nascimento]]&gt;=$P$2,Tabela1[[#This Row],[Data nascimento]]&lt;=$O$2),"JUVENIL","JÚNIOR")</f>
        <v>JÚNIOR</v>
      </c>
    </row>
    <row r="1349" spans="1:10" ht="15" x14ac:dyDescent="0.4">
      <c r="A1349" s="13" t="s">
        <v>3032</v>
      </c>
      <c r="B1349" s="2" t="s">
        <v>3033</v>
      </c>
      <c r="C1349" s="4" t="s">
        <v>8</v>
      </c>
      <c r="D1349" s="11">
        <v>41354</v>
      </c>
      <c r="E1349" s="7" t="s">
        <v>3034</v>
      </c>
      <c r="F1349" s="4" t="s">
        <v>4783</v>
      </c>
      <c r="G1349" s="12" t="str">
        <f>IF(AND(Tabela1[[#This Row],[Data nascimento]]&gt;=$J$2,Tabela1[[#This Row],[Data nascimento]]&lt;=$I$2),"INFANTIL A",H1349)</f>
        <v>INFANTIL B</v>
      </c>
      <c r="H1349" s="3" t="str">
        <f>IF(AND(Tabela1[[#This Row],[Data nascimento]]&gt;=$L$2,Tabela1[[#This Row],[Data nascimento]]&lt;=$K$2),"INFANTIL B",I1349)</f>
        <v>INFANTIL B</v>
      </c>
      <c r="I1349" s="9" t="str">
        <f>IF(AND(Tabela1[[#This Row],[Data nascimento]]&gt;=$N$2,Tabela1[[#This Row],[Data nascimento]]&lt;=$M$2),"INICIADO",J1349)</f>
        <v>JÚNIOR</v>
      </c>
      <c r="J1349" s="9" t="str">
        <f>IF(AND(Tabela1[[#This Row],[Data nascimento]]&gt;=$P$2,Tabela1[[#This Row],[Data nascimento]]&lt;=$O$2),"JUVENIL","JÚNIOR")</f>
        <v>JÚNIOR</v>
      </c>
    </row>
    <row r="1350" spans="1:10" ht="15" x14ac:dyDescent="0.4">
      <c r="A1350" s="13" t="s">
        <v>3035</v>
      </c>
      <c r="B1350" s="2" t="s">
        <v>3036</v>
      </c>
      <c r="C1350" s="4" t="s">
        <v>8</v>
      </c>
      <c r="D1350" s="11">
        <v>41238</v>
      </c>
      <c r="E1350" s="7" t="s">
        <v>3037</v>
      </c>
      <c r="F1350" s="4" t="s">
        <v>4784</v>
      </c>
      <c r="G1350" s="12" t="str">
        <f>IF(AND(Tabela1[[#This Row],[Data nascimento]]&gt;=$J$2,Tabela1[[#This Row],[Data nascimento]]&lt;=$I$2),"INFANTIL A",H1350)</f>
        <v>INICIADO</v>
      </c>
      <c r="H1350" s="3" t="str">
        <f>IF(AND(Tabela1[[#This Row],[Data nascimento]]&gt;=$L$2,Tabela1[[#This Row],[Data nascimento]]&lt;=$K$2),"INFANTIL B",I1350)</f>
        <v>INICIADO</v>
      </c>
      <c r="I1350" s="9" t="str">
        <f>IF(AND(Tabela1[[#This Row],[Data nascimento]]&gt;=$N$2,Tabela1[[#This Row],[Data nascimento]]&lt;=$M$2),"INICIADO",J1350)</f>
        <v>INICIADO</v>
      </c>
      <c r="J1350" s="9" t="str">
        <f>IF(AND(Tabela1[[#This Row],[Data nascimento]]&gt;=$P$2,Tabela1[[#This Row],[Data nascimento]]&lt;=$O$2),"JUVENIL","JÚNIOR")</f>
        <v>JÚNIOR</v>
      </c>
    </row>
    <row r="1351" spans="1:10" ht="15" x14ac:dyDescent="0.4">
      <c r="A1351" s="13" t="s">
        <v>3038</v>
      </c>
      <c r="B1351" s="2" t="s">
        <v>3039</v>
      </c>
      <c r="C1351" s="4" t="s">
        <v>21</v>
      </c>
      <c r="D1351" s="11">
        <v>41370</v>
      </c>
      <c r="E1351" s="7" t="s">
        <v>3040</v>
      </c>
      <c r="F1351" s="4" t="s">
        <v>4785</v>
      </c>
      <c r="G1351" s="12" t="str">
        <f>IF(AND(Tabela1[[#This Row],[Data nascimento]]&gt;=$J$2,Tabela1[[#This Row],[Data nascimento]]&lt;=$I$2),"INFANTIL A",H1351)</f>
        <v>INFANTIL B</v>
      </c>
      <c r="H1351" s="3" t="str">
        <f>IF(AND(Tabela1[[#This Row],[Data nascimento]]&gt;=$L$2,Tabela1[[#This Row],[Data nascimento]]&lt;=$K$2),"INFANTIL B",I1351)</f>
        <v>INFANTIL B</v>
      </c>
      <c r="I1351" s="9" t="str">
        <f>IF(AND(Tabela1[[#This Row],[Data nascimento]]&gt;=$N$2,Tabela1[[#This Row],[Data nascimento]]&lt;=$M$2),"INICIADO",J1351)</f>
        <v>JÚNIOR</v>
      </c>
      <c r="J1351" s="9" t="str">
        <f>IF(AND(Tabela1[[#This Row],[Data nascimento]]&gt;=$P$2,Tabela1[[#This Row],[Data nascimento]]&lt;=$O$2),"JUVENIL","JÚNIOR")</f>
        <v>JÚNIOR</v>
      </c>
    </row>
    <row r="1352" spans="1:10" ht="15" x14ac:dyDescent="0.4">
      <c r="A1352" s="13" t="s">
        <v>3041</v>
      </c>
      <c r="B1352" s="2" t="s">
        <v>3042</v>
      </c>
      <c r="C1352" s="4" t="s">
        <v>8</v>
      </c>
      <c r="D1352" s="11">
        <v>41421</v>
      </c>
      <c r="E1352" s="7" t="s">
        <v>3043</v>
      </c>
      <c r="F1352" s="4" t="s">
        <v>4784</v>
      </c>
      <c r="G1352" s="12" t="str">
        <f>IF(AND(Tabela1[[#This Row],[Data nascimento]]&gt;=$J$2,Tabela1[[#This Row],[Data nascimento]]&lt;=$I$2),"INFANTIL A",H1352)</f>
        <v>INFANTIL B</v>
      </c>
      <c r="H1352" s="3" t="str">
        <f>IF(AND(Tabela1[[#This Row],[Data nascimento]]&gt;=$L$2,Tabela1[[#This Row],[Data nascimento]]&lt;=$K$2),"INFANTIL B",I1352)</f>
        <v>INFANTIL B</v>
      </c>
      <c r="I1352" s="9" t="str">
        <f>IF(AND(Tabela1[[#This Row],[Data nascimento]]&gt;=$N$2,Tabela1[[#This Row],[Data nascimento]]&lt;=$M$2),"INICIADO",J1352)</f>
        <v>JÚNIOR</v>
      </c>
      <c r="J1352" s="9" t="str">
        <f>IF(AND(Tabela1[[#This Row],[Data nascimento]]&gt;=$P$2,Tabela1[[#This Row],[Data nascimento]]&lt;=$O$2),"JUVENIL","JÚNIOR")</f>
        <v>JÚNIOR</v>
      </c>
    </row>
    <row r="1353" spans="1:10" ht="15" x14ac:dyDescent="0.4">
      <c r="A1353" s="13" t="s">
        <v>3044</v>
      </c>
      <c r="B1353" s="2" t="s">
        <v>3045</v>
      </c>
      <c r="C1353" s="4" t="s">
        <v>21</v>
      </c>
      <c r="D1353" s="11">
        <v>41632</v>
      </c>
      <c r="E1353" s="7" t="s">
        <v>3046</v>
      </c>
      <c r="F1353" s="4" t="s">
        <v>4783</v>
      </c>
      <c r="G1353" s="12" t="str">
        <f>IF(AND(Tabela1[[#This Row],[Data nascimento]]&gt;=$J$2,Tabela1[[#This Row],[Data nascimento]]&lt;=$I$2),"INFANTIL A",H1353)</f>
        <v>INFANTIL B</v>
      </c>
      <c r="H1353" s="3" t="str">
        <f>IF(AND(Tabela1[[#This Row],[Data nascimento]]&gt;=$L$2,Tabela1[[#This Row],[Data nascimento]]&lt;=$K$2),"INFANTIL B",I1353)</f>
        <v>INFANTIL B</v>
      </c>
      <c r="I1353" s="9" t="str">
        <f>IF(AND(Tabela1[[#This Row],[Data nascimento]]&gt;=$N$2,Tabela1[[#This Row],[Data nascimento]]&lt;=$M$2),"INICIADO",J1353)</f>
        <v>JÚNIOR</v>
      </c>
      <c r="J1353" s="9" t="str">
        <f>IF(AND(Tabela1[[#This Row],[Data nascimento]]&gt;=$P$2,Tabela1[[#This Row],[Data nascimento]]&lt;=$O$2),"JUVENIL","JÚNIOR")</f>
        <v>JÚNIOR</v>
      </c>
    </row>
    <row r="1354" spans="1:10" ht="15" x14ac:dyDescent="0.4">
      <c r="A1354" s="13" t="s">
        <v>3047</v>
      </c>
      <c r="B1354" s="2" t="s">
        <v>3048</v>
      </c>
      <c r="C1354" s="4" t="s">
        <v>21</v>
      </c>
      <c r="D1354" s="11">
        <v>41464</v>
      </c>
      <c r="E1354" s="7" t="s">
        <v>3049</v>
      </c>
      <c r="F1354" s="4" t="s">
        <v>4786</v>
      </c>
      <c r="G1354" s="12" t="str">
        <f>IF(AND(Tabela1[[#This Row],[Data nascimento]]&gt;=$J$2,Tabela1[[#This Row],[Data nascimento]]&lt;=$I$2),"INFANTIL A",H1354)</f>
        <v>INFANTIL B</v>
      </c>
      <c r="H1354" s="3" t="str">
        <f>IF(AND(Tabela1[[#This Row],[Data nascimento]]&gt;=$L$2,Tabela1[[#This Row],[Data nascimento]]&lt;=$K$2),"INFANTIL B",I1354)</f>
        <v>INFANTIL B</v>
      </c>
      <c r="I1354" s="9" t="str">
        <f>IF(AND(Tabela1[[#This Row],[Data nascimento]]&gt;=$N$2,Tabela1[[#This Row],[Data nascimento]]&lt;=$M$2),"INICIADO",J1354)</f>
        <v>JÚNIOR</v>
      </c>
      <c r="J1354" s="9" t="str">
        <f>IF(AND(Tabela1[[#This Row],[Data nascimento]]&gt;=$P$2,Tabela1[[#This Row],[Data nascimento]]&lt;=$O$2),"JUVENIL","JÚNIOR")</f>
        <v>JÚNIOR</v>
      </c>
    </row>
    <row r="1355" spans="1:10" ht="15" x14ac:dyDescent="0.4">
      <c r="A1355" s="13" t="s">
        <v>3050</v>
      </c>
      <c r="B1355" s="2" t="s">
        <v>3051</v>
      </c>
      <c r="C1355" s="4" t="s">
        <v>21</v>
      </c>
      <c r="D1355" s="11">
        <v>41618</v>
      </c>
      <c r="E1355" s="7" t="s">
        <v>3052</v>
      </c>
      <c r="F1355" s="4" t="s">
        <v>4784</v>
      </c>
      <c r="G1355" s="12" t="str">
        <f>IF(AND(Tabela1[[#This Row],[Data nascimento]]&gt;=$J$2,Tabela1[[#This Row],[Data nascimento]]&lt;=$I$2),"INFANTIL A",H1355)</f>
        <v>INFANTIL B</v>
      </c>
      <c r="H1355" s="3" t="str">
        <f>IF(AND(Tabela1[[#This Row],[Data nascimento]]&gt;=$L$2,Tabela1[[#This Row],[Data nascimento]]&lt;=$K$2),"INFANTIL B",I1355)</f>
        <v>INFANTIL B</v>
      </c>
      <c r="I1355" s="9" t="str">
        <f>IF(AND(Tabela1[[#This Row],[Data nascimento]]&gt;=$N$2,Tabela1[[#This Row],[Data nascimento]]&lt;=$M$2),"INICIADO",J1355)</f>
        <v>JÚNIOR</v>
      </c>
      <c r="J1355" s="9" t="str">
        <f>IF(AND(Tabela1[[#This Row],[Data nascimento]]&gt;=$P$2,Tabela1[[#This Row],[Data nascimento]]&lt;=$O$2),"JUVENIL","JÚNIOR")</f>
        <v>JÚNIOR</v>
      </c>
    </row>
    <row r="1356" spans="1:10" ht="15" x14ac:dyDescent="0.4">
      <c r="A1356" s="13" t="s">
        <v>3053</v>
      </c>
      <c r="B1356" s="2" t="s">
        <v>3054</v>
      </c>
      <c r="C1356" s="4" t="s">
        <v>8</v>
      </c>
      <c r="D1356" s="11">
        <v>41523</v>
      </c>
      <c r="E1356" s="7" t="s">
        <v>3055</v>
      </c>
      <c r="F1356" s="4" t="s">
        <v>4784</v>
      </c>
      <c r="G1356" s="12" t="str">
        <f>IF(AND(Tabela1[[#This Row],[Data nascimento]]&gt;=$J$2,Tabela1[[#This Row],[Data nascimento]]&lt;=$I$2),"INFANTIL A",H1356)</f>
        <v>INFANTIL B</v>
      </c>
      <c r="H1356" s="3" t="str">
        <f>IF(AND(Tabela1[[#This Row],[Data nascimento]]&gt;=$L$2,Tabela1[[#This Row],[Data nascimento]]&lt;=$K$2),"INFANTIL B",I1356)</f>
        <v>INFANTIL B</v>
      </c>
      <c r="I1356" s="9" t="str">
        <f>IF(AND(Tabela1[[#This Row],[Data nascimento]]&gt;=$N$2,Tabela1[[#This Row],[Data nascimento]]&lt;=$M$2),"INICIADO",J1356)</f>
        <v>JÚNIOR</v>
      </c>
      <c r="J1356" s="9" t="str">
        <f>IF(AND(Tabela1[[#This Row],[Data nascimento]]&gt;=$P$2,Tabela1[[#This Row],[Data nascimento]]&lt;=$O$2),"JUVENIL","JÚNIOR")</f>
        <v>JÚNIOR</v>
      </c>
    </row>
    <row r="1357" spans="1:10" ht="15" x14ac:dyDescent="0.4">
      <c r="A1357" s="13" t="s">
        <v>3056</v>
      </c>
      <c r="B1357" s="2" t="s">
        <v>3057</v>
      </c>
      <c r="C1357" s="4" t="s">
        <v>8</v>
      </c>
      <c r="D1357" s="11">
        <v>41400</v>
      </c>
      <c r="E1357" s="7" t="s">
        <v>3058</v>
      </c>
      <c r="F1357" s="4" t="s">
        <v>4784</v>
      </c>
      <c r="G1357" s="12" t="str">
        <f>IF(AND(Tabela1[[#This Row],[Data nascimento]]&gt;=$J$2,Tabela1[[#This Row],[Data nascimento]]&lt;=$I$2),"INFANTIL A",H1357)</f>
        <v>INFANTIL B</v>
      </c>
      <c r="H1357" s="3" t="str">
        <f>IF(AND(Tabela1[[#This Row],[Data nascimento]]&gt;=$L$2,Tabela1[[#This Row],[Data nascimento]]&lt;=$K$2),"INFANTIL B",I1357)</f>
        <v>INFANTIL B</v>
      </c>
      <c r="I1357" s="9" t="str">
        <f>IF(AND(Tabela1[[#This Row],[Data nascimento]]&gt;=$N$2,Tabela1[[#This Row],[Data nascimento]]&lt;=$M$2),"INICIADO",J1357)</f>
        <v>JÚNIOR</v>
      </c>
      <c r="J1357" s="9" t="str">
        <f>IF(AND(Tabela1[[#This Row],[Data nascimento]]&gt;=$P$2,Tabela1[[#This Row],[Data nascimento]]&lt;=$O$2),"JUVENIL","JÚNIOR")</f>
        <v>JÚNIOR</v>
      </c>
    </row>
    <row r="1358" spans="1:10" ht="15" x14ac:dyDescent="0.4">
      <c r="A1358" s="13" t="s">
        <v>3059</v>
      </c>
      <c r="B1358" s="2" t="s">
        <v>3060</v>
      </c>
      <c r="C1358" s="4" t="s">
        <v>8</v>
      </c>
      <c r="D1358" s="11">
        <v>41365</v>
      </c>
      <c r="E1358" s="7" t="s">
        <v>3061</v>
      </c>
      <c r="F1358" s="4" t="s">
        <v>4785</v>
      </c>
      <c r="G1358" s="12" t="str">
        <f>IF(AND(Tabela1[[#This Row],[Data nascimento]]&gt;=$J$2,Tabela1[[#This Row],[Data nascimento]]&lt;=$I$2),"INFANTIL A",H1358)</f>
        <v>INFANTIL B</v>
      </c>
      <c r="H1358" s="3" t="str">
        <f>IF(AND(Tabela1[[#This Row],[Data nascimento]]&gt;=$L$2,Tabela1[[#This Row],[Data nascimento]]&lt;=$K$2),"INFANTIL B",I1358)</f>
        <v>INFANTIL B</v>
      </c>
      <c r="I1358" s="9" t="str">
        <f>IF(AND(Tabela1[[#This Row],[Data nascimento]]&gt;=$N$2,Tabela1[[#This Row],[Data nascimento]]&lt;=$M$2),"INICIADO",J1358)</f>
        <v>JÚNIOR</v>
      </c>
      <c r="J1358" s="9" t="str">
        <f>IF(AND(Tabela1[[#This Row],[Data nascimento]]&gt;=$P$2,Tabela1[[#This Row],[Data nascimento]]&lt;=$O$2),"JUVENIL","JÚNIOR")</f>
        <v>JÚNIOR</v>
      </c>
    </row>
    <row r="1359" spans="1:10" ht="15" x14ac:dyDescent="0.4">
      <c r="A1359" s="13" t="s">
        <v>3062</v>
      </c>
      <c r="B1359" s="2" t="s">
        <v>3063</v>
      </c>
      <c r="C1359" s="4" t="s">
        <v>8</v>
      </c>
      <c r="D1359" s="11">
        <v>41093</v>
      </c>
      <c r="E1359" s="7" t="s">
        <v>3064</v>
      </c>
      <c r="F1359" s="4" t="s">
        <v>4786</v>
      </c>
      <c r="G1359" s="12" t="str">
        <f>IF(AND(Tabela1[[#This Row],[Data nascimento]]&gt;=$J$2,Tabela1[[#This Row],[Data nascimento]]&lt;=$I$2),"INFANTIL A",H1359)</f>
        <v>INICIADO</v>
      </c>
      <c r="H1359" s="3" t="str">
        <f>IF(AND(Tabela1[[#This Row],[Data nascimento]]&gt;=$L$2,Tabela1[[#This Row],[Data nascimento]]&lt;=$K$2),"INFANTIL B",I1359)</f>
        <v>INICIADO</v>
      </c>
      <c r="I1359" s="9" t="str">
        <f>IF(AND(Tabela1[[#This Row],[Data nascimento]]&gt;=$N$2,Tabela1[[#This Row],[Data nascimento]]&lt;=$M$2),"INICIADO",J1359)</f>
        <v>INICIADO</v>
      </c>
      <c r="J1359" s="9" t="str">
        <f>IF(AND(Tabela1[[#This Row],[Data nascimento]]&gt;=$P$2,Tabela1[[#This Row],[Data nascimento]]&lt;=$O$2),"JUVENIL","JÚNIOR")</f>
        <v>JÚNIOR</v>
      </c>
    </row>
    <row r="1360" spans="1:10" ht="15" x14ac:dyDescent="0.4">
      <c r="A1360" s="13" t="s">
        <v>3065</v>
      </c>
      <c r="B1360" s="2" t="s">
        <v>3066</v>
      </c>
      <c r="C1360" s="4" t="s">
        <v>21</v>
      </c>
      <c r="D1360" s="11">
        <v>40825</v>
      </c>
      <c r="E1360" s="7" t="s">
        <v>3067</v>
      </c>
      <c r="F1360" s="4" t="s">
        <v>4783</v>
      </c>
      <c r="G1360" s="12" t="str">
        <f>IF(AND(Tabela1[[#This Row],[Data nascimento]]&gt;=$J$2,Tabela1[[#This Row],[Data nascimento]]&lt;=$I$2),"INFANTIL A",H1360)</f>
        <v>INICIADO</v>
      </c>
      <c r="H1360" s="3" t="str">
        <f>IF(AND(Tabela1[[#This Row],[Data nascimento]]&gt;=$L$2,Tabela1[[#This Row],[Data nascimento]]&lt;=$K$2),"INFANTIL B",I1360)</f>
        <v>INICIADO</v>
      </c>
      <c r="I1360" s="9" t="str">
        <f>IF(AND(Tabela1[[#This Row],[Data nascimento]]&gt;=$N$2,Tabela1[[#This Row],[Data nascimento]]&lt;=$M$2),"INICIADO",J1360)</f>
        <v>INICIADO</v>
      </c>
      <c r="J1360" s="9" t="str">
        <f>IF(AND(Tabela1[[#This Row],[Data nascimento]]&gt;=$P$2,Tabela1[[#This Row],[Data nascimento]]&lt;=$O$2),"JUVENIL","JÚNIOR")</f>
        <v>JÚNIOR</v>
      </c>
    </row>
    <row r="1361" spans="1:10" ht="15" x14ac:dyDescent="0.4">
      <c r="A1361" s="13" t="s">
        <v>3068</v>
      </c>
      <c r="B1361" s="2" t="s">
        <v>3069</v>
      </c>
      <c r="C1361" s="4" t="s">
        <v>8</v>
      </c>
      <c r="D1361" s="11">
        <v>40724</v>
      </c>
      <c r="E1361" s="7" t="s">
        <v>3070</v>
      </c>
      <c r="F1361" s="4" t="s">
        <v>4784</v>
      </c>
      <c r="G1361" s="12" t="str">
        <f>IF(AND(Tabela1[[#This Row],[Data nascimento]]&gt;=$J$2,Tabela1[[#This Row],[Data nascimento]]&lt;=$I$2),"INFANTIL A",H1361)</f>
        <v>INICIADO</v>
      </c>
      <c r="H1361" s="3" t="str">
        <f>IF(AND(Tabela1[[#This Row],[Data nascimento]]&gt;=$L$2,Tabela1[[#This Row],[Data nascimento]]&lt;=$K$2),"INFANTIL B",I1361)</f>
        <v>INICIADO</v>
      </c>
      <c r="I1361" s="9" t="str">
        <f>IF(AND(Tabela1[[#This Row],[Data nascimento]]&gt;=$N$2,Tabela1[[#This Row],[Data nascimento]]&lt;=$M$2),"INICIADO",J1361)</f>
        <v>INICIADO</v>
      </c>
      <c r="J1361" s="9" t="str">
        <f>IF(AND(Tabela1[[#This Row],[Data nascimento]]&gt;=$P$2,Tabela1[[#This Row],[Data nascimento]]&lt;=$O$2),"JUVENIL","JÚNIOR")</f>
        <v>JÚNIOR</v>
      </c>
    </row>
    <row r="1362" spans="1:10" ht="15" x14ac:dyDescent="0.4">
      <c r="A1362" s="13" t="s">
        <v>3071</v>
      </c>
      <c r="B1362" s="2" t="s">
        <v>3072</v>
      </c>
      <c r="C1362" s="4" t="s">
        <v>21</v>
      </c>
      <c r="D1362" s="11">
        <v>41517</v>
      </c>
      <c r="E1362" s="7" t="s">
        <v>3073</v>
      </c>
      <c r="F1362" s="4" t="s">
        <v>4785</v>
      </c>
      <c r="G1362" s="12" t="str">
        <f>IF(AND(Tabela1[[#This Row],[Data nascimento]]&gt;=$J$2,Tabela1[[#This Row],[Data nascimento]]&lt;=$I$2),"INFANTIL A",H1362)</f>
        <v>INFANTIL B</v>
      </c>
      <c r="H1362" s="3" t="str">
        <f>IF(AND(Tabela1[[#This Row],[Data nascimento]]&gt;=$L$2,Tabela1[[#This Row],[Data nascimento]]&lt;=$K$2),"INFANTIL B",I1362)</f>
        <v>INFANTIL B</v>
      </c>
      <c r="I1362" s="9" t="str">
        <f>IF(AND(Tabela1[[#This Row],[Data nascimento]]&gt;=$N$2,Tabela1[[#This Row],[Data nascimento]]&lt;=$M$2),"INICIADO",J1362)</f>
        <v>JÚNIOR</v>
      </c>
      <c r="J1362" s="9" t="str">
        <f>IF(AND(Tabela1[[#This Row],[Data nascimento]]&gt;=$P$2,Tabela1[[#This Row],[Data nascimento]]&lt;=$O$2),"JUVENIL","JÚNIOR")</f>
        <v>JÚNIOR</v>
      </c>
    </row>
    <row r="1363" spans="1:10" ht="15" x14ac:dyDescent="0.4">
      <c r="A1363" s="13" t="s">
        <v>3074</v>
      </c>
      <c r="B1363" s="2" t="s">
        <v>3075</v>
      </c>
      <c r="C1363" s="4" t="s">
        <v>21</v>
      </c>
      <c r="D1363" s="11">
        <v>41386</v>
      </c>
      <c r="E1363" s="7" t="s">
        <v>3076</v>
      </c>
      <c r="F1363" s="4" t="s">
        <v>4786</v>
      </c>
      <c r="G1363" s="12" t="str">
        <f>IF(AND(Tabela1[[#This Row],[Data nascimento]]&gt;=$J$2,Tabela1[[#This Row],[Data nascimento]]&lt;=$I$2),"INFANTIL A",H1363)</f>
        <v>INFANTIL B</v>
      </c>
      <c r="H1363" s="3" t="str">
        <f>IF(AND(Tabela1[[#This Row],[Data nascimento]]&gt;=$L$2,Tabela1[[#This Row],[Data nascimento]]&lt;=$K$2),"INFANTIL B",I1363)</f>
        <v>INFANTIL B</v>
      </c>
      <c r="I1363" s="9" t="str">
        <f>IF(AND(Tabela1[[#This Row],[Data nascimento]]&gt;=$N$2,Tabela1[[#This Row],[Data nascimento]]&lt;=$M$2),"INICIADO",J1363)</f>
        <v>JÚNIOR</v>
      </c>
      <c r="J1363" s="9" t="str">
        <f>IF(AND(Tabela1[[#This Row],[Data nascimento]]&gt;=$P$2,Tabela1[[#This Row],[Data nascimento]]&lt;=$O$2),"JUVENIL","JÚNIOR")</f>
        <v>JÚNIOR</v>
      </c>
    </row>
    <row r="1364" spans="1:10" ht="15" x14ac:dyDescent="0.4">
      <c r="A1364" s="13" t="s">
        <v>3077</v>
      </c>
      <c r="B1364" s="2" t="s">
        <v>3078</v>
      </c>
      <c r="C1364" s="4" t="s">
        <v>21</v>
      </c>
      <c r="D1364" s="11">
        <v>41555</v>
      </c>
      <c r="E1364" s="7" t="s">
        <v>3079</v>
      </c>
      <c r="F1364" s="4" t="s">
        <v>4785</v>
      </c>
      <c r="G1364" s="12" t="str">
        <f>IF(AND(Tabela1[[#This Row],[Data nascimento]]&gt;=$J$2,Tabela1[[#This Row],[Data nascimento]]&lt;=$I$2),"INFANTIL A",H1364)</f>
        <v>INFANTIL B</v>
      </c>
      <c r="H1364" s="3" t="str">
        <f>IF(AND(Tabela1[[#This Row],[Data nascimento]]&gt;=$L$2,Tabela1[[#This Row],[Data nascimento]]&lt;=$K$2),"INFANTIL B",I1364)</f>
        <v>INFANTIL B</v>
      </c>
      <c r="I1364" s="9" t="str">
        <f>IF(AND(Tabela1[[#This Row],[Data nascimento]]&gt;=$N$2,Tabela1[[#This Row],[Data nascimento]]&lt;=$M$2),"INICIADO",J1364)</f>
        <v>JÚNIOR</v>
      </c>
      <c r="J1364" s="9" t="str">
        <f>IF(AND(Tabela1[[#This Row],[Data nascimento]]&gt;=$P$2,Tabela1[[#This Row],[Data nascimento]]&lt;=$O$2),"JUVENIL","JÚNIOR")</f>
        <v>JÚNIOR</v>
      </c>
    </row>
    <row r="1365" spans="1:10" ht="15" x14ac:dyDescent="0.4">
      <c r="A1365" s="13" t="s">
        <v>3080</v>
      </c>
      <c r="B1365" s="2" t="s">
        <v>3081</v>
      </c>
      <c r="C1365" s="4" t="s">
        <v>21</v>
      </c>
      <c r="D1365" s="11">
        <v>41562</v>
      </c>
      <c r="E1365" s="7" t="s">
        <v>3082</v>
      </c>
      <c r="F1365" s="4" t="s">
        <v>4786</v>
      </c>
      <c r="G1365" s="12" t="str">
        <f>IF(AND(Tabela1[[#This Row],[Data nascimento]]&gt;=$J$2,Tabela1[[#This Row],[Data nascimento]]&lt;=$I$2),"INFANTIL A",H1365)</f>
        <v>INFANTIL B</v>
      </c>
      <c r="H1365" s="3" t="str">
        <f>IF(AND(Tabela1[[#This Row],[Data nascimento]]&gt;=$L$2,Tabela1[[#This Row],[Data nascimento]]&lt;=$K$2),"INFANTIL B",I1365)</f>
        <v>INFANTIL B</v>
      </c>
      <c r="I1365" s="9" t="str">
        <f>IF(AND(Tabela1[[#This Row],[Data nascimento]]&gt;=$N$2,Tabela1[[#This Row],[Data nascimento]]&lt;=$M$2),"INICIADO",J1365)</f>
        <v>JÚNIOR</v>
      </c>
      <c r="J1365" s="9" t="str">
        <f>IF(AND(Tabela1[[#This Row],[Data nascimento]]&gt;=$P$2,Tabela1[[#This Row],[Data nascimento]]&lt;=$O$2),"JUVENIL","JÚNIOR")</f>
        <v>JÚNIOR</v>
      </c>
    </row>
    <row r="1366" spans="1:10" ht="15" x14ac:dyDescent="0.4">
      <c r="A1366" s="13" t="s">
        <v>3083</v>
      </c>
      <c r="B1366" s="2" t="s">
        <v>3084</v>
      </c>
      <c r="C1366" s="4" t="s">
        <v>21</v>
      </c>
      <c r="D1366" s="11">
        <v>41549</v>
      </c>
      <c r="E1366" s="7" t="s">
        <v>3085</v>
      </c>
      <c r="F1366" s="4" t="s">
        <v>4787</v>
      </c>
      <c r="G1366" s="12" t="str">
        <f>IF(AND(Tabela1[[#This Row],[Data nascimento]]&gt;=$J$2,Tabela1[[#This Row],[Data nascimento]]&lt;=$I$2),"INFANTIL A",H1366)</f>
        <v>INFANTIL B</v>
      </c>
      <c r="H1366" s="3" t="str">
        <f>IF(AND(Tabela1[[#This Row],[Data nascimento]]&gt;=$L$2,Tabela1[[#This Row],[Data nascimento]]&lt;=$K$2),"INFANTIL B",I1366)</f>
        <v>INFANTIL B</v>
      </c>
      <c r="I1366" s="9" t="str">
        <f>IF(AND(Tabela1[[#This Row],[Data nascimento]]&gt;=$N$2,Tabela1[[#This Row],[Data nascimento]]&lt;=$M$2),"INICIADO",J1366)</f>
        <v>JÚNIOR</v>
      </c>
      <c r="J1366" s="9" t="str">
        <f>IF(AND(Tabela1[[#This Row],[Data nascimento]]&gt;=$P$2,Tabela1[[#This Row],[Data nascimento]]&lt;=$O$2),"JUVENIL","JÚNIOR")</f>
        <v>JÚNIOR</v>
      </c>
    </row>
    <row r="1367" spans="1:10" ht="15" x14ac:dyDescent="0.4">
      <c r="A1367" s="13" t="s">
        <v>3086</v>
      </c>
      <c r="B1367" s="2" t="s">
        <v>3087</v>
      </c>
      <c r="C1367" s="4" t="s">
        <v>8</v>
      </c>
      <c r="D1367" s="11">
        <v>41605</v>
      </c>
      <c r="E1367" s="7" t="s">
        <v>3088</v>
      </c>
      <c r="F1367" s="4" t="s">
        <v>4787</v>
      </c>
      <c r="G1367" s="12" t="str">
        <f>IF(AND(Tabela1[[#This Row],[Data nascimento]]&gt;=$J$2,Tabela1[[#This Row],[Data nascimento]]&lt;=$I$2),"INFANTIL A",H1367)</f>
        <v>INFANTIL B</v>
      </c>
      <c r="H1367" s="3" t="str">
        <f>IF(AND(Tabela1[[#This Row],[Data nascimento]]&gt;=$L$2,Tabela1[[#This Row],[Data nascimento]]&lt;=$K$2),"INFANTIL B",I1367)</f>
        <v>INFANTIL B</v>
      </c>
      <c r="I1367" s="9" t="str">
        <f>IF(AND(Tabela1[[#This Row],[Data nascimento]]&gt;=$N$2,Tabela1[[#This Row],[Data nascimento]]&lt;=$M$2),"INICIADO",J1367)</f>
        <v>JÚNIOR</v>
      </c>
      <c r="J1367" s="9" t="str">
        <f>IF(AND(Tabela1[[#This Row],[Data nascimento]]&gt;=$P$2,Tabela1[[#This Row],[Data nascimento]]&lt;=$O$2),"JUVENIL","JÚNIOR")</f>
        <v>JÚNIOR</v>
      </c>
    </row>
    <row r="1368" spans="1:10" ht="15" x14ac:dyDescent="0.4">
      <c r="A1368" s="13" t="s">
        <v>3089</v>
      </c>
      <c r="B1368" s="2" t="s">
        <v>3090</v>
      </c>
      <c r="C1368" s="4" t="s">
        <v>21</v>
      </c>
      <c r="D1368" s="11">
        <v>41107</v>
      </c>
      <c r="E1368" s="7" t="s">
        <v>3091</v>
      </c>
      <c r="F1368" s="4" t="s">
        <v>4783</v>
      </c>
      <c r="G1368" s="12" t="str">
        <f>IF(AND(Tabela1[[#This Row],[Data nascimento]]&gt;=$J$2,Tabela1[[#This Row],[Data nascimento]]&lt;=$I$2),"INFANTIL A",H1368)</f>
        <v>INICIADO</v>
      </c>
      <c r="H1368" s="3" t="str">
        <f>IF(AND(Tabela1[[#This Row],[Data nascimento]]&gt;=$L$2,Tabela1[[#This Row],[Data nascimento]]&lt;=$K$2),"INFANTIL B",I1368)</f>
        <v>INICIADO</v>
      </c>
      <c r="I1368" s="9" t="str">
        <f>IF(AND(Tabela1[[#This Row],[Data nascimento]]&gt;=$N$2,Tabela1[[#This Row],[Data nascimento]]&lt;=$M$2),"INICIADO",J1368)</f>
        <v>INICIADO</v>
      </c>
      <c r="J1368" s="9" t="str">
        <f>IF(AND(Tabela1[[#This Row],[Data nascimento]]&gt;=$P$2,Tabela1[[#This Row],[Data nascimento]]&lt;=$O$2),"JUVENIL","JÚNIOR")</f>
        <v>JÚNIOR</v>
      </c>
    </row>
    <row r="1369" spans="1:10" ht="15" x14ac:dyDescent="0.4">
      <c r="A1369" s="13" t="s">
        <v>3092</v>
      </c>
      <c r="B1369" s="2" t="s">
        <v>3093</v>
      </c>
      <c r="C1369" s="4" t="s">
        <v>8</v>
      </c>
      <c r="D1369" s="11">
        <v>41288</v>
      </c>
      <c r="E1369" s="7" t="s">
        <v>3094</v>
      </c>
      <c r="F1369" s="4" t="s">
        <v>4786</v>
      </c>
      <c r="G1369" s="12" t="str">
        <f>IF(AND(Tabela1[[#This Row],[Data nascimento]]&gt;=$J$2,Tabela1[[#This Row],[Data nascimento]]&lt;=$I$2),"INFANTIL A",H1369)</f>
        <v>INFANTIL B</v>
      </c>
      <c r="H1369" s="3" t="str">
        <f>IF(AND(Tabela1[[#This Row],[Data nascimento]]&gt;=$L$2,Tabela1[[#This Row],[Data nascimento]]&lt;=$K$2),"INFANTIL B",I1369)</f>
        <v>INFANTIL B</v>
      </c>
      <c r="I1369" s="9" t="str">
        <f>IF(AND(Tabela1[[#This Row],[Data nascimento]]&gt;=$N$2,Tabela1[[#This Row],[Data nascimento]]&lt;=$M$2),"INICIADO",J1369)</f>
        <v>JÚNIOR</v>
      </c>
      <c r="J1369" s="9" t="str">
        <f>IF(AND(Tabela1[[#This Row],[Data nascimento]]&gt;=$P$2,Tabela1[[#This Row],[Data nascimento]]&lt;=$O$2),"JUVENIL","JÚNIOR")</f>
        <v>JÚNIOR</v>
      </c>
    </row>
    <row r="1370" spans="1:10" ht="15" x14ac:dyDescent="0.4">
      <c r="A1370" s="13" t="s">
        <v>3095</v>
      </c>
      <c r="B1370" s="2" t="s">
        <v>3096</v>
      </c>
      <c r="C1370" s="4" t="s">
        <v>8</v>
      </c>
      <c r="D1370" s="11">
        <v>41431</v>
      </c>
      <c r="E1370" s="7" t="s">
        <v>3097</v>
      </c>
      <c r="F1370" s="4" t="s">
        <v>4786</v>
      </c>
      <c r="G1370" s="12" t="str">
        <f>IF(AND(Tabela1[[#This Row],[Data nascimento]]&gt;=$J$2,Tabela1[[#This Row],[Data nascimento]]&lt;=$I$2),"INFANTIL A",H1370)</f>
        <v>INFANTIL B</v>
      </c>
      <c r="H1370" s="3" t="str">
        <f>IF(AND(Tabela1[[#This Row],[Data nascimento]]&gt;=$L$2,Tabela1[[#This Row],[Data nascimento]]&lt;=$K$2),"INFANTIL B",I1370)</f>
        <v>INFANTIL B</v>
      </c>
      <c r="I1370" s="9" t="str">
        <f>IF(AND(Tabela1[[#This Row],[Data nascimento]]&gt;=$N$2,Tabela1[[#This Row],[Data nascimento]]&lt;=$M$2),"INICIADO",J1370)</f>
        <v>JÚNIOR</v>
      </c>
      <c r="J1370" s="9" t="str">
        <f>IF(AND(Tabela1[[#This Row],[Data nascimento]]&gt;=$P$2,Tabela1[[#This Row],[Data nascimento]]&lt;=$O$2),"JUVENIL","JÚNIOR")</f>
        <v>JÚNIOR</v>
      </c>
    </row>
    <row r="1371" spans="1:10" ht="15" x14ac:dyDescent="0.4">
      <c r="A1371" s="13" t="s">
        <v>3101</v>
      </c>
      <c r="B1371" s="2" t="s">
        <v>3102</v>
      </c>
      <c r="C1371" s="4" t="s">
        <v>21</v>
      </c>
      <c r="D1371" s="11">
        <v>41256</v>
      </c>
      <c r="E1371" s="7" t="s">
        <v>3103</v>
      </c>
      <c r="F1371" s="4" t="s">
        <v>4787</v>
      </c>
      <c r="G1371" s="12" t="str">
        <f>IF(AND(Tabela1[[#This Row],[Data nascimento]]&gt;=$J$2,Tabela1[[#This Row],[Data nascimento]]&lt;=$I$2),"INFANTIL A",H1371)</f>
        <v>INICIADO</v>
      </c>
      <c r="H1371" s="3" t="str">
        <f>IF(AND(Tabela1[[#This Row],[Data nascimento]]&gt;=$L$2,Tabela1[[#This Row],[Data nascimento]]&lt;=$K$2),"INFANTIL B",I1371)</f>
        <v>INICIADO</v>
      </c>
      <c r="I1371" s="9" t="str">
        <f>IF(AND(Tabela1[[#This Row],[Data nascimento]]&gt;=$N$2,Tabela1[[#This Row],[Data nascimento]]&lt;=$M$2),"INICIADO",J1371)</f>
        <v>INICIADO</v>
      </c>
      <c r="J1371" s="9" t="str">
        <f>IF(AND(Tabela1[[#This Row],[Data nascimento]]&gt;=$P$2,Tabela1[[#This Row],[Data nascimento]]&lt;=$O$2),"JUVENIL","JÚNIOR")</f>
        <v>JÚNIOR</v>
      </c>
    </row>
    <row r="1372" spans="1:10" ht="15" x14ac:dyDescent="0.4">
      <c r="A1372" s="13" t="s">
        <v>3104</v>
      </c>
      <c r="B1372" s="2" t="s">
        <v>3105</v>
      </c>
      <c r="C1372" s="4" t="s">
        <v>21</v>
      </c>
      <c r="D1372" s="11">
        <v>41372</v>
      </c>
      <c r="E1372" s="7" t="s">
        <v>3106</v>
      </c>
      <c r="F1372" s="4" t="s">
        <v>4787</v>
      </c>
      <c r="G1372" s="12" t="str">
        <f>IF(AND(Tabela1[[#This Row],[Data nascimento]]&gt;=$J$2,Tabela1[[#This Row],[Data nascimento]]&lt;=$I$2),"INFANTIL A",H1372)</f>
        <v>INFANTIL B</v>
      </c>
      <c r="H1372" s="3" t="str">
        <f>IF(AND(Tabela1[[#This Row],[Data nascimento]]&gt;=$L$2,Tabela1[[#This Row],[Data nascimento]]&lt;=$K$2),"INFANTIL B",I1372)</f>
        <v>INFANTIL B</v>
      </c>
      <c r="I1372" s="9" t="str">
        <f>IF(AND(Tabela1[[#This Row],[Data nascimento]]&gt;=$N$2,Tabela1[[#This Row],[Data nascimento]]&lt;=$M$2),"INICIADO",J1372)</f>
        <v>JÚNIOR</v>
      </c>
      <c r="J1372" s="9" t="str">
        <f>IF(AND(Tabela1[[#This Row],[Data nascimento]]&gt;=$P$2,Tabela1[[#This Row],[Data nascimento]]&lt;=$O$2),"JUVENIL","JÚNIOR")</f>
        <v>JÚNIOR</v>
      </c>
    </row>
    <row r="1373" spans="1:10" ht="15" x14ac:dyDescent="0.4">
      <c r="A1373" s="13" t="s">
        <v>3107</v>
      </c>
      <c r="B1373" s="2" t="s">
        <v>3108</v>
      </c>
      <c r="C1373" s="4" t="s">
        <v>21</v>
      </c>
      <c r="D1373" s="11">
        <v>41002</v>
      </c>
      <c r="E1373" s="7" t="s">
        <v>3109</v>
      </c>
      <c r="F1373" s="4" t="s">
        <v>4784</v>
      </c>
      <c r="G1373" s="12" t="str">
        <f>IF(AND(Tabela1[[#This Row],[Data nascimento]]&gt;=$J$2,Tabela1[[#This Row],[Data nascimento]]&lt;=$I$2),"INFANTIL A",H1373)</f>
        <v>INICIADO</v>
      </c>
      <c r="H1373" s="3" t="str">
        <f>IF(AND(Tabela1[[#This Row],[Data nascimento]]&gt;=$L$2,Tabela1[[#This Row],[Data nascimento]]&lt;=$K$2),"INFANTIL B",I1373)</f>
        <v>INICIADO</v>
      </c>
      <c r="I1373" s="9" t="str">
        <f>IF(AND(Tabela1[[#This Row],[Data nascimento]]&gt;=$N$2,Tabela1[[#This Row],[Data nascimento]]&lt;=$M$2),"INICIADO",J1373)</f>
        <v>INICIADO</v>
      </c>
      <c r="J1373" s="9" t="str">
        <f>IF(AND(Tabela1[[#This Row],[Data nascimento]]&gt;=$P$2,Tabela1[[#This Row],[Data nascimento]]&lt;=$O$2),"JUVENIL","JÚNIOR")</f>
        <v>JÚNIOR</v>
      </c>
    </row>
    <row r="1374" spans="1:10" ht="15" x14ac:dyDescent="0.4">
      <c r="A1374" s="13" t="s">
        <v>3110</v>
      </c>
      <c r="B1374" s="2" t="s">
        <v>3111</v>
      </c>
      <c r="C1374" s="4" t="s">
        <v>8</v>
      </c>
      <c r="D1374" s="11">
        <v>41277</v>
      </c>
      <c r="E1374" s="7" t="s">
        <v>3112</v>
      </c>
      <c r="F1374" s="4" t="s">
        <v>4784</v>
      </c>
      <c r="G1374" s="12" t="str">
        <f>IF(AND(Tabela1[[#This Row],[Data nascimento]]&gt;=$J$2,Tabela1[[#This Row],[Data nascimento]]&lt;=$I$2),"INFANTIL A",H1374)</f>
        <v>INFANTIL B</v>
      </c>
      <c r="H1374" s="3" t="str">
        <f>IF(AND(Tabela1[[#This Row],[Data nascimento]]&gt;=$L$2,Tabela1[[#This Row],[Data nascimento]]&lt;=$K$2),"INFANTIL B",I1374)</f>
        <v>INFANTIL B</v>
      </c>
      <c r="I1374" s="9" t="str">
        <f>IF(AND(Tabela1[[#This Row],[Data nascimento]]&gt;=$N$2,Tabela1[[#This Row],[Data nascimento]]&lt;=$M$2),"INICIADO",J1374)</f>
        <v>JÚNIOR</v>
      </c>
      <c r="J1374" s="9" t="str">
        <f>IF(AND(Tabela1[[#This Row],[Data nascimento]]&gt;=$P$2,Tabela1[[#This Row],[Data nascimento]]&lt;=$O$2),"JUVENIL","JÚNIOR")</f>
        <v>JÚNIOR</v>
      </c>
    </row>
    <row r="1375" spans="1:10" ht="15" x14ac:dyDescent="0.4">
      <c r="A1375" s="13" t="s">
        <v>3113</v>
      </c>
      <c r="B1375" s="2" t="s">
        <v>3114</v>
      </c>
      <c r="C1375" s="4" t="s">
        <v>8</v>
      </c>
      <c r="D1375" s="11">
        <v>41415</v>
      </c>
      <c r="E1375" s="7" t="s">
        <v>3115</v>
      </c>
      <c r="F1375" s="4" t="s">
        <v>4787</v>
      </c>
      <c r="G1375" s="12" t="str">
        <f>IF(AND(Tabela1[[#This Row],[Data nascimento]]&gt;=$J$2,Tabela1[[#This Row],[Data nascimento]]&lt;=$I$2),"INFANTIL A",H1375)</f>
        <v>INFANTIL B</v>
      </c>
      <c r="H1375" s="3" t="str">
        <f>IF(AND(Tabela1[[#This Row],[Data nascimento]]&gt;=$L$2,Tabela1[[#This Row],[Data nascimento]]&lt;=$K$2),"INFANTIL B",I1375)</f>
        <v>INFANTIL B</v>
      </c>
      <c r="I1375" s="9" t="str">
        <f>IF(AND(Tabela1[[#This Row],[Data nascimento]]&gt;=$N$2,Tabela1[[#This Row],[Data nascimento]]&lt;=$M$2),"INICIADO",J1375)</f>
        <v>JÚNIOR</v>
      </c>
      <c r="J1375" s="9" t="str">
        <f>IF(AND(Tabela1[[#This Row],[Data nascimento]]&gt;=$P$2,Tabela1[[#This Row],[Data nascimento]]&lt;=$O$2),"JUVENIL","JÚNIOR")</f>
        <v>JÚNIOR</v>
      </c>
    </row>
    <row r="1376" spans="1:10" ht="15" x14ac:dyDescent="0.4">
      <c r="A1376" s="13" t="s">
        <v>3116</v>
      </c>
      <c r="B1376" s="2" t="s">
        <v>3117</v>
      </c>
      <c r="C1376" s="4" t="s">
        <v>21</v>
      </c>
      <c r="D1376" s="11">
        <v>41451</v>
      </c>
      <c r="E1376" s="7" t="s">
        <v>3118</v>
      </c>
      <c r="F1376" s="4" t="s">
        <v>4787</v>
      </c>
      <c r="G1376" s="12" t="str">
        <f>IF(AND(Tabela1[[#This Row],[Data nascimento]]&gt;=$J$2,Tabela1[[#This Row],[Data nascimento]]&lt;=$I$2),"INFANTIL A",H1376)</f>
        <v>INFANTIL B</v>
      </c>
      <c r="H1376" s="3" t="str">
        <f>IF(AND(Tabela1[[#This Row],[Data nascimento]]&gt;=$L$2,Tabela1[[#This Row],[Data nascimento]]&lt;=$K$2),"INFANTIL B",I1376)</f>
        <v>INFANTIL B</v>
      </c>
      <c r="I1376" s="9" t="str">
        <f>IF(AND(Tabela1[[#This Row],[Data nascimento]]&gt;=$N$2,Tabela1[[#This Row],[Data nascimento]]&lt;=$M$2),"INICIADO",J1376)</f>
        <v>JÚNIOR</v>
      </c>
      <c r="J1376" s="9" t="str">
        <f>IF(AND(Tabela1[[#This Row],[Data nascimento]]&gt;=$P$2,Tabela1[[#This Row],[Data nascimento]]&lt;=$O$2),"JUVENIL","JÚNIOR")</f>
        <v>JÚNIOR</v>
      </c>
    </row>
    <row r="1377" spans="1:10" ht="15" x14ac:dyDescent="0.4">
      <c r="A1377" s="13" t="s">
        <v>3119</v>
      </c>
      <c r="B1377" s="2" t="s">
        <v>3120</v>
      </c>
      <c r="C1377" s="4" t="s">
        <v>21</v>
      </c>
      <c r="D1377" s="11">
        <v>41129</v>
      </c>
      <c r="E1377" s="7" t="s">
        <v>3121</v>
      </c>
      <c r="F1377" s="4" t="s">
        <v>4787</v>
      </c>
      <c r="G1377" s="12" t="str">
        <f>IF(AND(Tabela1[[#This Row],[Data nascimento]]&gt;=$J$2,Tabela1[[#This Row],[Data nascimento]]&lt;=$I$2),"INFANTIL A",H1377)</f>
        <v>INICIADO</v>
      </c>
      <c r="H1377" s="3" t="str">
        <f>IF(AND(Tabela1[[#This Row],[Data nascimento]]&gt;=$L$2,Tabela1[[#This Row],[Data nascimento]]&lt;=$K$2),"INFANTIL B",I1377)</f>
        <v>INICIADO</v>
      </c>
      <c r="I1377" s="9" t="str">
        <f>IF(AND(Tabela1[[#This Row],[Data nascimento]]&gt;=$N$2,Tabela1[[#This Row],[Data nascimento]]&lt;=$M$2),"INICIADO",J1377)</f>
        <v>INICIADO</v>
      </c>
      <c r="J1377" s="9" t="str">
        <f>IF(AND(Tabela1[[#This Row],[Data nascimento]]&gt;=$P$2,Tabela1[[#This Row],[Data nascimento]]&lt;=$O$2),"JUVENIL","JÚNIOR")</f>
        <v>JÚNIOR</v>
      </c>
    </row>
    <row r="1378" spans="1:10" ht="15" x14ac:dyDescent="0.4">
      <c r="A1378" s="13" t="s">
        <v>3122</v>
      </c>
      <c r="B1378" s="2" t="s">
        <v>3123</v>
      </c>
      <c r="C1378" s="4" t="s">
        <v>21</v>
      </c>
      <c r="D1378" s="11">
        <v>41386</v>
      </c>
      <c r="E1378" s="7" t="s">
        <v>3124</v>
      </c>
      <c r="F1378" s="4" t="s">
        <v>4787</v>
      </c>
      <c r="G1378" s="12" t="str">
        <f>IF(AND(Tabela1[[#This Row],[Data nascimento]]&gt;=$J$2,Tabela1[[#This Row],[Data nascimento]]&lt;=$I$2),"INFANTIL A",H1378)</f>
        <v>INFANTIL B</v>
      </c>
      <c r="H1378" s="3" t="str">
        <f>IF(AND(Tabela1[[#This Row],[Data nascimento]]&gt;=$L$2,Tabela1[[#This Row],[Data nascimento]]&lt;=$K$2),"INFANTIL B",I1378)</f>
        <v>INFANTIL B</v>
      </c>
      <c r="I1378" s="9" t="str">
        <f>IF(AND(Tabela1[[#This Row],[Data nascimento]]&gt;=$N$2,Tabela1[[#This Row],[Data nascimento]]&lt;=$M$2),"INICIADO",J1378)</f>
        <v>JÚNIOR</v>
      </c>
      <c r="J1378" s="9" t="str">
        <f>IF(AND(Tabela1[[#This Row],[Data nascimento]]&gt;=$P$2,Tabela1[[#This Row],[Data nascimento]]&lt;=$O$2),"JUVENIL","JÚNIOR")</f>
        <v>JÚNIOR</v>
      </c>
    </row>
    <row r="1379" spans="1:10" ht="15" x14ac:dyDescent="0.4">
      <c r="A1379" s="13" t="s">
        <v>3125</v>
      </c>
      <c r="B1379" s="2" t="s">
        <v>3126</v>
      </c>
      <c r="C1379" s="4" t="s">
        <v>21</v>
      </c>
      <c r="D1379" s="11">
        <v>41372</v>
      </c>
      <c r="E1379" s="7" t="s">
        <v>3127</v>
      </c>
      <c r="F1379" s="4" t="s">
        <v>4787</v>
      </c>
      <c r="G1379" s="12" t="str">
        <f>IF(AND(Tabela1[[#This Row],[Data nascimento]]&gt;=$J$2,Tabela1[[#This Row],[Data nascimento]]&lt;=$I$2),"INFANTIL A",H1379)</f>
        <v>INFANTIL B</v>
      </c>
      <c r="H1379" s="3" t="str">
        <f>IF(AND(Tabela1[[#This Row],[Data nascimento]]&gt;=$L$2,Tabela1[[#This Row],[Data nascimento]]&lt;=$K$2),"INFANTIL B",I1379)</f>
        <v>INFANTIL B</v>
      </c>
      <c r="I1379" s="9" t="str">
        <f>IF(AND(Tabela1[[#This Row],[Data nascimento]]&gt;=$N$2,Tabela1[[#This Row],[Data nascimento]]&lt;=$M$2),"INICIADO",J1379)</f>
        <v>JÚNIOR</v>
      </c>
      <c r="J1379" s="9" t="str">
        <f>IF(AND(Tabela1[[#This Row],[Data nascimento]]&gt;=$P$2,Tabela1[[#This Row],[Data nascimento]]&lt;=$O$2),"JUVENIL","JÚNIOR")</f>
        <v>JÚNIOR</v>
      </c>
    </row>
    <row r="1380" spans="1:10" ht="15" x14ac:dyDescent="0.4">
      <c r="A1380" s="13" t="s">
        <v>3128</v>
      </c>
      <c r="B1380" s="2" t="s">
        <v>3129</v>
      </c>
      <c r="C1380" s="4" t="s">
        <v>8</v>
      </c>
      <c r="D1380" s="11">
        <v>41542</v>
      </c>
      <c r="E1380" s="7" t="s">
        <v>3130</v>
      </c>
      <c r="F1380" s="4" t="s">
        <v>4786</v>
      </c>
      <c r="G1380" s="12" t="str">
        <f>IF(AND(Tabela1[[#This Row],[Data nascimento]]&gt;=$J$2,Tabela1[[#This Row],[Data nascimento]]&lt;=$I$2),"INFANTIL A",H1380)</f>
        <v>INFANTIL B</v>
      </c>
      <c r="H1380" s="3" t="str">
        <f>IF(AND(Tabela1[[#This Row],[Data nascimento]]&gt;=$L$2,Tabela1[[#This Row],[Data nascimento]]&lt;=$K$2),"INFANTIL B",I1380)</f>
        <v>INFANTIL B</v>
      </c>
      <c r="I1380" s="9" t="str">
        <f>IF(AND(Tabela1[[#This Row],[Data nascimento]]&gt;=$N$2,Tabela1[[#This Row],[Data nascimento]]&lt;=$M$2),"INICIADO",J1380)</f>
        <v>JÚNIOR</v>
      </c>
      <c r="J1380" s="9" t="str">
        <f>IF(AND(Tabela1[[#This Row],[Data nascimento]]&gt;=$P$2,Tabela1[[#This Row],[Data nascimento]]&lt;=$O$2),"JUVENIL","JÚNIOR")</f>
        <v>JÚNIOR</v>
      </c>
    </row>
    <row r="1381" spans="1:10" ht="15" x14ac:dyDescent="0.4">
      <c r="A1381" s="13" t="s">
        <v>3740</v>
      </c>
      <c r="B1381" s="2" t="s">
        <v>3741</v>
      </c>
      <c r="C1381" s="4" t="s">
        <v>8</v>
      </c>
      <c r="D1381" s="11">
        <v>41375</v>
      </c>
      <c r="E1381" s="7" t="s">
        <v>3742</v>
      </c>
      <c r="F1381" s="4" t="s">
        <v>4783</v>
      </c>
      <c r="G1381" s="12" t="str">
        <f>IF(AND(Tabela1[[#This Row],[Data nascimento]]&gt;=$J$2,Tabela1[[#This Row],[Data nascimento]]&lt;=$I$2),"INFANTIL A",H1381)</f>
        <v>INFANTIL B</v>
      </c>
      <c r="H1381" s="3" t="str">
        <f>IF(AND(Tabela1[[#This Row],[Data nascimento]]&gt;=$L$2,Tabela1[[#This Row],[Data nascimento]]&lt;=$K$2),"INFANTIL B",I1381)</f>
        <v>INFANTIL B</v>
      </c>
      <c r="I1381" s="9" t="str">
        <f>IF(AND(Tabela1[[#This Row],[Data nascimento]]&gt;=$N$2,Tabela1[[#This Row],[Data nascimento]]&lt;=$M$2),"INICIADO",J1381)</f>
        <v>JÚNIOR</v>
      </c>
      <c r="J1381" s="9" t="str">
        <f>IF(AND(Tabela1[[#This Row],[Data nascimento]]&gt;=$P$2,Tabela1[[#This Row],[Data nascimento]]&lt;=$O$2),"JUVENIL","JÚNIOR")</f>
        <v>JÚNIOR</v>
      </c>
    </row>
    <row r="1382" spans="1:10" ht="15" x14ac:dyDescent="0.4">
      <c r="A1382" s="13" t="s">
        <v>3818</v>
      </c>
      <c r="B1382" s="2" t="s">
        <v>3819</v>
      </c>
      <c r="C1382" s="4" t="s">
        <v>8</v>
      </c>
      <c r="D1382" s="11">
        <v>41298</v>
      </c>
      <c r="E1382" s="7" t="s">
        <v>3820</v>
      </c>
      <c r="F1382" s="4" t="s">
        <v>4785</v>
      </c>
      <c r="G1382" s="12" t="str">
        <f>IF(AND(Tabela1[[#This Row],[Data nascimento]]&gt;=$J$2,Tabela1[[#This Row],[Data nascimento]]&lt;=$I$2),"INFANTIL A",H1382)</f>
        <v>INFANTIL B</v>
      </c>
      <c r="H1382" s="3" t="str">
        <f>IF(AND(Tabela1[[#This Row],[Data nascimento]]&gt;=$L$2,Tabela1[[#This Row],[Data nascimento]]&lt;=$K$2),"INFANTIL B",I1382)</f>
        <v>INFANTIL B</v>
      </c>
      <c r="I1382" s="9" t="str">
        <f>IF(AND(Tabela1[[#This Row],[Data nascimento]]&gt;=$N$2,Tabela1[[#This Row],[Data nascimento]]&lt;=$M$2),"INICIADO",J1382)</f>
        <v>JÚNIOR</v>
      </c>
      <c r="J1382" s="9" t="str">
        <f>IF(AND(Tabela1[[#This Row],[Data nascimento]]&gt;=$P$2,Tabela1[[#This Row],[Data nascimento]]&lt;=$O$2),"JUVENIL","JÚNIOR")</f>
        <v>JÚNIOR</v>
      </c>
    </row>
    <row r="1383" spans="1:10" ht="15" x14ac:dyDescent="0.4">
      <c r="A1383" s="13" t="s">
        <v>3821</v>
      </c>
      <c r="B1383" s="2" t="s">
        <v>3822</v>
      </c>
      <c r="C1383" s="4" t="s">
        <v>21</v>
      </c>
      <c r="D1383" s="11">
        <v>40851</v>
      </c>
      <c r="E1383" s="7" t="s">
        <v>3823</v>
      </c>
      <c r="F1383" s="4" t="s">
        <v>4787</v>
      </c>
      <c r="G1383" s="12" t="str">
        <f>IF(AND(Tabela1[[#This Row],[Data nascimento]]&gt;=$J$2,Tabela1[[#This Row],[Data nascimento]]&lt;=$I$2),"INFANTIL A",H1383)</f>
        <v>INICIADO</v>
      </c>
      <c r="H1383" s="3" t="str">
        <f>IF(AND(Tabela1[[#This Row],[Data nascimento]]&gt;=$L$2,Tabela1[[#This Row],[Data nascimento]]&lt;=$K$2),"INFANTIL B",I1383)</f>
        <v>INICIADO</v>
      </c>
      <c r="I1383" s="9" t="str">
        <f>IF(AND(Tabela1[[#This Row],[Data nascimento]]&gt;=$N$2,Tabela1[[#This Row],[Data nascimento]]&lt;=$M$2),"INICIADO",J1383)</f>
        <v>INICIADO</v>
      </c>
      <c r="J1383" s="9" t="str">
        <f>IF(AND(Tabela1[[#This Row],[Data nascimento]]&gt;=$P$2,Tabela1[[#This Row],[Data nascimento]]&lt;=$O$2),"JUVENIL","JÚNIOR")</f>
        <v>JÚNIOR</v>
      </c>
    </row>
    <row r="1384" spans="1:10" ht="15" x14ac:dyDescent="0.4">
      <c r="A1384" s="13" t="s">
        <v>3824</v>
      </c>
      <c r="B1384" s="2" t="s">
        <v>3825</v>
      </c>
      <c r="C1384" s="4" t="s">
        <v>8</v>
      </c>
      <c r="D1384" s="11">
        <v>40350</v>
      </c>
      <c r="E1384" s="7" t="s">
        <v>3826</v>
      </c>
      <c r="F1384" s="4" t="s">
        <v>4785</v>
      </c>
      <c r="G1384" s="12" t="str">
        <f>IF(AND(Tabela1[[#This Row],[Data nascimento]]&gt;=$J$2,Tabela1[[#This Row],[Data nascimento]]&lt;=$I$2),"INFANTIL A",H1384)</f>
        <v>JUVENIL</v>
      </c>
      <c r="H1384" s="3" t="str">
        <f>IF(AND(Tabela1[[#This Row],[Data nascimento]]&gt;=$L$2,Tabela1[[#This Row],[Data nascimento]]&lt;=$K$2),"INFANTIL B",I1384)</f>
        <v>JUVENIL</v>
      </c>
      <c r="I1384" s="9" t="str">
        <f>IF(AND(Tabela1[[#This Row],[Data nascimento]]&gt;=$N$2,Tabela1[[#This Row],[Data nascimento]]&lt;=$M$2),"INICIADO",J1384)</f>
        <v>JUVENIL</v>
      </c>
      <c r="J1384" s="9" t="str">
        <f>IF(AND(Tabela1[[#This Row],[Data nascimento]]&gt;=$P$2,Tabela1[[#This Row],[Data nascimento]]&lt;=$O$2),"JUVENIL","JÚNIOR")</f>
        <v>JUVENIL</v>
      </c>
    </row>
    <row r="1385" spans="1:10" ht="15" x14ac:dyDescent="0.4">
      <c r="A1385" s="13" t="s">
        <v>4289</v>
      </c>
      <c r="B1385" s="2" t="s">
        <v>4290</v>
      </c>
      <c r="C1385" s="4" t="s">
        <v>8</v>
      </c>
      <c r="D1385" s="11">
        <v>41425</v>
      </c>
      <c r="E1385" s="7" t="s">
        <v>4291</v>
      </c>
      <c r="F1385" s="4" t="s">
        <v>4783</v>
      </c>
      <c r="G1385" s="12" t="str">
        <f>IF(AND(Tabela1[[#This Row],[Data nascimento]]&gt;=$J$2,Tabela1[[#This Row],[Data nascimento]]&lt;=$I$2),"INFANTIL A",H1385)</f>
        <v>INFANTIL B</v>
      </c>
      <c r="H1385" s="3" t="str">
        <f>IF(AND(Tabela1[[#This Row],[Data nascimento]]&gt;=$L$2,Tabela1[[#This Row],[Data nascimento]]&lt;=$K$2),"INFANTIL B",I1385)</f>
        <v>INFANTIL B</v>
      </c>
      <c r="I1385" s="9" t="str">
        <f>IF(AND(Tabela1[[#This Row],[Data nascimento]]&gt;=$N$2,Tabela1[[#This Row],[Data nascimento]]&lt;=$M$2),"INICIADO",J1385)</f>
        <v>JÚNIOR</v>
      </c>
      <c r="J1385" s="9" t="str">
        <f>IF(AND(Tabela1[[#This Row],[Data nascimento]]&gt;=$P$2,Tabela1[[#This Row],[Data nascimento]]&lt;=$O$2),"JUVENIL","JÚNIOR")</f>
        <v>JÚNIOR</v>
      </c>
    </row>
    <row r="1386" spans="1:10" ht="15" x14ac:dyDescent="0.4">
      <c r="A1386" s="13" t="s">
        <v>4292</v>
      </c>
      <c r="B1386" s="2" t="s">
        <v>4293</v>
      </c>
      <c r="C1386" s="4" t="s">
        <v>8</v>
      </c>
      <c r="D1386" s="11">
        <v>41425</v>
      </c>
      <c r="E1386" s="7" t="s">
        <v>4294</v>
      </c>
      <c r="F1386" s="4" t="s">
        <v>4783</v>
      </c>
      <c r="G1386" s="12" t="str">
        <f>IF(AND(Tabela1[[#This Row],[Data nascimento]]&gt;=$J$2,Tabela1[[#This Row],[Data nascimento]]&lt;=$I$2),"INFANTIL A",H1386)</f>
        <v>INFANTIL B</v>
      </c>
      <c r="H1386" s="3" t="str">
        <f>IF(AND(Tabela1[[#This Row],[Data nascimento]]&gt;=$L$2,Tabela1[[#This Row],[Data nascimento]]&lt;=$K$2),"INFANTIL B",I1386)</f>
        <v>INFANTIL B</v>
      </c>
      <c r="I1386" s="9" t="str">
        <f>IF(AND(Tabela1[[#This Row],[Data nascimento]]&gt;=$N$2,Tabela1[[#This Row],[Data nascimento]]&lt;=$M$2),"INICIADO",J1386)</f>
        <v>JÚNIOR</v>
      </c>
      <c r="J1386" s="9" t="str">
        <f>IF(AND(Tabela1[[#This Row],[Data nascimento]]&gt;=$P$2,Tabela1[[#This Row],[Data nascimento]]&lt;=$O$2),"JUVENIL","JÚNIOR")</f>
        <v>JÚNIOR</v>
      </c>
    </row>
    <row r="1387" spans="1:10" ht="15" x14ac:dyDescent="0.4">
      <c r="A1387" s="13" t="s">
        <v>4295</v>
      </c>
      <c r="B1387" s="2" t="s">
        <v>4296</v>
      </c>
      <c r="C1387" s="4" t="s">
        <v>8</v>
      </c>
      <c r="D1387" s="11">
        <v>41035</v>
      </c>
      <c r="E1387" s="7" t="s">
        <v>4297</v>
      </c>
      <c r="F1387" s="4" t="s">
        <v>4787</v>
      </c>
      <c r="G1387" s="12" t="str">
        <f>IF(AND(Tabela1[[#This Row],[Data nascimento]]&gt;=$J$2,Tabela1[[#This Row],[Data nascimento]]&lt;=$I$2),"INFANTIL A",H1387)</f>
        <v>INICIADO</v>
      </c>
      <c r="H1387" s="3" t="str">
        <f>IF(AND(Tabela1[[#This Row],[Data nascimento]]&gt;=$L$2,Tabela1[[#This Row],[Data nascimento]]&lt;=$K$2),"INFANTIL B",I1387)</f>
        <v>INICIADO</v>
      </c>
      <c r="I1387" s="9" t="str">
        <f>IF(AND(Tabela1[[#This Row],[Data nascimento]]&gt;=$N$2,Tabela1[[#This Row],[Data nascimento]]&lt;=$M$2),"INICIADO",J1387)</f>
        <v>INICIADO</v>
      </c>
      <c r="J1387" s="9" t="str">
        <f>IF(AND(Tabela1[[#This Row],[Data nascimento]]&gt;=$P$2,Tabela1[[#This Row],[Data nascimento]]&lt;=$O$2),"JUVENIL","JÚNIOR")</f>
        <v>JÚNIOR</v>
      </c>
    </row>
    <row r="1388" spans="1:10" ht="15" x14ac:dyDescent="0.4">
      <c r="A1388" s="13" t="s">
        <v>4301</v>
      </c>
      <c r="B1388" s="2" t="s">
        <v>4302</v>
      </c>
      <c r="C1388" s="4" t="s">
        <v>8</v>
      </c>
      <c r="D1388" s="11">
        <v>41270</v>
      </c>
      <c r="E1388" s="7" t="s">
        <v>4303</v>
      </c>
      <c r="F1388" s="4" t="s">
        <v>4787</v>
      </c>
      <c r="G1388" s="12" t="str">
        <f>IF(AND(Tabela1[[#This Row],[Data nascimento]]&gt;=$J$2,Tabela1[[#This Row],[Data nascimento]]&lt;=$I$2),"INFANTIL A",H1388)</f>
        <v>INICIADO</v>
      </c>
      <c r="H1388" s="3" t="str">
        <f>IF(AND(Tabela1[[#This Row],[Data nascimento]]&gt;=$L$2,Tabela1[[#This Row],[Data nascimento]]&lt;=$K$2),"INFANTIL B",I1388)</f>
        <v>INICIADO</v>
      </c>
      <c r="I1388" s="9" t="str">
        <f>IF(AND(Tabela1[[#This Row],[Data nascimento]]&gt;=$N$2,Tabela1[[#This Row],[Data nascimento]]&lt;=$M$2),"INICIADO",J1388)</f>
        <v>INICIADO</v>
      </c>
      <c r="J1388" s="9" t="str">
        <f>IF(AND(Tabela1[[#This Row],[Data nascimento]]&gt;=$P$2,Tabela1[[#This Row],[Data nascimento]]&lt;=$O$2),"JUVENIL","JÚNIOR")</f>
        <v>JÚNIOR</v>
      </c>
    </row>
    <row r="1389" spans="1:10" ht="15" x14ac:dyDescent="0.4">
      <c r="A1389" s="13" t="s">
        <v>4304</v>
      </c>
      <c r="B1389" s="2" t="s">
        <v>4305</v>
      </c>
      <c r="C1389" s="4" t="s">
        <v>8</v>
      </c>
      <c r="D1389" s="11">
        <v>41312</v>
      </c>
      <c r="E1389" s="7" t="s">
        <v>4306</v>
      </c>
      <c r="F1389" s="4" t="s">
        <v>4786</v>
      </c>
      <c r="G1389" s="12" t="str">
        <f>IF(AND(Tabela1[[#This Row],[Data nascimento]]&gt;=$J$2,Tabela1[[#This Row],[Data nascimento]]&lt;=$I$2),"INFANTIL A",H1389)</f>
        <v>INFANTIL B</v>
      </c>
      <c r="H1389" s="3" t="str">
        <f>IF(AND(Tabela1[[#This Row],[Data nascimento]]&gt;=$L$2,Tabela1[[#This Row],[Data nascimento]]&lt;=$K$2),"INFANTIL B",I1389)</f>
        <v>INFANTIL B</v>
      </c>
      <c r="I1389" s="9" t="str">
        <f>IF(AND(Tabela1[[#This Row],[Data nascimento]]&gt;=$N$2,Tabela1[[#This Row],[Data nascimento]]&lt;=$M$2),"INICIADO",J1389)</f>
        <v>JÚNIOR</v>
      </c>
      <c r="J1389" s="9" t="str">
        <f>IF(AND(Tabela1[[#This Row],[Data nascimento]]&gt;=$P$2,Tabela1[[#This Row],[Data nascimento]]&lt;=$O$2),"JUVENIL","JÚNIOR")</f>
        <v>JÚNIOR</v>
      </c>
    </row>
    <row r="1390" spans="1:10" ht="15" x14ac:dyDescent="0.4">
      <c r="A1390" s="13" t="s">
        <v>4583</v>
      </c>
      <c r="B1390" s="2" t="s">
        <v>4584</v>
      </c>
      <c r="C1390" s="4" t="s">
        <v>8</v>
      </c>
      <c r="D1390" s="11">
        <v>39515</v>
      </c>
      <c r="E1390" s="7" t="s">
        <v>4585</v>
      </c>
      <c r="F1390" s="4" t="s">
        <v>4787</v>
      </c>
      <c r="G1390" s="12" t="str">
        <f>IF(AND(Tabela1[[#This Row],[Data nascimento]]&gt;=$J$2,Tabela1[[#This Row],[Data nascimento]]&lt;=$I$2),"INFANTIL A",H1390)</f>
        <v>JUVENIL</v>
      </c>
      <c r="H1390" s="3" t="str">
        <f>IF(AND(Tabela1[[#This Row],[Data nascimento]]&gt;=$L$2,Tabela1[[#This Row],[Data nascimento]]&lt;=$K$2),"INFANTIL B",I1390)</f>
        <v>JUVENIL</v>
      </c>
      <c r="I1390" s="9" t="str">
        <f>IF(AND(Tabela1[[#This Row],[Data nascimento]]&gt;=$N$2,Tabela1[[#This Row],[Data nascimento]]&lt;=$M$2),"INICIADO",J1390)</f>
        <v>JUVENIL</v>
      </c>
      <c r="J1390" s="9" t="str">
        <f>IF(AND(Tabela1[[#This Row],[Data nascimento]]&gt;=$P$2,Tabela1[[#This Row],[Data nascimento]]&lt;=$O$2),"JUVENIL","JÚNIOR")</f>
        <v>JUVENIL</v>
      </c>
    </row>
    <row r="1391" spans="1:10" ht="15" x14ac:dyDescent="0.4">
      <c r="A1391" s="13" t="s">
        <v>4670</v>
      </c>
      <c r="B1391" s="2" t="s">
        <v>4671</v>
      </c>
      <c r="C1391" s="4" t="s">
        <v>8</v>
      </c>
      <c r="D1391" s="11">
        <v>41435</v>
      </c>
      <c r="E1391" s="7" t="s">
        <v>4672</v>
      </c>
      <c r="F1391" s="4" t="s">
        <v>4786</v>
      </c>
      <c r="G1391" s="12" t="str">
        <f>IF(AND(Tabela1[[#This Row],[Data nascimento]]&gt;=$J$2,Tabela1[[#This Row],[Data nascimento]]&lt;=$I$2),"INFANTIL A",H1391)</f>
        <v>INFANTIL B</v>
      </c>
      <c r="H1391" s="3" t="str">
        <f>IF(AND(Tabela1[[#This Row],[Data nascimento]]&gt;=$L$2,Tabela1[[#This Row],[Data nascimento]]&lt;=$K$2),"INFANTIL B",I1391)</f>
        <v>INFANTIL B</v>
      </c>
      <c r="I1391" s="9" t="str">
        <f>IF(AND(Tabela1[[#This Row],[Data nascimento]]&gt;=$N$2,Tabela1[[#This Row],[Data nascimento]]&lt;=$M$2),"INICIADO",J1391)</f>
        <v>JÚNIOR</v>
      </c>
      <c r="J1391" s="9" t="str">
        <f>IF(AND(Tabela1[[#This Row],[Data nascimento]]&gt;=$P$2,Tabela1[[#This Row],[Data nascimento]]&lt;=$O$2),"JUVENIL","JÚNIOR")</f>
        <v>JÚNIOR</v>
      </c>
    </row>
    <row r="1392" spans="1:10" ht="15" x14ac:dyDescent="0.4">
      <c r="A1392" s="13" t="s">
        <v>4682</v>
      </c>
      <c r="B1392" s="2" t="s">
        <v>4683</v>
      </c>
      <c r="C1392" s="4" t="s">
        <v>8</v>
      </c>
      <c r="D1392" s="11">
        <v>41138</v>
      </c>
      <c r="E1392" s="7" t="s">
        <v>4684</v>
      </c>
      <c r="F1392" s="4" t="s">
        <v>4787</v>
      </c>
      <c r="G1392" s="12" t="str">
        <f>IF(AND(Tabela1[[#This Row],[Data nascimento]]&gt;=$J$2,Tabela1[[#This Row],[Data nascimento]]&lt;=$I$2),"INFANTIL A",H1392)</f>
        <v>INICIADO</v>
      </c>
      <c r="H1392" s="3" t="str">
        <f>IF(AND(Tabela1[[#This Row],[Data nascimento]]&gt;=$L$2,Tabela1[[#This Row],[Data nascimento]]&lt;=$K$2),"INFANTIL B",I1392)</f>
        <v>INICIADO</v>
      </c>
      <c r="I1392" s="9" t="str">
        <f>IF(AND(Tabela1[[#This Row],[Data nascimento]]&gt;=$N$2,Tabela1[[#This Row],[Data nascimento]]&lt;=$M$2),"INICIADO",J1392)</f>
        <v>INICIADO</v>
      </c>
      <c r="J1392" s="9" t="str">
        <f>IF(AND(Tabela1[[#This Row],[Data nascimento]]&gt;=$P$2,Tabela1[[#This Row],[Data nascimento]]&lt;=$O$2),"JUVENIL","JÚNIOR")</f>
        <v>JÚNIOR</v>
      </c>
    </row>
    <row r="1393" spans="1:10" ht="15" x14ac:dyDescent="0.4">
      <c r="A1393" s="13" t="s">
        <v>4700</v>
      </c>
      <c r="B1393" s="2" t="s">
        <v>4701</v>
      </c>
      <c r="C1393" s="4" t="s">
        <v>8</v>
      </c>
      <c r="D1393" s="11">
        <v>41426</v>
      </c>
      <c r="E1393" s="7" t="s">
        <v>4702</v>
      </c>
      <c r="F1393" s="4" t="s">
        <v>4787</v>
      </c>
      <c r="G1393" s="12" t="str">
        <f>IF(AND(Tabela1[[#This Row],[Data nascimento]]&gt;=$J$2,Tabela1[[#This Row],[Data nascimento]]&lt;=$I$2),"INFANTIL A",H1393)</f>
        <v>INFANTIL B</v>
      </c>
      <c r="H1393" s="3" t="str">
        <f>IF(AND(Tabela1[[#This Row],[Data nascimento]]&gt;=$L$2,Tabela1[[#This Row],[Data nascimento]]&lt;=$K$2),"INFANTIL B",I1393)</f>
        <v>INFANTIL B</v>
      </c>
      <c r="I1393" s="9" t="str">
        <f>IF(AND(Tabela1[[#This Row],[Data nascimento]]&gt;=$N$2,Tabela1[[#This Row],[Data nascimento]]&lt;=$M$2),"INICIADO",J1393)</f>
        <v>JÚNIOR</v>
      </c>
      <c r="J1393" s="9" t="str">
        <f>IF(AND(Tabela1[[#This Row],[Data nascimento]]&gt;=$P$2,Tabela1[[#This Row],[Data nascimento]]&lt;=$O$2),"JUVENIL","JÚNIOR")</f>
        <v>JÚNIOR</v>
      </c>
    </row>
    <row r="1394" spans="1:10" ht="15" x14ac:dyDescent="0.4">
      <c r="A1394" s="13" t="s">
        <v>1901</v>
      </c>
      <c r="B1394" s="2" t="s">
        <v>1902</v>
      </c>
      <c r="C1394" s="4" t="s">
        <v>8</v>
      </c>
      <c r="D1394" s="11">
        <v>41222</v>
      </c>
      <c r="E1394" s="7" t="s">
        <v>1903</v>
      </c>
      <c r="F1394" s="4" t="s">
        <v>4788</v>
      </c>
      <c r="G1394" s="12" t="str">
        <f>IF(AND(Tabela1[[#This Row],[Data nascimento]]&gt;=$J$2,Tabela1[[#This Row],[Data nascimento]]&lt;=$I$2),"INFANTIL A",H1394)</f>
        <v>INICIADO</v>
      </c>
      <c r="H1394" s="3" t="str">
        <f>IF(AND(Tabela1[[#This Row],[Data nascimento]]&gt;=$L$2,Tabela1[[#This Row],[Data nascimento]]&lt;=$K$2),"INFANTIL B",I1394)</f>
        <v>INICIADO</v>
      </c>
      <c r="I1394" s="9" t="str">
        <f>IF(AND(Tabela1[[#This Row],[Data nascimento]]&gt;=$N$2,Tabela1[[#This Row],[Data nascimento]]&lt;=$M$2),"INICIADO",J1394)</f>
        <v>INICIADO</v>
      </c>
      <c r="J1394" s="9" t="str">
        <f>IF(AND(Tabela1[[#This Row],[Data nascimento]]&gt;=$P$2,Tabela1[[#This Row],[Data nascimento]]&lt;=$O$2),"JUVENIL","JÚNIOR")</f>
        <v>JÚNIOR</v>
      </c>
    </row>
    <row r="1395" spans="1:10" ht="15" x14ac:dyDescent="0.4">
      <c r="A1395" s="13" t="s">
        <v>1904</v>
      </c>
      <c r="B1395" s="2" t="s">
        <v>1905</v>
      </c>
      <c r="C1395" s="4" t="s">
        <v>21</v>
      </c>
      <c r="D1395" s="11">
        <v>41041</v>
      </c>
      <c r="E1395" s="7" t="s">
        <v>1906</v>
      </c>
      <c r="F1395" s="4" t="s">
        <v>4788</v>
      </c>
      <c r="G1395" s="12" t="str">
        <f>IF(AND(Tabela1[[#This Row],[Data nascimento]]&gt;=$J$2,Tabela1[[#This Row],[Data nascimento]]&lt;=$I$2),"INFANTIL A",H1395)</f>
        <v>INICIADO</v>
      </c>
      <c r="H1395" s="3" t="str">
        <f>IF(AND(Tabela1[[#This Row],[Data nascimento]]&gt;=$L$2,Tabela1[[#This Row],[Data nascimento]]&lt;=$K$2),"INFANTIL B",I1395)</f>
        <v>INICIADO</v>
      </c>
      <c r="I1395" s="9" t="str">
        <f>IF(AND(Tabela1[[#This Row],[Data nascimento]]&gt;=$N$2,Tabela1[[#This Row],[Data nascimento]]&lt;=$M$2),"INICIADO",J1395)</f>
        <v>INICIADO</v>
      </c>
      <c r="J1395" s="9" t="str">
        <f>IF(AND(Tabela1[[#This Row],[Data nascimento]]&gt;=$P$2,Tabela1[[#This Row],[Data nascimento]]&lt;=$O$2),"JUVENIL","JÚNIOR")</f>
        <v>JÚNIOR</v>
      </c>
    </row>
    <row r="1396" spans="1:10" ht="15" x14ac:dyDescent="0.4">
      <c r="A1396" s="13" t="s">
        <v>1907</v>
      </c>
      <c r="B1396" s="2" t="s">
        <v>1908</v>
      </c>
      <c r="C1396" s="4" t="s">
        <v>21</v>
      </c>
      <c r="D1396" s="11">
        <v>41046</v>
      </c>
      <c r="E1396" s="7" t="s">
        <v>1909</v>
      </c>
      <c r="F1396" s="4" t="s">
        <v>4788</v>
      </c>
      <c r="G1396" s="12" t="str">
        <f>IF(AND(Tabela1[[#This Row],[Data nascimento]]&gt;=$J$2,Tabela1[[#This Row],[Data nascimento]]&lt;=$I$2),"INFANTIL A",H1396)</f>
        <v>INICIADO</v>
      </c>
      <c r="H1396" s="3" t="str">
        <f>IF(AND(Tabela1[[#This Row],[Data nascimento]]&gt;=$L$2,Tabela1[[#This Row],[Data nascimento]]&lt;=$K$2),"INFANTIL B",I1396)</f>
        <v>INICIADO</v>
      </c>
      <c r="I1396" s="9" t="str">
        <f>IF(AND(Tabela1[[#This Row],[Data nascimento]]&gt;=$N$2,Tabela1[[#This Row],[Data nascimento]]&lt;=$M$2),"INICIADO",J1396)</f>
        <v>INICIADO</v>
      </c>
      <c r="J1396" s="9" t="str">
        <f>IF(AND(Tabela1[[#This Row],[Data nascimento]]&gt;=$P$2,Tabela1[[#This Row],[Data nascimento]]&lt;=$O$2),"JUVENIL","JÚNIOR")</f>
        <v>JÚNIOR</v>
      </c>
    </row>
    <row r="1397" spans="1:10" ht="15" x14ac:dyDescent="0.4">
      <c r="A1397" s="13" t="s">
        <v>1910</v>
      </c>
      <c r="B1397" s="2" t="s">
        <v>1911</v>
      </c>
      <c r="C1397" s="4" t="s">
        <v>21</v>
      </c>
      <c r="D1397" s="11">
        <v>40929</v>
      </c>
      <c r="E1397" s="7" t="s">
        <v>1912</v>
      </c>
      <c r="F1397" s="4" t="s">
        <v>4788</v>
      </c>
      <c r="G1397" s="12" t="str">
        <f>IF(AND(Tabela1[[#This Row],[Data nascimento]]&gt;=$J$2,Tabela1[[#This Row],[Data nascimento]]&lt;=$I$2),"INFANTIL A",H1397)</f>
        <v>INICIADO</v>
      </c>
      <c r="H1397" s="3" t="str">
        <f>IF(AND(Tabela1[[#This Row],[Data nascimento]]&gt;=$L$2,Tabela1[[#This Row],[Data nascimento]]&lt;=$K$2),"INFANTIL B",I1397)</f>
        <v>INICIADO</v>
      </c>
      <c r="I1397" s="9" t="str">
        <f>IF(AND(Tabela1[[#This Row],[Data nascimento]]&gt;=$N$2,Tabela1[[#This Row],[Data nascimento]]&lt;=$M$2),"INICIADO",J1397)</f>
        <v>INICIADO</v>
      </c>
      <c r="J1397" s="9" t="str">
        <f>IF(AND(Tabela1[[#This Row],[Data nascimento]]&gt;=$P$2,Tabela1[[#This Row],[Data nascimento]]&lt;=$O$2),"JUVENIL","JÚNIOR")</f>
        <v>JÚNIOR</v>
      </c>
    </row>
    <row r="1398" spans="1:10" ht="15" x14ac:dyDescent="0.4">
      <c r="A1398" s="13" t="s">
        <v>1913</v>
      </c>
      <c r="B1398" s="2" t="s">
        <v>1914</v>
      </c>
      <c r="C1398" s="4" t="s">
        <v>8</v>
      </c>
      <c r="D1398" s="11">
        <v>40439</v>
      </c>
      <c r="E1398" s="7" t="s">
        <v>1915</v>
      </c>
      <c r="F1398" s="4" t="s">
        <v>4788</v>
      </c>
      <c r="G1398" s="12" t="str">
        <f>IF(AND(Tabela1[[#This Row],[Data nascimento]]&gt;=$J$2,Tabela1[[#This Row],[Data nascimento]]&lt;=$I$2),"INFANTIL A",H1398)</f>
        <v>JUVENIL</v>
      </c>
      <c r="H1398" s="3" t="str">
        <f>IF(AND(Tabela1[[#This Row],[Data nascimento]]&gt;=$L$2,Tabela1[[#This Row],[Data nascimento]]&lt;=$K$2),"INFANTIL B",I1398)</f>
        <v>JUVENIL</v>
      </c>
      <c r="I1398" s="9" t="str">
        <f>IF(AND(Tabela1[[#This Row],[Data nascimento]]&gt;=$N$2,Tabela1[[#This Row],[Data nascimento]]&lt;=$M$2),"INICIADO",J1398)</f>
        <v>JUVENIL</v>
      </c>
      <c r="J1398" s="9" t="str">
        <f>IF(AND(Tabela1[[#This Row],[Data nascimento]]&gt;=$P$2,Tabela1[[#This Row],[Data nascimento]]&lt;=$O$2),"JUVENIL","JÚNIOR")</f>
        <v>JUVENIL</v>
      </c>
    </row>
    <row r="1399" spans="1:10" ht="15" x14ac:dyDescent="0.4">
      <c r="A1399" s="13" t="s">
        <v>1916</v>
      </c>
      <c r="B1399" s="2" t="s">
        <v>1917</v>
      </c>
      <c r="C1399" s="4" t="s">
        <v>8</v>
      </c>
      <c r="D1399" s="11">
        <v>40899</v>
      </c>
      <c r="E1399" s="7" t="s">
        <v>1918</v>
      </c>
      <c r="F1399" s="4" t="s">
        <v>4788</v>
      </c>
      <c r="G1399" s="12" t="str">
        <f>IF(AND(Tabela1[[#This Row],[Data nascimento]]&gt;=$J$2,Tabela1[[#This Row],[Data nascimento]]&lt;=$I$2),"INFANTIL A",H1399)</f>
        <v>INICIADO</v>
      </c>
      <c r="H1399" s="3" t="str">
        <f>IF(AND(Tabela1[[#This Row],[Data nascimento]]&gt;=$L$2,Tabela1[[#This Row],[Data nascimento]]&lt;=$K$2),"INFANTIL B",I1399)</f>
        <v>INICIADO</v>
      </c>
      <c r="I1399" s="9" t="str">
        <f>IF(AND(Tabela1[[#This Row],[Data nascimento]]&gt;=$N$2,Tabela1[[#This Row],[Data nascimento]]&lt;=$M$2),"INICIADO",J1399)</f>
        <v>INICIADO</v>
      </c>
      <c r="J1399" s="9" t="str">
        <f>IF(AND(Tabela1[[#This Row],[Data nascimento]]&gt;=$P$2,Tabela1[[#This Row],[Data nascimento]]&lt;=$O$2),"JUVENIL","JÚNIOR")</f>
        <v>JÚNIOR</v>
      </c>
    </row>
    <row r="1400" spans="1:10" ht="15" x14ac:dyDescent="0.4">
      <c r="A1400" s="13" t="s">
        <v>1919</v>
      </c>
      <c r="B1400" s="2" t="s">
        <v>1920</v>
      </c>
      <c r="C1400" s="4" t="s">
        <v>21</v>
      </c>
      <c r="D1400" s="11">
        <v>41157</v>
      </c>
      <c r="E1400" s="7" t="s">
        <v>1921</v>
      </c>
      <c r="F1400" s="4" t="s">
        <v>4788</v>
      </c>
      <c r="G1400" s="12" t="str">
        <f>IF(AND(Tabela1[[#This Row],[Data nascimento]]&gt;=$J$2,Tabela1[[#This Row],[Data nascimento]]&lt;=$I$2),"INFANTIL A",H1400)</f>
        <v>INICIADO</v>
      </c>
      <c r="H1400" s="3" t="str">
        <f>IF(AND(Tabela1[[#This Row],[Data nascimento]]&gt;=$L$2,Tabela1[[#This Row],[Data nascimento]]&lt;=$K$2),"INFANTIL B",I1400)</f>
        <v>INICIADO</v>
      </c>
      <c r="I1400" s="9" t="str">
        <f>IF(AND(Tabela1[[#This Row],[Data nascimento]]&gt;=$N$2,Tabela1[[#This Row],[Data nascimento]]&lt;=$M$2),"INICIADO",J1400)</f>
        <v>INICIADO</v>
      </c>
      <c r="J1400" s="9" t="str">
        <f>IF(AND(Tabela1[[#This Row],[Data nascimento]]&gt;=$P$2,Tabela1[[#This Row],[Data nascimento]]&lt;=$O$2),"JUVENIL","JÚNIOR")</f>
        <v>JÚNIOR</v>
      </c>
    </row>
    <row r="1401" spans="1:10" ht="15" x14ac:dyDescent="0.4">
      <c r="A1401" s="13" t="s">
        <v>1922</v>
      </c>
      <c r="B1401" s="2" t="s">
        <v>1923</v>
      </c>
      <c r="C1401" s="4" t="s">
        <v>8</v>
      </c>
      <c r="D1401" s="11">
        <v>40955</v>
      </c>
      <c r="E1401" s="7" t="s">
        <v>1924</v>
      </c>
      <c r="F1401" s="4" t="s">
        <v>4788</v>
      </c>
      <c r="G1401" s="12" t="str">
        <f>IF(AND(Tabela1[[#This Row],[Data nascimento]]&gt;=$J$2,Tabela1[[#This Row],[Data nascimento]]&lt;=$I$2),"INFANTIL A",H1401)</f>
        <v>INICIADO</v>
      </c>
      <c r="H1401" s="3" t="str">
        <f>IF(AND(Tabela1[[#This Row],[Data nascimento]]&gt;=$L$2,Tabela1[[#This Row],[Data nascimento]]&lt;=$K$2),"INFANTIL B",I1401)</f>
        <v>INICIADO</v>
      </c>
      <c r="I1401" s="9" t="str">
        <f>IF(AND(Tabela1[[#This Row],[Data nascimento]]&gt;=$N$2,Tabela1[[#This Row],[Data nascimento]]&lt;=$M$2),"INICIADO",J1401)</f>
        <v>INICIADO</v>
      </c>
      <c r="J1401" s="9" t="str">
        <f>IF(AND(Tabela1[[#This Row],[Data nascimento]]&gt;=$P$2,Tabela1[[#This Row],[Data nascimento]]&lt;=$O$2),"JUVENIL","JÚNIOR")</f>
        <v>JÚNIOR</v>
      </c>
    </row>
    <row r="1402" spans="1:10" ht="15" x14ac:dyDescent="0.4">
      <c r="A1402" s="13" t="s">
        <v>1925</v>
      </c>
      <c r="B1402" s="2" t="s">
        <v>1926</v>
      </c>
      <c r="C1402" s="4" t="s">
        <v>21</v>
      </c>
      <c r="D1402" s="11">
        <v>40887</v>
      </c>
      <c r="E1402" s="7" t="s">
        <v>1927</v>
      </c>
      <c r="F1402" s="4" t="s">
        <v>4788</v>
      </c>
      <c r="G1402" s="12" t="str">
        <f>IF(AND(Tabela1[[#This Row],[Data nascimento]]&gt;=$J$2,Tabela1[[#This Row],[Data nascimento]]&lt;=$I$2),"INFANTIL A",H1402)</f>
        <v>INICIADO</v>
      </c>
      <c r="H1402" s="3" t="str">
        <f>IF(AND(Tabela1[[#This Row],[Data nascimento]]&gt;=$L$2,Tabela1[[#This Row],[Data nascimento]]&lt;=$K$2),"INFANTIL B",I1402)</f>
        <v>INICIADO</v>
      </c>
      <c r="I1402" s="9" t="str">
        <f>IF(AND(Tabela1[[#This Row],[Data nascimento]]&gt;=$N$2,Tabela1[[#This Row],[Data nascimento]]&lt;=$M$2),"INICIADO",J1402)</f>
        <v>INICIADO</v>
      </c>
      <c r="J1402" s="9" t="str">
        <f>IF(AND(Tabela1[[#This Row],[Data nascimento]]&gt;=$P$2,Tabela1[[#This Row],[Data nascimento]]&lt;=$O$2),"JUVENIL","JÚNIOR")</f>
        <v>JÚNIOR</v>
      </c>
    </row>
    <row r="1403" spans="1:10" ht="15" x14ac:dyDescent="0.4">
      <c r="A1403" s="13" t="s">
        <v>1928</v>
      </c>
      <c r="B1403" s="2" t="s">
        <v>1929</v>
      </c>
      <c r="C1403" s="4" t="s">
        <v>21</v>
      </c>
      <c r="D1403" s="11">
        <v>41047</v>
      </c>
      <c r="E1403" s="7" t="s">
        <v>1930</v>
      </c>
      <c r="F1403" s="4" t="s">
        <v>4788</v>
      </c>
      <c r="G1403" s="12" t="str">
        <f>IF(AND(Tabela1[[#This Row],[Data nascimento]]&gt;=$J$2,Tabela1[[#This Row],[Data nascimento]]&lt;=$I$2),"INFANTIL A",H1403)</f>
        <v>INICIADO</v>
      </c>
      <c r="H1403" s="3" t="str">
        <f>IF(AND(Tabela1[[#This Row],[Data nascimento]]&gt;=$L$2,Tabela1[[#This Row],[Data nascimento]]&lt;=$K$2),"INFANTIL B",I1403)</f>
        <v>INICIADO</v>
      </c>
      <c r="I1403" s="9" t="str">
        <f>IF(AND(Tabela1[[#This Row],[Data nascimento]]&gt;=$N$2,Tabela1[[#This Row],[Data nascimento]]&lt;=$M$2),"INICIADO",J1403)</f>
        <v>INICIADO</v>
      </c>
      <c r="J1403" s="9" t="str">
        <f>IF(AND(Tabela1[[#This Row],[Data nascimento]]&gt;=$P$2,Tabela1[[#This Row],[Data nascimento]]&lt;=$O$2),"JUVENIL","JÚNIOR")</f>
        <v>JÚNIOR</v>
      </c>
    </row>
    <row r="1404" spans="1:10" ht="15" x14ac:dyDescent="0.4">
      <c r="A1404" s="13" t="s">
        <v>1931</v>
      </c>
      <c r="B1404" s="2" t="s">
        <v>1932</v>
      </c>
      <c r="C1404" s="4" t="s">
        <v>21</v>
      </c>
      <c r="D1404" s="11">
        <v>41182</v>
      </c>
      <c r="E1404" s="7" t="s">
        <v>1933</v>
      </c>
      <c r="F1404" s="4" t="s">
        <v>4788</v>
      </c>
      <c r="G1404" s="12" t="str">
        <f>IF(AND(Tabela1[[#This Row],[Data nascimento]]&gt;=$J$2,Tabela1[[#This Row],[Data nascimento]]&lt;=$I$2),"INFANTIL A",H1404)</f>
        <v>INICIADO</v>
      </c>
      <c r="H1404" s="3" t="str">
        <f>IF(AND(Tabela1[[#This Row],[Data nascimento]]&gt;=$L$2,Tabela1[[#This Row],[Data nascimento]]&lt;=$K$2),"INFANTIL B",I1404)</f>
        <v>INICIADO</v>
      </c>
      <c r="I1404" s="9" t="str">
        <f>IF(AND(Tabela1[[#This Row],[Data nascimento]]&gt;=$N$2,Tabela1[[#This Row],[Data nascimento]]&lt;=$M$2),"INICIADO",J1404)</f>
        <v>INICIADO</v>
      </c>
      <c r="J1404" s="9" t="str">
        <f>IF(AND(Tabela1[[#This Row],[Data nascimento]]&gt;=$P$2,Tabela1[[#This Row],[Data nascimento]]&lt;=$O$2),"JUVENIL","JÚNIOR")</f>
        <v>JÚNIOR</v>
      </c>
    </row>
    <row r="1405" spans="1:10" ht="15" x14ac:dyDescent="0.4">
      <c r="A1405" s="13" t="s">
        <v>1934</v>
      </c>
      <c r="B1405" s="2" t="s">
        <v>1935</v>
      </c>
      <c r="C1405" s="4" t="s">
        <v>21</v>
      </c>
      <c r="D1405" s="11">
        <v>41177</v>
      </c>
      <c r="E1405" s="7" t="s">
        <v>1936</v>
      </c>
      <c r="F1405" s="4" t="s">
        <v>4788</v>
      </c>
      <c r="G1405" s="12" t="str">
        <f>IF(AND(Tabela1[[#This Row],[Data nascimento]]&gt;=$J$2,Tabela1[[#This Row],[Data nascimento]]&lt;=$I$2),"INFANTIL A",H1405)</f>
        <v>INICIADO</v>
      </c>
      <c r="H1405" s="3" t="str">
        <f>IF(AND(Tabela1[[#This Row],[Data nascimento]]&gt;=$L$2,Tabela1[[#This Row],[Data nascimento]]&lt;=$K$2),"INFANTIL B",I1405)</f>
        <v>INICIADO</v>
      </c>
      <c r="I1405" s="9" t="str">
        <f>IF(AND(Tabela1[[#This Row],[Data nascimento]]&gt;=$N$2,Tabela1[[#This Row],[Data nascimento]]&lt;=$M$2),"INICIADO",J1405)</f>
        <v>INICIADO</v>
      </c>
      <c r="J1405" s="9" t="str">
        <f>IF(AND(Tabela1[[#This Row],[Data nascimento]]&gt;=$P$2,Tabela1[[#This Row],[Data nascimento]]&lt;=$O$2),"JUVENIL","JÚNIOR")</f>
        <v>JÚNIOR</v>
      </c>
    </row>
    <row r="1406" spans="1:10" ht="15" x14ac:dyDescent="0.4">
      <c r="A1406" s="13" t="s">
        <v>1940</v>
      </c>
      <c r="B1406" s="2" t="s">
        <v>1941</v>
      </c>
      <c r="C1406" s="4" t="s">
        <v>21</v>
      </c>
      <c r="D1406" s="11">
        <v>41062</v>
      </c>
      <c r="E1406" s="7" t="s">
        <v>1942</v>
      </c>
      <c r="F1406" s="4" t="s">
        <v>4788</v>
      </c>
      <c r="G1406" s="12" t="str">
        <f>IF(AND(Tabela1[[#This Row],[Data nascimento]]&gt;=$J$2,Tabela1[[#This Row],[Data nascimento]]&lt;=$I$2),"INFANTIL A",H1406)</f>
        <v>INICIADO</v>
      </c>
      <c r="H1406" s="3" t="str">
        <f>IF(AND(Tabela1[[#This Row],[Data nascimento]]&gt;=$L$2,Tabela1[[#This Row],[Data nascimento]]&lt;=$K$2),"INFANTIL B",I1406)</f>
        <v>INICIADO</v>
      </c>
      <c r="I1406" s="9" t="str">
        <f>IF(AND(Tabela1[[#This Row],[Data nascimento]]&gt;=$N$2,Tabela1[[#This Row],[Data nascimento]]&lt;=$M$2),"INICIADO",J1406)</f>
        <v>INICIADO</v>
      </c>
      <c r="J1406" s="9" t="str">
        <f>IF(AND(Tabela1[[#This Row],[Data nascimento]]&gt;=$P$2,Tabela1[[#This Row],[Data nascimento]]&lt;=$O$2),"JUVENIL","JÚNIOR")</f>
        <v>JÚNIOR</v>
      </c>
    </row>
    <row r="1407" spans="1:10" ht="15" x14ac:dyDescent="0.4">
      <c r="A1407" s="13" t="s">
        <v>1943</v>
      </c>
      <c r="B1407" s="2" t="s">
        <v>1944</v>
      </c>
      <c r="C1407" s="4" t="s">
        <v>21</v>
      </c>
      <c r="D1407" s="11">
        <v>40982</v>
      </c>
      <c r="E1407" s="7" t="s">
        <v>1945</v>
      </c>
      <c r="F1407" s="4" t="s">
        <v>4788</v>
      </c>
      <c r="G1407" s="12" t="str">
        <f>IF(AND(Tabela1[[#This Row],[Data nascimento]]&gt;=$J$2,Tabela1[[#This Row],[Data nascimento]]&lt;=$I$2),"INFANTIL A",H1407)</f>
        <v>INICIADO</v>
      </c>
      <c r="H1407" s="3" t="str">
        <f>IF(AND(Tabela1[[#This Row],[Data nascimento]]&gt;=$L$2,Tabela1[[#This Row],[Data nascimento]]&lt;=$K$2),"INFANTIL B",I1407)</f>
        <v>INICIADO</v>
      </c>
      <c r="I1407" s="9" t="str">
        <f>IF(AND(Tabela1[[#This Row],[Data nascimento]]&gt;=$N$2,Tabela1[[#This Row],[Data nascimento]]&lt;=$M$2),"INICIADO",J1407)</f>
        <v>INICIADO</v>
      </c>
      <c r="J1407" s="9" t="str">
        <f>IF(AND(Tabela1[[#This Row],[Data nascimento]]&gt;=$P$2,Tabela1[[#This Row],[Data nascimento]]&lt;=$O$2),"JUVENIL","JÚNIOR")</f>
        <v>JÚNIOR</v>
      </c>
    </row>
    <row r="1408" spans="1:10" ht="15" x14ac:dyDescent="0.4">
      <c r="A1408" s="13" t="s">
        <v>1946</v>
      </c>
      <c r="B1408" s="2" t="s">
        <v>1947</v>
      </c>
      <c r="C1408" s="4" t="s">
        <v>21</v>
      </c>
      <c r="D1408" s="11">
        <v>41011</v>
      </c>
      <c r="E1408" s="7" t="s">
        <v>1948</v>
      </c>
      <c r="F1408" s="4" t="s">
        <v>4788</v>
      </c>
      <c r="G1408" s="12" t="str">
        <f>IF(AND(Tabela1[[#This Row],[Data nascimento]]&gt;=$J$2,Tabela1[[#This Row],[Data nascimento]]&lt;=$I$2),"INFANTIL A",H1408)</f>
        <v>INICIADO</v>
      </c>
      <c r="H1408" s="3" t="str">
        <f>IF(AND(Tabela1[[#This Row],[Data nascimento]]&gt;=$L$2,Tabela1[[#This Row],[Data nascimento]]&lt;=$K$2),"INFANTIL B",I1408)</f>
        <v>INICIADO</v>
      </c>
      <c r="I1408" s="9" t="str">
        <f>IF(AND(Tabela1[[#This Row],[Data nascimento]]&gt;=$N$2,Tabela1[[#This Row],[Data nascimento]]&lt;=$M$2),"INICIADO",J1408)</f>
        <v>INICIADO</v>
      </c>
      <c r="J1408" s="9" t="str">
        <f>IF(AND(Tabela1[[#This Row],[Data nascimento]]&gt;=$P$2,Tabela1[[#This Row],[Data nascimento]]&lt;=$O$2),"JUVENIL","JÚNIOR")</f>
        <v>JÚNIOR</v>
      </c>
    </row>
    <row r="1409" spans="1:10" ht="15" x14ac:dyDescent="0.4">
      <c r="A1409" s="13" t="s">
        <v>1952</v>
      </c>
      <c r="B1409" s="2" t="s">
        <v>1953</v>
      </c>
      <c r="C1409" s="4" t="s">
        <v>8</v>
      </c>
      <c r="D1409" s="11">
        <v>41045</v>
      </c>
      <c r="E1409" s="7" t="s">
        <v>1954</v>
      </c>
      <c r="F1409" s="4" t="s">
        <v>4788</v>
      </c>
      <c r="G1409" s="12" t="str">
        <f>IF(AND(Tabela1[[#This Row],[Data nascimento]]&gt;=$J$2,Tabela1[[#This Row],[Data nascimento]]&lt;=$I$2),"INFANTIL A",H1409)</f>
        <v>INICIADO</v>
      </c>
      <c r="H1409" s="3" t="str">
        <f>IF(AND(Tabela1[[#This Row],[Data nascimento]]&gt;=$L$2,Tabela1[[#This Row],[Data nascimento]]&lt;=$K$2),"INFANTIL B",I1409)</f>
        <v>INICIADO</v>
      </c>
      <c r="I1409" s="9" t="str">
        <f>IF(AND(Tabela1[[#This Row],[Data nascimento]]&gt;=$N$2,Tabela1[[#This Row],[Data nascimento]]&lt;=$M$2),"INICIADO",J1409)</f>
        <v>INICIADO</v>
      </c>
      <c r="J1409" s="9" t="str">
        <f>IF(AND(Tabela1[[#This Row],[Data nascimento]]&gt;=$P$2,Tabela1[[#This Row],[Data nascimento]]&lt;=$O$2),"JUVENIL","JÚNIOR")</f>
        <v>JÚNIOR</v>
      </c>
    </row>
    <row r="1410" spans="1:10" ht="15" x14ac:dyDescent="0.4">
      <c r="A1410" s="13" t="s">
        <v>1955</v>
      </c>
      <c r="B1410" s="2" t="s">
        <v>1956</v>
      </c>
      <c r="C1410" s="4" t="s">
        <v>8</v>
      </c>
      <c r="D1410" s="11">
        <v>41114</v>
      </c>
      <c r="E1410" s="7" t="s">
        <v>1957</v>
      </c>
      <c r="F1410" s="4" t="s">
        <v>4788</v>
      </c>
      <c r="G1410" s="12" t="str">
        <f>IF(AND(Tabela1[[#This Row],[Data nascimento]]&gt;=$J$2,Tabela1[[#This Row],[Data nascimento]]&lt;=$I$2),"INFANTIL A",H1410)</f>
        <v>INICIADO</v>
      </c>
      <c r="H1410" s="3" t="str">
        <f>IF(AND(Tabela1[[#This Row],[Data nascimento]]&gt;=$L$2,Tabela1[[#This Row],[Data nascimento]]&lt;=$K$2),"INFANTIL B",I1410)</f>
        <v>INICIADO</v>
      </c>
      <c r="I1410" s="9" t="str">
        <f>IF(AND(Tabela1[[#This Row],[Data nascimento]]&gt;=$N$2,Tabela1[[#This Row],[Data nascimento]]&lt;=$M$2),"INICIADO",J1410)</f>
        <v>INICIADO</v>
      </c>
      <c r="J1410" s="9" t="str">
        <f>IF(AND(Tabela1[[#This Row],[Data nascimento]]&gt;=$P$2,Tabela1[[#This Row],[Data nascimento]]&lt;=$O$2),"JUVENIL","JÚNIOR")</f>
        <v>JÚNIOR</v>
      </c>
    </row>
    <row r="1411" spans="1:10" ht="15" x14ac:dyDescent="0.4">
      <c r="A1411" s="13" t="s">
        <v>1958</v>
      </c>
      <c r="B1411" s="2" t="s">
        <v>1959</v>
      </c>
      <c r="C1411" s="4" t="s">
        <v>8</v>
      </c>
      <c r="D1411" s="11">
        <v>40753</v>
      </c>
      <c r="E1411" s="7" t="s">
        <v>1960</v>
      </c>
      <c r="F1411" s="4" t="s">
        <v>4788</v>
      </c>
      <c r="G1411" s="12" t="str">
        <f>IF(AND(Tabela1[[#This Row],[Data nascimento]]&gt;=$J$2,Tabela1[[#This Row],[Data nascimento]]&lt;=$I$2),"INFANTIL A",H1411)</f>
        <v>INICIADO</v>
      </c>
      <c r="H1411" s="3" t="str">
        <f>IF(AND(Tabela1[[#This Row],[Data nascimento]]&gt;=$L$2,Tabela1[[#This Row],[Data nascimento]]&lt;=$K$2),"INFANTIL B",I1411)</f>
        <v>INICIADO</v>
      </c>
      <c r="I1411" s="9" t="str">
        <f>IF(AND(Tabela1[[#This Row],[Data nascimento]]&gt;=$N$2,Tabela1[[#This Row],[Data nascimento]]&lt;=$M$2),"INICIADO",J1411)</f>
        <v>INICIADO</v>
      </c>
      <c r="J1411" s="9" t="str">
        <f>IF(AND(Tabela1[[#This Row],[Data nascimento]]&gt;=$P$2,Tabela1[[#This Row],[Data nascimento]]&lt;=$O$2),"JUVENIL","JÚNIOR")</f>
        <v>JÚNIOR</v>
      </c>
    </row>
    <row r="1412" spans="1:10" ht="15" x14ac:dyDescent="0.4">
      <c r="A1412" s="13" t="s">
        <v>1961</v>
      </c>
      <c r="B1412" s="2" t="s">
        <v>1962</v>
      </c>
      <c r="C1412" s="4" t="s">
        <v>21</v>
      </c>
      <c r="D1412" s="11">
        <v>40889</v>
      </c>
      <c r="E1412" s="7" t="s">
        <v>1963</v>
      </c>
      <c r="F1412" s="4" t="s">
        <v>4789</v>
      </c>
      <c r="G1412" s="12" t="str">
        <f>IF(AND(Tabela1[[#This Row],[Data nascimento]]&gt;=$J$2,Tabela1[[#This Row],[Data nascimento]]&lt;=$I$2),"INFANTIL A",H1412)</f>
        <v>INICIADO</v>
      </c>
      <c r="H1412" s="3" t="str">
        <f>IF(AND(Tabela1[[#This Row],[Data nascimento]]&gt;=$L$2,Tabela1[[#This Row],[Data nascimento]]&lt;=$K$2),"INFANTIL B",I1412)</f>
        <v>INICIADO</v>
      </c>
      <c r="I1412" s="9" t="str">
        <f>IF(AND(Tabela1[[#This Row],[Data nascimento]]&gt;=$N$2,Tabela1[[#This Row],[Data nascimento]]&lt;=$M$2),"INICIADO",J1412)</f>
        <v>INICIADO</v>
      </c>
      <c r="J1412" s="9" t="str">
        <f>IF(AND(Tabela1[[#This Row],[Data nascimento]]&gt;=$P$2,Tabela1[[#This Row],[Data nascimento]]&lt;=$O$2),"JUVENIL","JÚNIOR")</f>
        <v>JÚNIOR</v>
      </c>
    </row>
    <row r="1413" spans="1:10" ht="15" x14ac:dyDescent="0.4">
      <c r="A1413" s="13" t="s">
        <v>1964</v>
      </c>
      <c r="B1413" s="2" t="s">
        <v>1965</v>
      </c>
      <c r="C1413" s="4" t="s">
        <v>21</v>
      </c>
      <c r="D1413" s="11">
        <v>40969</v>
      </c>
      <c r="E1413" s="7" t="s">
        <v>1966</v>
      </c>
      <c r="F1413" s="4" t="s">
        <v>4789</v>
      </c>
      <c r="G1413" s="12" t="str">
        <f>IF(AND(Tabela1[[#This Row],[Data nascimento]]&gt;=$J$2,Tabela1[[#This Row],[Data nascimento]]&lt;=$I$2),"INFANTIL A",H1413)</f>
        <v>INICIADO</v>
      </c>
      <c r="H1413" s="3" t="str">
        <f>IF(AND(Tabela1[[#This Row],[Data nascimento]]&gt;=$L$2,Tabela1[[#This Row],[Data nascimento]]&lt;=$K$2),"INFANTIL B",I1413)</f>
        <v>INICIADO</v>
      </c>
      <c r="I1413" s="9" t="str">
        <f>IF(AND(Tabela1[[#This Row],[Data nascimento]]&gt;=$N$2,Tabela1[[#This Row],[Data nascimento]]&lt;=$M$2),"INICIADO",J1413)</f>
        <v>INICIADO</v>
      </c>
      <c r="J1413" s="9" t="str">
        <f>IF(AND(Tabela1[[#This Row],[Data nascimento]]&gt;=$P$2,Tabela1[[#This Row],[Data nascimento]]&lt;=$O$2),"JUVENIL","JÚNIOR")</f>
        <v>JÚNIOR</v>
      </c>
    </row>
    <row r="1414" spans="1:10" ht="15" x14ac:dyDescent="0.4">
      <c r="A1414" s="13" t="s">
        <v>1967</v>
      </c>
      <c r="B1414" s="2" t="s">
        <v>1968</v>
      </c>
      <c r="C1414" s="4" t="s">
        <v>8</v>
      </c>
      <c r="D1414" s="11">
        <v>40788</v>
      </c>
      <c r="E1414" s="7" t="s">
        <v>1969</v>
      </c>
      <c r="F1414" s="4" t="s">
        <v>4789</v>
      </c>
      <c r="G1414" s="12" t="str">
        <f>IF(AND(Tabela1[[#This Row],[Data nascimento]]&gt;=$J$2,Tabela1[[#This Row],[Data nascimento]]&lt;=$I$2),"INFANTIL A",H1414)</f>
        <v>INICIADO</v>
      </c>
      <c r="H1414" s="3" t="str">
        <f>IF(AND(Tabela1[[#This Row],[Data nascimento]]&gt;=$L$2,Tabela1[[#This Row],[Data nascimento]]&lt;=$K$2),"INFANTIL B",I1414)</f>
        <v>INICIADO</v>
      </c>
      <c r="I1414" s="9" t="str">
        <f>IF(AND(Tabela1[[#This Row],[Data nascimento]]&gt;=$N$2,Tabela1[[#This Row],[Data nascimento]]&lt;=$M$2),"INICIADO",J1414)</f>
        <v>INICIADO</v>
      </c>
      <c r="J1414" s="9" t="str">
        <f>IF(AND(Tabela1[[#This Row],[Data nascimento]]&gt;=$P$2,Tabela1[[#This Row],[Data nascimento]]&lt;=$O$2),"JUVENIL","JÚNIOR")</f>
        <v>JÚNIOR</v>
      </c>
    </row>
    <row r="1415" spans="1:10" ht="15" x14ac:dyDescent="0.4">
      <c r="A1415" s="13" t="s">
        <v>1970</v>
      </c>
      <c r="B1415" s="2" t="s">
        <v>1971</v>
      </c>
      <c r="C1415" s="4" t="s">
        <v>8</v>
      </c>
      <c r="D1415" s="11">
        <v>41153</v>
      </c>
      <c r="E1415" s="7" t="s">
        <v>1972</v>
      </c>
      <c r="F1415" s="4" t="s">
        <v>4789</v>
      </c>
      <c r="G1415" s="12" t="str">
        <f>IF(AND(Tabela1[[#This Row],[Data nascimento]]&gt;=$J$2,Tabela1[[#This Row],[Data nascimento]]&lt;=$I$2),"INFANTIL A",H1415)</f>
        <v>INICIADO</v>
      </c>
      <c r="H1415" s="3" t="str">
        <f>IF(AND(Tabela1[[#This Row],[Data nascimento]]&gt;=$L$2,Tabela1[[#This Row],[Data nascimento]]&lt;=$K$2),"INFANTIL B",I1415)</f>
        <v>INICIADO</v>
      </c>
      <c r="I1415" s="9" t="str">
        <f>IF(AND(Tabela1[[#This Row],[Data nascimento]]&gt;=$N$2,Tabela1[[#This Row],[Data nascimento]]&lt;=$M$2),"INICIADO",J1415)</f>
        <v>INICIADO</v>
      </c>
      <c r="J1415" s="9" t="str">
        <f>IF(AND(Tabela1[[#This Row],[Data nascimento]]&gt;=$P$2,Tabela1[[#This Row],[Data nascimento]]&lt;=$O$2),"JUVENIL","JÚNIOR")</f>
        <v>JÚNIOR</v>
      </c>
    </row>
    <row r="1416" spans="1:10" ht="15" x14ac:dyDescent="0.4">
      <c r="A1416" s="13" t="s">
        <v>1973</v>
      </c>
      <c r="B1416" s="2" t="s">
        <v>1974</v>
      </c>
      <c r="C1416" s="4" t="s">
        <v>21</v>
      </c>
      <c r="D1416" s="11">
        <v>40747</v>
      </c>
      <c r="E1416" s="7" t="s">
        <v>1975</v>
      </c>
      <c r="F1416" s="4" t="s">
        <v>4789</v>
      </c>
      <c r="G1416" s="12" t="str">
        <f>IF(AND(Tabela1[[#This Row],[Data nascimento]]&gt;=$J$2,Tabela1[[#This Row],[Data nascimento]]&lt;=$I$2),"INFANTIL A",H1416)</f>
        <v>INICIADO</v>
      </c>
      <c r="H1416" s="3" t="str">
        <f>IF(AND(Tabela1[[#This Row],[Data nascimento]]&gt;=$L$2,Tabela1[[#This Row],[Data nascimento]]&lt;=$K$2),"INFANTIL B",I1416)</f>
        <v>INICIADO</v>
      </c>
      <c r="I1416" s="9" t="str">
        <f>IF(AND(Tabela1[[#This Row],[Data nascimento]]&gt;=$N$2,Tabela1[[#This Row],[Data nascimento]]&lt;=$M$2),"INICIADO",J1416)</f>
        <v>INICIADO</v>
      </c>
      <c r="J1416" s="9" t="str">
        <f>IF(AND(Tabela1[[#This Row],[Data nascimento]]&gt;=$P$2,Tabela1[[#This Row],[Data nascimento]]&lt;=$O$2),"JUVENIL","JÚNIOR")</f>
        <v>JÚNIOR</v>
      </c>
    </row>
    <row r="1417" spans="1:10" ht="15" x14ac:dyDescent="0.4">
      <c r="A1417" s="13" t="s">
        <v>1976</v>
      </c>
      <c r="B1417" s="2" t="s">
        <v>1977</v>
      </c>
      <c r="C1417" s="4" t="s">
        <v>8</v>
      </c>
      <c r="D1417" s="11">
        <v>41182</v>
      </c>
      <c r="E1417" s="7" t="s">
        <v>1978</v>
      </c>
      <c r="F1417" s="4" t="s">
        <v>4789</v>
      </c>
      <c r="G1417" s="12" t="str">
        <f>IF(AND(Tabela1[[#This Row],[Data nascimento]]&gt;=$J$2,Tabela1[[#This Row],[Data nascimento]]&lt;=$I$2),"INFANTIL A",H1417)</f>
        <v>INICIADO</v>
      </c>
      <c r="H1417" s="3" t="str">
        <f>IF(AND(Tabela1[[#This Row],[Data nascimento]]&gt;=$L$2,Tabela1[[#This Row],[Data nascimento]]&lt;=$K$2),"INFANTIL B",I1417)</f>
        <v>INICIADO</v>
      </c>
      <c r="I1417" s="9" t="str">
        <f>IF(AND(Tabela1[[#This Row],[Data nascimento]]&gt;=$N$2,Tabela1[[#This Row],[Data nascimento]]&lt;=$M$2),"INICIADO",J1417)</f>
        <v>INICIADO</v>
      </c>
      <c r="J1417" s="9" t="str">
        <f>IF(AND(Tabela1[[#This Row],[Data nascimento]]&gt;=$P$2,Tabela1[[#This Row],[Data nascimento]]&lt;=$O$2),"JUVENIL","JÚNIOR")</f>
        <v>JÚNIOR</v>
      </c>
    </row>
    <row r="1418" spans="1:10" ht="15" x14ac:dyDescent="0.4">
      <c r="A1418" s="13" t="s">
        <v>1979</v>
      </c>
      <c r="B1418" s="2" t="s">
        <v>1980</v>
      </c>
      <c r="C1418" s="4" t="s">
        <v>8</v>
      </c>
      <c r="D1418" s="11">
        <v>40946</v>
      </c>
      <c r="E1418" s="7" t="s">
        <v>1981</v>
      </c>
      <c r="F1418" s="4" t="s">
        <v>4789</v>
      </c>
      <c r="G1418" s="12" t="str">
        <f>IF(AND(Tabela1[[#This Row],[Data nascimento]]&gt;=$J$2,Tabela1[[#This Row],[Data nascimento]]&lt;=$I$2),"INFANTIL A",H1418)</f>
        <v>INICIADO</v>
      </c>
      <c r="H1418" s="3" t="str">
        <f>IF(AND(Tabela1[[#This Row],[Data nascimento]]&gt;=$L$2,Tabela1[[#This Row],[Data nascimento]]&lt;=$K$2),"INFANTIL B",I1418)</f>
        <v>INICIADO</v>
      </c>
      <c r="I1418" s="9" t="str">
        <f>IF(AND(Tabela1[[#This Row],[Data nascimento]]&gt;=$N$2,Tabela1[[#This Row],[Data nascimento]]&lt;=$M$2),"INICIADO",J1418)</f>
        <v>INICIADO</v>
      </c>
      <c r="J1418" s="9" t="str">
        <f>IF(AND(Tabela1[[#This Row],[Data nascimento]]&gt;=$P$2,Tabela1[[#This Row],[Data nascimento]]&lt;=$O$2),"JUVENIL","JÚNIOR")</f>
        <v>JÚNIOR</v>
      </c>
    </row>
    <row r="1419" spans="1:10" ht="15" x14ac:dyDescent="0.4">
      <c r="A1419" s="13" t="s">
        <v>1982</v>
      </c>
      <c r="B1419" s="2" t="s">
        <v>1983</v>
      </c>
      <c r="C1419" s="4" t="s">
        <v>8</v>
      </c>
      <c r="D1419" s="11">
        <v>40812</v>
      </c>
      <c r="E1419" s="7" t="s">
        <v>1984</v>
      </c>
      <c r="F1419" s="4" t="s">
        <v>4789</v>
      </c>
      <c r="G1419" s="12" t="str">
        <f>IF(AND(Tabela1[[#This Row],[Data nascimento]]&gt;=$J$2,Tabela1[[#This Row],[Data nascimento]]&lt;=$I$2),"INFANTIL A",H1419)</f>
        <v>INICIADO</v>
      </c>
      <c r="H1419" s="3" t="str">
        <f>IF(AND(Tabela1[[#This Row],[Data nascimento]]&gt;=$L$2,Tabela1[[#This Row],[Data nascimento]]&lt;=$K$2),"INFANTIL B",I1419)</f>
        <v>INICIADO</v>
      </c>
      <c r="I1419" s="9" t="str">
        <f>IF(AND(Tabela1[[#This Row],[Data nascimento]]&gt;=$N$2,Tabela1[[#This Row],[Data nascimento]]&lt;=$M$2),"INICIADO",J1419)</f>
        <v>INICIADO</v>
      </c>
      <c r="J1419" s="9" t="str">
        <f>IF(AND(Tabela1[[#This Row],[Data nascimento]]&gt;=$P$2,Tabela1[[#This Row],[Data nascimento]]&lt;=$O$2),"JUVENIL","JÚNIOR")</f>
        <v>JÚNIOR</v>
      </c>
    </row>
    <row r="1420" spans="1:10" ht="15" x14ac:dyDescent="0.4">
      <c r="A1420" s="13" t="s">
        <v>1985</v>
      </c>
      <c r="B1420" s="2" t="s">
        <v>1986</v>
      </c>
      <c r="C1420" s="4" t="s">
        <v>8</v>
      </c>
      <c r="D1420" s="11">
        <v>41110</v>
      </c>
      <c r="E1420" s="7" t="s">
        <v>1987</v>
      </c>
      <c r="F1420" s="4" t="s">
        <v>4789</v>
      </c>
      <c r="G1420" s="12" t="str">
        <f>IF(AND(Tabela1[[#This Row],[Data nascimento]]&gt;=$J$2,Tabela1[[#This Row],[Data nascimento]]&lt;=$I$2),"INFANTIL A",H1420)</f>
        <v>INICIADO</v>
      </c>
      <c r="H1420" s="3" t="str">
        <f>IF(AND(Tabela1[[#This Row],[Data nascimento]]&gt;=$L$2,Tabela1[[#This Row],[Data nascimento]]&lt;=$K$2),"INFANTIL B",I1420)</f>
        <v>INICIADO</v>
      </c>
      <c r="I1420" s="9" t="str">
        <f>IF(AND(Tabela1[[#This Row],[Data nascimento]]&gt;=$N$2,Tabela1[[#This Row],[Data nascimento]]&lt;=$M$2),"INICIADO",J1420)</f>
        <v>INICIADO</v>
      </c>
      <c r="J1420" s="9" t="str">
        <f>IF(AND(Tabela1[[#This Row],[Data nascimento]]&gt;=$P$2,Tabela1[[#This Row],[Data nascimento]]&lt;=$O$2),"JUVENIL","JÚNIOR")</f>
        <v>JÚNIOR</v>
      </c>
    </row>
    <row r="1421" spans="1:10" ht="15" x14ac:dyDescent="0.4">
      <c r="A1421" s="13" t="s">
        <v>1988</v>
      </c>
      <c r="B1421" s="2" t="s">
        <v>1989</v>
      </c>
      <c r="C1421" s="4" t="s">
        <v>8</v>
      </c>
      <c r="D1421" s="11">
        <v>40833</v>
      </c>
      <c r="E1421" s="7" t="s">
        <v>1990</v>
      </c>
      <c r="F1421" s="4" t="s">
        <v>4789</v>
      </c>
      <c r="G1421" s="12" t="str">
        <f>IF(AND(Tabela1[[#This Row],[Data nascimento]]&gt;=$J$2,Tabela1[[#This Row],[Data nascimento]]&lt;=$I$2),"INFANTIL A",H1421)</f>
        <v>INICIADO</v>
      </c>
      <c r="H1421" s="3" t="str">
        <f>IF(AND(Tabela1[[#This Row],[Data nascimento]]&gt;=$L$2,Tabela1[[#This Row],[Data nascimento]]&lt;=$K$2),"INFANTIL B",I1421)</f>
        <v>INICIADO</v>
      </c>
      <c r="I1421" s="9" t="str">
        <f>IF(AND(Tabela1[[#This Row],[Data nascimento]]&gt;=$N$2,Tabela1[[#This Row],[Data nascimento]]&lt;=$M$2),"INICIADO",J1421)</f>
        <v>INICIADO</v>
      </c>
      <c r="J1421" s="9" t="str">
        <f>IF(AND(Tabela1[[#This Row],[Data nascimento]]&gt;=$P$2,Tabela1[[#This Row],[Data nascimento]]&lt;=$O$2),"JUVENIL","JÚNIOR")</f>
        <v>JÚNIOR</v>
      </c>
    </row>
    <row r="1422" spans="1:10" ht="15" x14ac:dyDescent="0.4">
      <c r="A1422" s="13" t="s">
        <v>1991</v>
      </c>
      <c r="B1422" s="2" t="s">
        <v>1992</v>
      </c>
      <c r="C1422" s="4" t="s">
        <v>8</v>
      </c>
      <c r="D1422" s="11">
        <v>40726</v>
      </c>
      <c r="E1422" s="7" t="s">
        <v>1993</v>
      </c>
      <c r="F1422" s="4" t="s">
        <v>4789</v>
      </c>
      <c r="G1422" s="12" t="str">
        <f>IF(AND(Tabela1[[#This Row],[Data nascimento]]&gt;=$J$2,Tabela1[[#This Row],[Data nascimento]]&lt;=$I$2),"INFANTIL A",H1422)</f>
        <v>INICIADO</v>
      </c>
      <c r="H1422" s="3" t="str">
        <f>IF(AND(Tabela1[[#This Row],[Data nascimento]]&gt;=$L$2,Tabela1[[#This Row],[Data nascimento]]&lt;=$K$2),"INFANTIL B",I1422)</f>
        <v>INICIADO</v>
      </c>
      <c r="I1422" s="9" t="str">
        <f>IF(AND(Tabela1[[#This Row],[Data nascimento]]&gt;=$N$2,Tabela1[[#This Row],[Data nascimento]]&lt;=$M$2),"INICIADO",J1422)</f>
        <v>INICIADO</v>
      </c>
      <c r="J1422" s="9" t="str">
        <f>IF(AND(Tabela1[[#This Row],[Data nascimento]]&gt;=$P$2,Tabela1[[#This Row],[Data nascimento]]&lt;=$O$2),"JUVENIL","JÚNIOR")</f>
        <v>JÚNIOR</v>
      </c>
    </row>
    <row r="1423" spans="1:10" ht="15" x14ac:dyDescent="0.4">
      <c r="A1423" s="13" t="s">
        <v>1994</v>
      </c>
      <c r="B1423" s="2" t="s">
        <v>1995</v>
      </c>
      <c r="C1423" s="4" t="s">
        <v>8</v>
      </c>
      <c r="D1423" s="11">
        <v>40331</v>
      </c>
      <c r="E1423" s="7" t="s">
        <v>1996</v>
      </c>
      <c r="F1423" s="4" t="s">
        <v>4789</v>
      </c>
      <c r="G1423" s="12" t="str">
        <f>IF(AND(Tabela1[[#This Row],[Data nascimento]]&gt;=$J$2,Tabela1[[#This Row],[Data nascimento]]&lt;=$I$2),"INFANTIL A",H1423)</f>
        <v>JUVENIL</v>
      </c>
      <c r="H1423" s="3" t="str">
        <f>IF(AND(Tabela1[[#This Row],[Data nascimento]]&gt;=$L$2,Tabela1[[#This Row],[Data nascimento]]&lt;=$K$2),"INFANTIL B",I1423)</f>
        <v>JUVENIL</v>
      </c>
      <c r="I1423" s="9" t="str">
        <f>IF(AND(Tabela1[[#This Row],[Data nascimento]]&gt;=$N$2,Tabela1[[#This Row],[Data nascimento]]&lt;=$M$2),"INICIADO",J1423)</f>
        <v>JUVENIL</v>
      </c>
      <c r="J1423" s="9" t="str">
        <f>IF(AND(Tabela1[[#This Row],[Data nascimento]]&gt;=$P$2,Tabela1[[#This Row],[Data nascimento]]&lt;=$O$2),"JUVENIL","JÚNIOR")</f>
        <v>JUVENIL</v>
      </c>
    </row>
    <row r="1424" spans="1:10" ht="15" x14ac:dyDescent="0.4">
      <c r="A1424" s="13" t="s">
        <v>1997</v>
      </c>
      <c r="B1424" s="2" t="s">
        <v>1998</v>
      </c>
      <c r="C1424" s="4" t="s">
        <v>8</v>
      </c>
      <c r="D1424" s="11">
        <v>41348</v>
      </c>
      <c r="E1424" s="7" t="s">
        <v>1999</v>
      </c>
      <c r="F1424" s="4" t="s">
        <v>4789</v>
      </c>
      <c r="G1424" s="12" t="str">
        <f>IF(AND(Tabela1[[#This Row],[Data nascimento]]&gt;=$J$2,Tabela1[[#This Row],[Data nascimento]]&lt;=$I$2),"INFANTIL A",H1424)</f>
        <v>INFANTIL B</v>
      </c>
      <c r="H1424" s="3" t="str">
        <f>IF(AND(Tabela1[[#This Row],[Data nascimento]]&gt;=$L$2,Tabela1[[#This Row],[Data nascimento]]&lt;=$K$2),"INFANTIL B",I1424)</f>
        <v>INFANTIL B</v>
      </c>
      <c r="I1424" s="9" t="str">
        <f>IF(AND(Tabela1[[#This Row],[Data nascimento]]&gt;=$N$2,Tabela1[[#This Row],[Data nascimento]]&lt;=$M$2),"INICIADO",J1424)</f>
        <v>JÚNIOR</v>
      </c>
      <c r="J1424" s="9" t="str">
        <f>IF(AND(Tabela1[[#This Row],[Data nascimento]]&gt;=$P$2,Tabela1[[#This Row],[Data nascimento]]&lt;=$O$2),"JUVENIL","JÚNIOR")</f>
        <v>JÚNIOR</v>
      </c>
    </row>
    <row r="1425" spans="1:10" ht="15" x14ac:dyDescent="0.4">
      <c r="A1425" s="13" t="s">
        <v>2000</v>
      </c>
      <c r="B1425" s="2" t="s">
        <v>2001</v>
      </c>
      <c r="C1425" s="4" t="s">
        <v>8</v>
      </c>
      <c r="D1425" s="11">
        <v>40764</v>
      </c>
      <c r="E1425" s="7" t="s">
        <v>2002</v>
      </c>
      <c r="F1425" s="4" t="s">
        <v>4789</v>
      </c>
      <c r="G1425" s="12" t="str">
        <f>IF(AND(Tabela1[[#This Row],[Data nascimento]]&gt;=$J$2,Tabela1[[#This Row],[Data nascimento]]&lt;=$I$2),"INFANTIL A",H1425)</f>
        <v>INICIADO</v>
      </c>
      <c r="H1425" s="3" t="str">
        <f>IF(AND(Tabela1[[#This Row],[Data nascimento]]&gt;=$L$2,Tabela1[[#This Row],[Data nascimento]]&lt;=$K$2),"INFANTIL B",I1425)</f>
        <v>INICIADO</v>
      </c>
      <c r="I1425" s="9" t="str">
        <f>IF(AND(Tabela1[[#This Row],[Data nascimento]]&gt;=$N$2,Tabela1[[#This Row],[Data nascimento]]&lt;=$M$2),"INICIADO",J1425)</f>
        <v>INICIADO</v>
      </c>
      <c r="J1425" s="9" t="str">
        <f>IF(AND(Tabela1[[#This Row],[Data nascimento]]&gt;=$P$2,Tabela1[[#This Row],[Data nascimento]]&lt;=$O$2),"JUVENIL","JÚNIOR")</f>
        <v>JÚNIOR</v>
      </c>
    </row>
    <row r="1426" spans="1:10" ht="15" x14ac:dyDescent="0.4">
      <c r="A1426" s="13" t="s">
        <v>2003</v>
      </c>
      <c r="B1426" s="2" t="s">
        <v>2004</v>
      </c>
      <c r="C1426" s="4" t="s">
        <v>21</v>
      </c>
      <c r="D1426" s="11">
        <v>40759</v>
      </c>
      <c r="E1426" s="7" t="s">
        <v>2005</v>
      </c>
      <c r="F1426" s="4" t="s">
        <v>4789</v>
      </c>
      <c r="G1426" s="12" t="str">
        <f>IF(AND(Tabela1[[#This Row],[Data nascimento]]&gt;=$J$2,Tabela1[[#This Row],[Data nascimento]]&lt;=$I$2),"INFANTIL A",H1426)</f>
        <v>INICIADO</v>
      </c>
      <c r="H1426" s="3" t="str">
        <f>IF(AND(Tabela1[[#This Row],[Data nascimento]]&gt;=$L$2,Tabela1[[#This Row],[Data nascimento]]&lt;=$K$2),"INFANTIL B",I1426)</f>
        <v>INICIADO</v>
      </c>
      <c r="I1426" s="9" t="str">
        <f>IF(AND(Tabela1[[#This Row],[Data nascimento]]&gt;=$N$2,Tabela1[[#This Row],[Data nascimento]]&lt;=$M$2),"INICIADO",J1426)</f>
        <v>INICIADO</v>
      </c>
      <c r="J1426" s="9" t="str">
        <f>IF(AND(Tabela1[[#This Row],[Data nascimento]]&gt;=$P$2,Tabela1[[#This Row],[Data nascimento]]&lt;=$O$2),"JUVENIL","JÚNIOR")</f>
        <v>JÚNIOR</v>
      </c>
    </row>
    <row r="1427" spans="1:10" ht="15" x14ac:dyDescent="0.4">
      <c r="A1427" s="13" t="s">
        <v>2006</v>
      </c>
      <c r="B1427" s="2" t="s">
        <v>2007</v>
      </c>
      <c r="C1427" s="4" t="s">
        <v>21</v>
      </c>
      <c r="D1427" s="11">
        <v>40926</v>
      </c>
      <c r="E1427" s="7" t="s">
        <v>2008</v>
      </c>
      <c r="F1427" s="4" t="s">
        <v>4789</v>
      </c>
      <c r="G1427" s="12" t="str">
        <f>IF(AND(Tabela1[[#This Row],[Data nascimento]]&gt;=$J$2,Tabela1[[#This Row],[Data nascimento]]&lt;=$I$2),"INFANTIL A",H1427)</f>
        <v>INICIADO</v>
      </c>
      <c r="H1427" s="3" t="str">
        <f>IF(AND(Tabela1[[#This Row],[Data nascimento]]&gt;=$L$2,Tabela1[[#This Row],[Data nascimento]]&lt;=$K$2),"INFANTIL B",I1427)</f>
        <v>INICIADO</v>
      </c>
      <c r="I1427" s="9" t="str">
        <f>IF(AND(Tabela1[[#This Row],[Data nascimento]]&gt;=$N$2,Tabela1[[#This Row],[Data nascimento]]&lt;=$M$2),"INICIADO",J1427)</f>
        <v>INICIADO</v>
      </c>
      <c r="J1427" s="9" t="str">
        <f>IF(AND(Tabela1[[#This Row],[Data nascimento]]&gt;=$P$2,Tabela1[[#This Row],[Data nascimento]]&lt;=$O$2),"JUVENIL","JÚNIOR")</f>
        <v>JÚNIOR</v>
      </c>
    </row>
    <row r="1428" spans="1:10" ht="15" x14ac:dyDescent="0.4">
      <c r="A1428" s="13" t="s">
        <v>2009</v>
      </c>
      <c r="B1428" s="2" t="s">
        <v>2010</v>
      </c>
      <c r="C1428" s="4" t="s">
        <v>8</v>
      </c>
      <c r="D1428" s="11">
        <v>41066</v>
      </c>
      <c r="E1428" s="7" t="s">
        <v>2011</v>
      </c>
      <c r="F1428" s="4" t="s">
        <v>4789</v>
      </c>
      <c r="G1428" s="12" t="str">
        <f>IF(AND(Tabela1[[#This Row],[Data nascimento]]&gt;=$J$2,Tabela1[[#This Row],[Data nascimento]]&lt;=$I$2),"INFANTIL A",H1428)</f>
        <v>INICIADO</v>
      </c>
      <c r="H1428" s="3" t="str">
        <f>IF(AND(Tabela1[[#This Row],[Data nascimento]]&gt;=$L$2,Tabela1[[#This Row],[Data nascimento]]&lt;=$K$2),"INFANTIL B",I1428)</f>
        <v>INICIADO</v>
      </c>
      <c r="I1428" s="9" t="str">
        <f>IF(AND(Tabela1[[#This Row],[Data nascimento]]&gt;=$N$2,Tabela1[[#This Row],[Data nascimento]]&lt;=$M$2),"INICIADO",J1428)</f>
        <v>INICIADO</v>
      </c>
      <c r="J1428" s="9" t="str">
        <f>IF(AND(Tabela1[[#This Row],[Data nascimento]]&gt;=$P$2,Tabela1[[#This Row],[Data nascimento]]&lt;=$O$2),"JUVENIL","JÚNIOR")</f>
        <v>JÚNIOR</v>
      </c>
    </row>
    <row r="1429" spans="1:10" ht="15" x14ac:dyDescent="0.4">
      <c r="A1429" s="13" t="s">
        <v>2012</v>
      </c>
      <c r="B1429" s="2" t="s">
        <v>2013</v>
      </c>
      <c r="C1429" s="4" t="s">
        <v>21</v>
      </c>
      <c r="D1429" s="11">
        <v>40391</v>
      </c>
      <c r="E1429" s="7" t="s">
        <v>2014</v>
      </c>
      <c r="F1429" s="4" t="s">
        <v>4789</v>
      </c>
      <c r="G1429" s="12" t="str">
        <f>IF(AND(Tabela1[[#This Row],[Data nascimento]]&gt;=$J$2,Tabela1[[#This Row],[Data nascimento]]&lt;=$I$2),"INFANTIL A",H1429)</f>
        <v>JUVENIL</v>
      </c>
      <c r="H1429" s="3" t="str">
        <f>IF(AND(Tabela1[[#This Row],[Data nascimento]]&gt;=$L$2,Tabela1[[#This Row],[Data nascimento]]&lt;=$K$2),"INFANTIL B",I1429)</f>
        <v>JUVENIL</v>
      </c>
      <c r="I1429" s="9" t="str">
        <f>IF(AND(Tabela1[[#This Row],[Data nascimento]]&gt;=$N$2,Tabela1[[#This Row],[Data nascimento]]&lt;=$M$2),"INICIADO",J1429)</f>
        <v>JUVENIL</v>
      </c>
      <c r="J1429" s="9" t="str">
        <f>IF(AND(Tabela1[[#This Row],[Data nascimento]]&gt;=$P$2,Tabela1[[#This Row],[Data nascimento]]&lt;=$O$2),"JUVENIL","JÚNIOR")</f>
        <v>JUVENIL</v>
      </c>
    </row>
    <row r="1430" spans="1:10" ht="15" x14ac:dyDescent="0.4">
      <c r="A1430" s="13" t="s">
        <v>2015</v>
      </c>
      <c r="B1430" s="2" t="s">
        <v>2016</v>
      </c>
      <c r="C1430" s="4" t="s">
        <v>21</v>
      </c>
      <c r="D1430" s="11">
        <v>40928</v>
      </c>
      <c r="E1430" s="7" t="s">
        <v>2017</v>
      </c>
      <c r="F1430" s="4" t="s">
        <v>4790</v>
      </c>
      <c r="G1430" s="12" t="str">
        <f>IF(AND(Tabela1[[#This Row],[Data nascimento]]&gt;=$J$2,Tabela1[[#This Row],[Data nascimento]]&lt;=$I$2),"INFANTIL A",H1430)</f>
        <v>INICIADO</v>
      </c>
      <c r="H1430" s="3" t="str">
        <f>IF(AND(Tabela1[[#This Row],[Data nascimento]]&gt;=$L$2,Tabela1[[#This Row],[Data nascimento]]&lt;=$K$2),"INFANTIL B",I1430)</f>
        <v>INICIADO</v>
      </c>
      <c r="I1430" s="9" t="str">
        <f>IF(AND(Tabela1[[#This Row],[Data nascimento]]&gt;=$N$2,Tabela1[[#This Row],[Data nascimento]]&lt;=$M$2),"INICIADO",J1430)</f>
        <v>INICIADO</v>
      </c>
      <c r="J1430" s="9" t="str">
        <f>IF(AND(Tabela1[[#This Row],[Data nascimento]]&gt;=$P$2,Tabela1[[#This Row],[Data nascimento]]&lt;=$O$2),"JUVENIL","JÚNIOR")</f>
        <v>JÚNIOR</v>
      </c>
    </row>
    <row r="1431" spans="1:10" ht="15" x14ac:dyDescent="0.4">
      <c r="A1431" s="13" t="s">
        <v>2018</v>
      </c>
      <c r="B1431" s="2" t="s">
        <v>2019</v>
      </c>
      <c r="C1431" s="4" t="s">
        <v>21</v>
      </c>
      <c r="D1431" s="11">
        <v>41103</v>
      </c>
      <c r="E1431" s="7" t="s">
        <v>2020</v>
      </c>
      <c r="F1431" s="4" t="s">
        <v>4790</v>
      </c>
      <c r="G1431" s="12" t="str">
        <f>IF(AND(Tabela1[[#This Row],[Data nascimento]]&gt;=$J$2,Tabela1[[#This Row],[Data nascimento]]&lt;=$I$2),"INFANTIL A",H1431)</f>
        <v>INICIADO</v>
      </c>
      <c r="H1431" s="3" t="str">
        <f>IF(AND(Tabela1[[#This Row],[Data nascimento]]&gt;=$L$2,Tabela1[[#This Row],[Data nascimento]]&lt;=$K$2),"INFANTIL B",I1431)</f>
        <v>INICIADO</v>
      </c>
      <c r="I1431" s="9" t="str">
        <f>IF(AND(Tabela1[[#This Row],[Data nascimento]]&gt;=$N$2,Tabela1[[#This Row],[Data nascimento]]&lt;=$M$2),"INICIADO",J1431)</f>
        <v>INICIADO</v>
      </c>
      <c r="J1431" s="9" t="str">
        <f>IF(AND(Tabela1[[#This Row],[Data nascimento]]&gt;=$P$2,Tabela1[[#This Row],[Data nascimento]]&lt;=$O$2),"JUVENIL","JÚNIOR")</f>
        <v>JÚNIOR</v>
      </c>
    </row>
    <row r="1432" spans="1:10" ht="15" x14ac:dyDescent="0.4">
      <c r="A1432" s="13" t="s">
        <v>2021</v>
      </c>
      <c r="B1432" s="2" t="s">
        <v>2022</v>
      </c>
      <c r="C1432" s="4" t="s">
        <v>8</v>
      </c>
      <c r="D1432" s="11">
        <v>40838</v>
      </c>
      <c r="E1432" s="7" t="s">
        <v>2023</v>
      </c>
      <c r="F1432" s="4" t="s">
        <v>4790</v>
      </c>
      <c r="G1432" s="12" t="str">
        <f>IF(AND(Tabela1[[#This Row],[Data nascimento]]&gt;=$J$2,Tabela1[[#This Row],[Data nascimento]]&lt;=$I$2),"INFANTIL A",H1432)</f>
        <v>INICIADO</v>
      </c>
      <c r="H1432" s="3" t="str">
        <f>IF(AND(Tabela1[[#This Row],[Data nascimento]]&gt;=$L$2,Tabela1[[#This Row],[Data nascimento]]&lt;=$K$2),"INFANTIL B",I1432)</f>
        <v>INICIADO</v>
      </c>
      <c r="I1432" s="9" t="str">
        <f>IF(AND(Tabela1[[#This Row],[Data nascimento]]&gt;=$N$2,Tabela1[[#This Row],[Data nascimento]]&lt;=$M$2),"INICIADO",J1432)</f>
        <v>INICIADO</v>
      </c>
      <c r="J1432" s="9" t="str">
        <f>IF(AND(Tabela1[[#This Row],[Data nascimento]]&gt;=$P$2,Tabela1[[#This Row],[Data nascimento]]&lt;=$O$2),"JUVENIL","JÚNIOR")</f>
        <v>JÚNIOR</v>
      </c>
    </row>
    <row r="1433" spans="1:10" ht="15" x14ac:dyDescent="0.4">
      <c r="A1433" s="13" t="s">
        <v>2024</v>
      </c>
      <c r="B1433" s="2" t="s">
        <v>2025</v>
      </c>
      <c r="C1433" s="4" t="s">
        <v>8</v>
      </c>
      <c r="D1433" s="11">
        <v>40898</v>
      </c>
      <c r="E1433" s="7" t="s">
        <v>2026</v>
      </c>
      <c r="F1433" s="4" t="s">
        <v>4790</v>
      </c>
      <c r="G1433" s="12" t="str">
        <f>IF(AND(Tabela1[[#This Row],[Data nascimento]]&gt;=$J$2,Tabela1[[#This Row],[Data nascimento]]&lt;=$I$2),"INFANTIL A",H1433)</f>
        <v>INICIADO</v>
      </c>
      <c r="H1433" s="3" t="str">
        <f>IF(AND(Tabela1[[#This Row],[Data nascimento]]&gt;=$L$2,Tabela1[[#This Row],[Data nascimento]]&lt;=$K$2),"INFANTIL B",I1433)</f>
        <v>INICIADO</v>
      </c>
      <c r="I1433" s="9" t="str">
        <f>IF(AND(Tabela1[[#This Row],[Data nascimento]]&gt;=$N$2,Tabela1[[#This Row],[Data nascimento]]&lt;=$M$2),"INICIADO",J1433)</f>
        <v>INICIADO</v>
      </c>
      <c r="J1433" s="9" t="str">
        <f>IF(AND(Tabela1[[#This Row],[Data nascimento]]&gt;=$P$2,Tabela1[[#This Row],[Data nascimento]]&lt;=$O$2),"JUVENIL","JÚNIOR")</f>
        <v>JÚNIOR</v>
      </c>
    </row>
    <row r="1434" spans="1:10" ht="15" x14ac:dyDescent="0.4">
      <c r="A1434" s="13" t="s">
        <v>2027</v>
      </c>
      <c r="B1434" s="2" t="s">
        <v>2028</v>
      </c>
      <c r="C1434" s="4" t="s">
        <v>8</v>
      </c>
      <c r="D1434" s="11">
        <v>40943</v>
      </c>
      <c r="E1434" s="7" t="s">
        <v>2029</v>
      </c>
      <c r="F1434" s="4" t="s">
        <v>4790</v>
      </c>
      <c r="G1434" s="12" t="str">
        <f>IF(AND(Tabela1[[#This Row],[Data nascimento]]&gt;=$J$2,Tabela1[[#This Row],[Data nascimento]]&lt;=$I$2),"INFANTIL A",H1434)</f>
        <v>INICIADO</v>
      </c>
      <c r="H1434" s="3" t="str">
        <f>IF(AND(Tabela1[[#This Row],[Data nascimento]]&gt;=$L$2,Tabela1[[#This Row],[Data nascimento]]&lt;=$K$2),"INFANTIL B",I1434)</f>
        <v>INICIADO</v>
      </c>
      <c r="I1434" s="9" t="str">
        <f>IF(AND(Tabela1[[#This Row],[Data nascimento]]&gt;=$N$2,Tabela1[[#This Row],[Data nascimento]]&lt;=$M$2),"INICIADO",J1434)</f>
        <v>INICIADO</v>
      </c>
      <c r="J1434" s="9" t="str">
        <f>IF(AND(Tabela1[[#This Row],[Data nascimento]]&gt;=$P$2,Tabela1[[#This Row],[Data nascimento]]&lt;=$O$2),"JUVENIL","JÚNIOR")</f>
        <v>JÚNIOR</v>
      </c>
    </row>
    <row r="1435" spans="1:10" ht="15" x14ac:dyDescent="0.4">
      <c r="A1435" s="13" t="s">
        <v>2030</v>
      </c>
      <c r="B1435" s="2" t="s">
        <v>2031</v>
      </c>
      <c r="C1435" s="4" t="s">
        <v>21</v>
      </c>
      <c r="D1435" s="11">
        <v>40960</v>
      </c>
      <c r="E1435" s="7" t="s">
        <v>2032</v>
      </c>
      <c r="F1435" s="4" t="s">
        <v>4790</v>
      </c>
      <c r="G1435" s="12" t="str">
        <f>IF(AND(Tabela1[[#This Row],[Data nascimento]]&gt;=$J$2,Tabela1[[#This Row],[Data nascimento]]&lt;=$I$2),"INFANTIL A",H1435)</f>
        <v>INICIADO</v>
      </c>
      <c r="H1435" s="3" t="str">
        <f>IF(AND(Tabela1[[#This Row],[Data nascimento]]&gt;=$L$2,Tabela1[[#This Row],[Data nascimento]]&lt;=$K$2),"INFANTIL B",I1435)</f>
        <v>INICIADO</v>
      </c>
      <c r="I1435" s="9" t="str">
        <f>IF(AND(Tabela1[[#This Row],[Data nascimento]]&gt;=$N$2,Tabela1[[#This Row],[Data nascimento]]&lt;=$M$2),"INICIADO",J1435)</f>
        <v>INICIADO</v>
      </c>
      <c r="J1435" s="9" t="str">
        <f>IF(AND(Tabela1[[#This Row],[Data nascimento]]&gt;=$P$2,Tabela1[[#This Row],[Data nascimento]]&lt;=$O$2),"JUVENIL","JÚNIOR")</f>
        <v>JÚNIOR</v>
      </c>
    </row>
    <row r="1436" spans="1:10" ht="15" x14ac:dyDescent="0.4">
      <c r="A1436" s="13" t="s">
        <v>2033</v>
      </c>
      <c r="B1436" s="2" t="s">
        <v>2034</v>
      </c>
      <c r="C1436" s="4" t="s">
        <v>8</v>
      </c>
      <c r="D1436" s="11">
        <v>41002</v>
      </c>
      <c r="E1436" s="7" t="s">
        <v>2035</v>
      </c>
      <c r="F1436" s="4" t="s">
        <v>4790</v>
      </c>
      <c r="G1436" s="12" t="str">
        <f>IF(AND(Tabela1[[#This Row],[Data nascimento]]&gt;=$J$2,Tabela1[[#This Row],[Data nascimento]]&lt;=$I$2),"INFANTIL A",H1436)</f>
        <v>INICIADO</v>
      </c>
      <c r="H1436" s="3" t="str">
        <f>IF(AND(Tabela1[[#This Row],[Data nascimento]]&gt;=$L$2,Tabela1[[#This Row],[Data nascimento]]&lt;=$K$2),"INFANTIL B",I1436)</f>
        <v>INICIADO</v>
      </c>
      <c r="I1436" s="9" t="str">
        <f>IF(AND(Tabela1[[#This Row],[Data nascimento]]&gt;=$N$2,Tabela1[[#This Row],[Data nascimento]]&lt;=$M$2),"INICIADO",J1436)</f>
        <v>INICIADO</v>
      </c>
      <c r="J1436" s="9" t="str">
        <f>IF(AND(Tabela1[[#This Row],[Data nascimento]]&gt;=$P$2,Tabela1[[#This Row],[Data nascimento]]&lt;=$O$2),"JUVENIL","JÚNIOR")</f>
        <v>JÚNIOR</v>
      </c>
    </row>
    <row r="1437" spans="1:10" ht="15" x14ac:dyDescent="0.4">
      <c r="A1437" s="13" t="s">
        <v>2036</v>
      </c>
      <c r="B1437" s="2" t="s">
        <v>2037</v>
      </c>
      <c r="C1437" s="4" t="s">
        <v>8</v>
      </c>
      <c r="D1437" s="11">
        <v>40849</v>
      </c>
      <c r="E1437" s="7" t="s">
        <v>2038</v>
      </c>
      <c r="F1437" s="4" t="s">
        <v>4790</v>
      </c>
      <c r="G1437" s="12" t="str">
        <f>IF(AND(Tabela1[[#This Row],[Data nascimento]]&gt;=$J$2,Tabela1[[#This Row],[Data nascimento]]&lt;=$I$2),"INFANTIL A",H1437)</f>
        <v>INICIADO</v>
      </c>
      <c r="H1437" s="3" t="str">
        <f>IF(AND(Tabela1[[#This Row],[Data nascimento]]&gt;=$L$2,Tabela1[[#This Row],[Data nascimento]]&lt;=$K$2),"INFANTIL B",I1437)</f>
        <v>INICIADO</v>
      </c>
      <c r="I1437" s="9" t="str">
        <f>IF(AND(Tabela1[[#This Row],[Data nascimento]]&gt;=$N$2,Tabela1[[#This Row],[Data nascimento]]&lt;=$M$2),"INICIADO",J1437)</f>
        <v>INICIADO</v>
      </c>
      <c r="J1437" s="9" t="str">
        <f>IF(AND(Tabela1[[#This Row],[Data nascimento]]&gt;=$P$2,Tabela1[[#This Row],[Data nascimento]]&lt;=$O$2),"JUVENIL","JÚNIOR")</f>
        <v>JÚNIOR</v>
      </c>
    </row>
    <row r="1438" spans="1:10" ht="15" x14ac:dyDescent="0.4">
      <c r="A1438" s="13" t="s">
        <v>2039</v>
      </c>
      <c r="B1438" s="2" t="s">
        <v>2040</v>
      </c>
      <c r="C1438" s="4" t="s">
        <v>8</v>
      </c>
      <c r="D1438" s="11">
        <v>41108</v>
      </c>
      <c r="E1438" s="7" t="s">
        <v>2041</v>
      </c>
      <c r="F1438" s="4" t="s">
        <v>4790</v>
      </c>
      <c r="G1438" s="12" t="str">
        <f>IF(AND(Tabela1[[#This Row],[Data nascimento]]&gt;=$J$2,Tabela1[[#This Row],[Data nascimento]]&lt;=$I$2),"INFANTIL A",H1438)</f>
        <v>INICIADO</v>
      </c>
      <c r="H1438" s="3" t="str">
        <f>IF(AND(Tabela1[[#This Row],[Data nascimento]]&gt;=$L$2,Tabela1[[#This Row],[Data nascimento]]&lt;=$K$2),"INFANTIL B",I1438)</f>
        <v>INICIADO</v>
      </c>
      <c r="I1438" s="9" t="str">
        <f>IF(AND(Tabela1[[#This Row],[Data nascimento]]&gt;=$N$2,Tabela1[[#This Row],[Data nascimento]]&lt;=$M$2),"INICIADO",J1438)</f>
        <v>INICIADO</v>
      </c>
      <c r="J1438" s="9" t="str">
        <f>IF(AND(Tabela1[[#This Row],[Data nascimento]]&gt;=$P$2,Tabela1[[#This Row],[Data nascimento]]&lt;=$O$2),"JUVENIL","JÚNIOR")</f>
        <v>JÚNIOR</v>
      </c>
    </row>
    <row r="1439" spans="1:10" ht="15" x14ac:dyDescent="0.4">
      <c r="A1439" s="13" t="s">
        <v>2042</v>
      </c>
      <c r="B1439" s="2" t="s">
        <v>2043</v>
      </c>
      <c r="C1439" s="4" t="s">
        <v>8</v>
      </c>
      <c r="D1439" s="11">
        <v>41183</v>
      </c>
      <c r="E1439" s="7" t="s">
        <v>2044</v>
      </c>
      <c r="F1439" s="4" t="s">
        <v>4790</v>
      </c>
      <c r="G1439" s="12" t="str">
        <f>IF(AND(Tabela1[[#This Row],[Data nascimento]]&gt;=$J$2,Tabela1[[#This Row],[Data nascimento]]&lt;=$I$2),"INFANTIL A",H1439)</f>
        <v>INICIADO</v>
      </c>
      <c r="H1439" s="3" t="str">
        <f>IF(AND(Tabela1[[#This Row],[Data nascimento]]&gt;=$L$2,Tabela1[[#This Row],[Data nascimento]]&lt;=$K$2),"INFANTIL B",I1439)</f>
        <v>INICIADO</v>
      </c>
      <c r="I1439" s="9" t="str">
        <f>IF(AND(Tabela1[[#This Row],[Data nascimento]]&gt;=$N$2,Tabela1[[#This Row],[Data nascimento]]&lt;=$M$2),"INICIADO",J1439)</f>
        <v>INICIADO</v>
      </c>
      <c r="J1439" s="9" t="str">
        <f>IF(AND(Tabela1[[#This Row],[Data nascimento]]&gt;=$P$2,Tabela1[[#This Row],[Data nascimento]]&lt;=$O$2),"JUVENIL","JÚNIOR")</f>
        <v>JÚNIOR</v>
      </c>
    </row>
    <row r="1440" spans="1:10" ht="15" x14ac:dyDescent="0.4">
      <c r="A1440" s="13" t="s">
        <v>2045</v>
      </c>
      <c r="B1440" s="2" t="s">
        <v>2046</v>
      </c>
      <c r="C1440" s="4" t="s">
        <v>21</v>
      </c>
      <c r="D1440" s="11">
        <v>40863</v>
      </c>
      <c r="E1440" s="7" t="s">
        <v>2047</v>
      </c>
      <c r="F1440" s="4" t="s">
        <v>4790</v>
      </c>
      <c r="G1440" s="12" t="str">
        <f>IF(AND(Tabela1[[#This Row],[Data nascimento]]&gt;=$J$2,Tabela1[[#This Row],[Data nascimento]]&lt;=$I$2),"INFANTIL A",H1440)</f>
        <v>INICIADO</v>
      </c>
      <c r="H1440" s="3" t="str">
        <f>IF(AND(Tabela1[[#This Row],[Data nascimento]]&gt;=$L$2,Tabela1[[#This Row],[Data nascimento]]&lt;=$K$2),"INFANTIL B",I1440)</f>
        <v>INICIADO</v>
      </c>
      <c r="I1440" s="9" t="str">
        <f>IF(AND(Tabela1[[#This Row],[Data nascimento]]&gt;=$N$2,Tabela1[[#This Row],[Data nascimento]]&lt;=$M$2),"INICIADO",J1440)</f>
        <v>INICIADO</v>
      </c>
      <c r="J1440" s="9" t="str">
        <f>IF(AND(Tabela1[[#This Row],[Data nascimento]]&gt;=$P$2,Tabela1[[#This Row],[Data nascimento]]&lt;=$O$2),"JUVENIL","JÚNIOR")</f>
        <v>JÚNIOR</v>
      </c>
    </row>
    <row r="1441" spans="1:10" ht="15" x14ac:dyDescent="0.4">
      <c r="A1441" s="13" t="s">
        <v>2048</v>
      </c>
      <c r="B1441" s="2" t="s">
        <v>2049</v>
      </c>
      <c r="C1441" s="4" t="s">
        <v>21</v>
      </c>
      <c r="D1441" s="11">
        <v>40976</v>
      </c>
      <c r="E1441" s="7" t="s">
        <v>2050</v>
      </c>
      <c r="F1441" s="4" t="s">
        <v>4790</v>
      </c>
      <c r="G1441" s="12" t="str">
        <f>IF(AND(Tabela1[[#This Row],[Data nascimento]]&gt;=$J$2,Tabela1[[#This Row],[Data nascimento]]&lt;=$I$2),"INFANTIL A",H1441)</f>
        <v>INICIADO</v>
      </c>
      <c r="H1441" s="3" t="str">
        <f>IF(AND(Tabela1[[#This Row],[Data nascimento]]&gt;=$L$2,Tabela1[[#This Row],[Data nascimento]]&lt;=$K$2),"INFANTIL B",I1441)</f>
        <v>INICIADO</v>
      </c>
      <c r="I1441" s="9" t="str">
        <f>IF(AND(Tabela1[[#This Row],[Data nascimento]]&gt;=$N$2,Tabela1[[#This Row],[Data nascimento]]&lt;=$M$2),"INICIADO",J1441)</f>
        <v>INICIADO</v>
      </c>
      <c r="J1441" s="9" t="str">
        <f>IF(AND(Tabela1[[#This Row],[Data nascimento]]&gt;=$P$2,Tabela1[[#This Row],[Data nascimento]]&lt;=$O$2),"JUVENIL","JÚNIOR")</f>
        <v>JÚNIOR</v>
      </c>
    </row>
    <row r="1442" spans="1:10" ht="15" x14ac:dyDescent="0.4">
      <c r="A1442" s="13" t="s">
        <v>2051</v>
      </c>
      <c r="B1442" s="2" t="s">
        <v>2052</v>
      </c>
      <c r="C1442" s="4" t="s">
        <v>8</v>
      </c>
      <c r="D1442" s="11">
        <v>40908</v>
      </c>
      <c r="E1442" s="7" t="s">
        <v>2053</v>
      </c>
      <c r="F1442" s="4" t="s">
        <v>4790</v>
      </c>
      <c r="G1442" s="12" t="str">
        <f>IF(AND(Tabela1[[#This Row],[Data nascimento]]&gt;=$J$2,Tabela1[[#This Row],[Data nascimento]]&lt;=$I$2),"INFANTIL A",H1442)</f>
        <v>INICIADO</v>
      </c>
      <c r="H1442" s="3" t="str">
        <f>IF(AND(Tabela1[[#This Row],[Data nascimento]]&gt;=$L$2,Tabela1[[#This Row],[Data nascimento]]&lt;=$K$2),"INFANTIL B",I1442)</f>
        <v>INICIADO</v>
      </c>
      <c r="I1442" s="9" t="str">
        <f>IF(AND(Tabela1[[#This Row],[Data nascimento]]&gt;=$N$2,Tabela1[[#This Row],[Data nascimento]]&lt;=$M$2),"INICIADO",J1442)</f>
        <v>INICIADO</v>
      </c>
      <c r="J1442" s="9" t="str">
        <f>IF(AND(Tabela1[[#This Row],[Data nascimento]]&gt;=$P$2,Tabela1[[#This Row],[Data nascimento]]&lt;=$O$2),"JUVENIL","JÚNIOR")</f>
        <v>JÚNIOR</v>
      </c>
    </row>
    <row r="1443" spans="1:10" ht="15" x14ac:dyDescent="0.4">
      <c r="A1443" s="13" t="s">
        <v>2054</v>
      </c>
      <c r="B1443" s="2" t="s">
        <v>2055</v>
      </c>
      <c r="C1443" s="4" t="s">
        <v>8</v>
      </c>
      <c r="D1443" s="11">
        <v>40774</v>
      </c>
      <c r="E1443" s="7" t="s">
        <v>2056</v>
      </c>
      <c r="F1443" s="4" t="s">
        <v>4790</v>
      </c>
      <c r="G1443" s="12" t="str">
        <f>IF(AND(Tabela1[[#This Row],[Data nascimento]]&gt;=$J$2,Tabela1[[#This Row],[Data nascimento]]&lt;=$I$2),"INFANTIL A",H1443)</f>
        <v>INICIADO</v>
      </c>
      <c r="H1443" s="3" t="str">
        <f>IF(AND(Tabela1[[#This Row],[Data nascimento]]&gt;=$L$2,Tabela1[[#This Row],[Data nascimento]]&lt;=$K$2),"INFANTIL B",I1443)</f>
        <v>INICIADO</v>
      </c>
      <c r="I1443" s="9" t="str">
        <f>IF(AND(Tabela1[[#This Row],[Data nascimento]]&gt;=$N$2,Tabela1[[#This Row],[Data nascimento]]&lt;=$M$2),"INICIADO",J1443)</f>
        <v>INICIADO</v>
      </c>
      <c r="J1443" s="9" t="str">
        <f>IF(AND(Tabela1[[#This Row],[Data nascimento]]&gt;=$P$2,Tabela1[[#This Row],[Data nascimento]]&lt;=$O$2),"JUVENIL","JÚNIOR")</f>
        <v>JÚNIOR</v>
      </c>
    </row>
    <row r="1444" spans="1:10" ht="15" x14ac:dyDescent="0.4">
      <c r="A1444" s="13" t="s">
        <v>2057</v>
      </c>
      <c r="B1444" s="2" t="s">
        <v>2058</v>
      </c>
      <c r="C1444" s="4" t="s">
        <v>8</v>
      </c>
      <c r="D1444" s="11">
        <v>41244</v>
      </c>
      <c r="E1444" s="7" t="s">
        <v>2059</v>
      </c>
      <c r="F1444" s="4" t="s">
        <v>4790</v>
      </c>
      <c r="G1444" s="12" t="str">
        <f>IF(AND(Tabela1[[#This Row],[Data nascimento]]&gt;=$J$2,Tabela1[[#This Row],[Data nascimento]]&lt;=$I$2),"INFANTIL A",H1444)</f>
        <v>INICIADO</v>
      </c>
      <c r="H1444" s="3" t="str">
        <f>IF(AND(Tabela1[[#This Row],[Data nascimento]]&gt;=$L$2,Tabela1[[#This Row],[Data nascimento]]&lt;=$K$2),"INFANTIL B",I1444)</f>
        <v>INICIADO</v>
      </c>
      <c r="I1444" s="9" t="str">
        <f>IF(AND(Tabela1[[#This Row],[Data nascimento]]&gt;=$N$2,Tabela1[[#This Row],[Data nascimento]]&lt;=$M$2),"INICIADO",J1444)</f>
        <v>INICIADO</v>
      </c>
      <c r="J1444" s="9" t="str">
        <f>IF(AND(Tabela1[[#This Row],[Data nascimento]]&gt;=$P$2,Tabela1[[#This Row],[Data nascimento]]&lt;=$O$2),"JUVENIL","JÚNIOR")</f>
        <v>JÚNIOR</v>
      </c>
    </row>
    <row r="1445" spans="1:10" ht="15" x14ac:dyDescent="0.4">
      <c r="A1445" s="13" t="s">
        <v>2060</v>
      </c>
      <c r="B1445" s="2" t="s">
        <v>2061</v>
      </c>
      <c r="C1445" s="4" t="s">
        <v>8</v>
      </c>
      <c r="D1445" s="11">
        <v>41176</v>
      </c>
      <c r="E1445" s="7" t="s">
        <v>2062</v>
      </c>
      <c r="F1445" s="4" t="s">
        <v>4790</v>
      </c>
      <c r="G1445" s="12" t="str">
        <f>IF(AND(Tabela1[[#This Row],[Data nascimento]]&gt;=$J$2,Tabela1[[#This Row],[Data nascimento]]&lt;=$I$2),"INFANTIL A",H1445)</f>
        <v>INICIADO</v>
      </c>
      <c r="H1445" s="3" t="str">
        <f>IF(AND(Tabela1[[#This Row],[Data nascimento]]&gt;=$L$2,Tabela1[[#This Row],[Data nascimento]]&lt;=$K$2),"INFANTIL B",I1445)</f>
        <v>INICIADO</v>
      </c>
      <c r="I1445" s="9" t="str">
        <f>IF(AND(Tabela1[[#This Row],[Data nascimento]]&gt;=$N$2,Tabela1[[#This Row],[Data nascimento]]&lt;=$M$2),"INICIADO",J1445)</f>
        <v>INICIADO</v>
      </c>
      <c r="J1445" s="9" t="str">
        <f>IF(AND(Tabela1[[#This Row],[Data nascimento]]&gt;=$P$2,Tabela1[[#This Row],[Data nascimento]]&lt;=$O$2),"JUVENIL","JÚNIOR")</f>
        <v>JÚNIOR</v>
      </c>
    </row>
    <row r="1446" spans="1:10" ht="15" x14ac:dyDescent="0.4">
      <c r="A1446" s="13" t="s">
        <v>2063</v>
      </c>
      <c r="B1446" s="2" t="s">
        <v>2064</v>
      </c>
      <c r="C1446" s="4" t="s">
        <v>21</v>
      </c>
      <c r="D1446" s="11">
        <v>41198</v>
      </c>
      <c r="E1446" s="7" t="s">
        <v>2065</v>
      </c>
      <c r="F1446" s="4" t="s">
        <v>4790</v>
      </c>
      <c r="G1446" s="12" t="str">
        <f>IF(AND(Tabela1[[#This Row],[Data nascimento]]&gt;=$J$2,Tabela1[[#This Row],[Data nascimento]]&lt;=$I$2),"INFANTIL A",H1446)</f>
        <v>INICIADO</v>
      </c>
      <c r="H1446" s="3" t="str">
        <f>IF(AND(Tabela1[[#This Row],[Data nascimento]]&gt;=$L$2,Tabela1[[#This Row],[Data nascimento]]&lt;=$K$2),"INFANTIL B",I1446)</f>
        <v>INICIADO</v>
      </c>
      <c r="I1446" s="9" t="str">
        <f>IF(AND(Tabela1[[#This Row],[Data nascimento]]&gt;=$N$2,Tabela1[[#This Row],[Data nascimento]]&lt;=$M$2),"INICIADO",J1446)</f>
        <v>INICIADO</v>
      </c>
      <c r="J1446" s="9" t="str">
        <f>IF(AND(Tabela1[[#This Row],[Data nascimento]]&gt;=$P$2,Tabela1[[#This Row],[Data nascimento]]&lt;=$O$2),"JUVENIL","JÚNIOR")</f>
        <v>JÚNIOR</v>
      </c>
    </row>
    <row r="1447" spans="1:10" ht="15" x14ac:dyDescent="0.4">
      <c r="A1447" s="13" t="s">
        <v>2066</v>
      </c>
      <c r="B1447" s="2" t="s">
        <v>2067</v>
      </c>
      <c r="C1447" s="4" t="s">
        <v>21</v>
      </c>
      <c r="D1447" s="11">
        <v>40937</v>
      </c>
      <c r="E1447" s="7" t="s">
        <v>2068</v>
      </c>
      <c r="F1447" s="4" t="s">
        <v>4790</v>
      </c>
      <c r="G1447" s="12" t="str">
        <f>IF(AND(Tabela1[[#This Row],[Data nascimento]]&gt;=$J$2,Tabela1[[#This Row],[Data nascimento]]&lt;=$I$2),"INFANTIL A",H1447)</f>
        <v>INICIADO</v>
      </c>
      <c r="H1447" s="3" t="str">
        <f>IF(AND(Tabela1[[#This Row],[Data nascimento]]&gt;=$L$2,Tabela1[[#This Row],[Data nascimento]]&lt;=$K$2),"INFANTIL B",I1447)</f>
        <v>INICIADO</v>
      </c>
      <c r="I1447" s="9" t="str">
        <f>IF(AND(Tabela1[[#This Row],[Data nascimento]]&gt;=$N$2,Tabela1[[#This Row],[Data nascimento]]&lt;=$M$2),"INICIADO",J1447)</f>
        <v>INICIADO</v>
      </c>
      <c r="J1447" s="9" t="str">
        <f>IF(AND(Tabela1[[#This Row],[Data nascimento]]&gt;=$P$2,Tabela1[[#This Row],[Data nascimento]]&lt;=$O$2),"JUVENIL","JÚNIOR")</f>
        <v>JÚNIOR</v>
      </c>
    </row>
    <row r="1448" spans="1:10" ht="15" x14ac:dyDescent="0.4">
      <c r="A1448" s="13" t="s">
        <v>2069</v>
      </c>
      <c r="B1448" s="2" t="s">
        <v>2070</v>
      </c>
      <c r="C1448" s="4" t="s">
        <v>8</v>
      </c>
      <c r="D1448" s="11">
        <v>40947</v>
      </c>
      <c r="E1448" s="7" t="s">
        <v>2071</v>
      </c>
      <c r="F1448" s="4" t="s">
        <v>4790</v>
      </c>
      <c r="G1448" s="12" t="str">
        <f>IF(AND(Tabela1[[#This Row],[Data nascimento]]&gt;=$J$2,Tabela1[[#This Row],[Data nascimento]]&lt;=$I$2),"INFANTIL A",H1448)</f>
        <v>INICIADO</v>
      </c>
      <c r="H1448" s="3" t="str">
        <f>IF(AND(Tabela1[[#This Row],[Data nascimento]]&gt;=$L$2,Tabela1[[#This Row],[Data nascimento]]&lt;=$K$2),"INFANTIL B",I1448)</f>
        <v>INICIADO</v>
      </c>
      <c r="I1448" s="9" t="str">
        <f>IF(AND(Tabela1[[#This Row],[Data nascimento]]&gt;=$N$2,Tabela1[[#This Row],[Data nascimento]]&lt;=$M$2),"INICIADO",J1448)</f>
        <v>INICIADO</v>
      </c>
      <c r="J1448" s="9" t="str">
        <f>IF(AND(Tabela1[[#This Row],[Data nascimento]]&gt;=$P$2,Tabela1[[#This Row],[Data nascimento]]&lt;=$O$2),"JUVENIL","JÚNIOR")</f>
        <v>JÚNIOR</v>
      </c>
    </row>
    <row r="1449" spans="1:10" ht="15" x14ac:dyDescent="0.4">
      <c r="A1449" s="13" t="s">
        <v>2072</v>
      </c>
      <c r="B1449" s="2" t="s">
        <v>2073</v>
      </c>
      <c r="C1449" s="4" t="s">
        <v>8</v>
      </c>
      <c r="D1449" s="11">
        <v>41027</v>
      </c>
      <c r="E1449" s="7" t="s">
        <v>2074</v>
      </c>
      <c r="F1449" s="4" t="s">
        <v>4791</v>
      </c>
      <c r="G1449" s="12" t="str">
        <f>IF(AND(Tabela1[[#This Row],[Data nascimento]]&gt;=$J$2,Tabela1[[#This Row],[Data nascimento]]&lt;=$I$2),"INFANTIL A",H1449)</f>
        <v>INICIADO</v>
      </c>
      <c r="H1449" s="3" t="str">
        <f>IF(AND(Tabela1[[#This Row],[Data nascimento]]&gt;=$L$2,Tabela1[[#This Row],[Data nascimento]]&lt;=$K$2),"INFANTIL B",I1449)</f>
        <v>INICIADO</v>
      </c>
      <c r="I1449" s="9" t="str">
        <f>IF(AND(Tabela1[[#This Row],[Data nascimento]]&gt;=$N$2,Tabela1[[#This Row],[Data nascimento]]&lt;=$M$2),"INICIADO",J1449)</f>
        <v>INICIADO</v>
      </c>
      <c r="J1449" s="9" t="str">
        <f>IF(AND(Tabela1[[#This Row],[Data nascimento]]&gt;=$P$2,Tabela1[[#This Row],[Data nascimento]]&lt;=$O$2),"JUVENIL","JÚNIOR")</f>
        <v>JÚNIOR</v>
      </c>
    </row>
    <row r="1450" spans="1:10" ht="15" x14ac:dyDescent="0.4">
      <c r="A1450" s="13" t="s">
        <v>2075</v>
      </c>
      <c r="B1450" s="2" t="s">
        <v>2076</v>
      </c>
      <c r="C1450" s="4" t="s">
        <v>21</v>
      </c>
      <c r="D1450" s="11">
        <v>41241</v>
      </c>
      <c r="E1450" s="7" t="s">
        <v>2077</v>
      </c>
      <c r="F1450" s="4" t="s">
        <v>4791</v>
      </c>
      <c r="G1450" s="12" t="str">
        <f>IF(AND(Tabela1[[#This Row],[Data nascimento]]&gt;=$J$2,Tabela1[[#This Row],[Data nascimento]]&lt;=$I$2),"INFANTIL A",H1450)</f>
        <v>INICIADO</v>
      </c>
      <c r="H1450" s="3" t="str">
        <f>IF(AND(Tabela1[[#This Row],[Data nascimento]]&gt;=$L$2,Tabela1[[#This Row],[Data nascimento]]&lt;=$K$2),"INFANTIL B",I1450)</f>
        <v>INICIADO</v>
      </c>
      <c r="I1450" s="9" t="str">
        <f>IF(AND(Tabela1[[#This Row],[Data nascimento]]&gt;=$N$2,Tabela1[[#This Row],[Data nascimento]]&lt;=$M$2),"INICIADO",J1450)</f>
        <v>INICIADO</v>
      </c>
      <c r="J1450" s="9" t="str">
        <f>IF(AND(Tabela1[[#This Row],[Data nascimento]]&gt;=$P$2,Tabela1[[#This Row],[Data nascimento]]&lt;=$O$2),"JUVENIL","JÚNIOR")</f>
        <v>JÚNIOR</v>
      </c>
    </row>
    <row r="1451" spans="1:10" ht="15" x14ac:dyDescent="0.4">
      <c r="A1451" s="13" t="s">
        <v>2078</v>
      </c>
      <c r="B1451" s="2" t="s">
        <v>2079</v>
      </c>
      <c r="C1451" s="4" t="s">
        <v>21</v>
      </c>
      <c r="D1451" s="11">
        <v>41212</v>
      </c>
      <c r="E1451" s="7" t="s">
        <v>2080</v>
      </c>
      <c r="F1451" s="4" t="s">
        <v>4791</v>
      </c>
      <c r="G1451" s="12" t="str">
        <f>IF(AND(Tabela1[[#This Row],[Data nascimento]]&gt;=$J$2,Tabela1[[#This Row],[Data nascimento]]&lt;=$I$2),"INFANTIL A",H1451)</f>
        <v>INICIADO</v>
      </c>
      <c r="H1451" s="3" t="str">
        <f>IF(AND(Tabela1[[#This Row],[Data nascimento]]&gt;=$L$2,Tabela1[[#This Row],[Data nascimento]]&lt;=$K$2),"INFANTIL B",I1451)</f>
        <v>INICIADO</v>
      </c>
      <c r="I1451" s="9" t="str">
        <f>IF(AND(Tabela1[[#This Row],[Data nascimento]]&gt;=$N$2,Tabela1[[#This Row],[Data nascimento]]&lt;=$M$2),"INICIADO",J1451)</f>
        <v>INICIADO</v>
      </c>
      <c r="J1451" s="9" t="str">
        <f>IF(AND(Tabela1[[#This Row],[Data nascimento]]&gt;=$P$2,Tabela1[[#This Row],[Data nascimento]]&lt;=$O$2),"JUVENIL","JÚNIOR")</f>
        <v>JÚNIOR</v>
      </c>
    </row>
    <row r="1452" spans="1:10" ht="15" x14ac:dyDescent="0.4">
      <c r="A1452" s="13" t="s">
        <v>2081</v>
      </c>
      <c r="B1452" s="2" t="s">
        <v>2082</v>
      </c>
      <c r="C1452" s="4" t="s">
        <v>21</v>
      </c>
      <c r="D1452" s="11">
        <v>41071</v>
      </c>
      <c r="E1452" s="7" t="s">
        <v>2083</v>
      </c>
      <c r="F1452" s="4" t="s">
        <v>4791</v>
      </c>
      <c r="G1452" s="12" t="str">
        <f>IF(AND(Tabela1[[#This Row],[Data nascimento]]&gt;=$J$2,Tabela1[[#This Row],[Data nascimento]]&lt;=$I$2),"INFANTIL A",H1452)</f>
        <v>INICIADO</v>
      </c>
      <c r="H1452" s="3" t="str">
        <f>IF(AND(Tabela1[[#This Row],[Data nascimento]]&gt;=$L$2,Tabela1[[#This Row],[Data nascimento]]&lt;=$K$2),"INFANTIL B",I1452)</f>
        <v>INICIADO</v>
      </c>
      <c r="I1452" s="9" t="str">
        <f>IF(AND(Tabela1[[#This Row],[Data nascimento]]&gt;=$N$2,Tabela1[[#This Row],[Data nascimento]]&lt;=$M$2),"INICIADO",J1452)</f>
        <v>INICIADO</v>
      </c>
      <c r="J1452" s="9" t="str">
        <f>IF(AND(Tabela1[[#This Row],[Data nascimento]]&gt;=$P$2,Tabela1[[#This Row],[Data nascimento]]&lt;=$O$2),"JUVENIL","JÚNIOR")</f>
        <v>JÚNIOR</v>
      </c>
    </row>
    <row r="1453" spans="1:10" ht="15" x14ac:dyDescent="0.4">
      <c r="A1453" s="13" t="s">
        <v>2084</v>
      </c>
      <c r="B1453" s="2" t="s">
        <v>2085</v>
      </c>
      <c r="C1453" s="4" t="s">
        <v>8</v>
      </c>
      <c r="D1453" s="11">
        <v>40850</v>
      </c>
      <c r="E1453" s="7" t="s">
        <v>2086</v>
      </c>
      <c r="F1453" s="4" t="s">
        <v>4791</v>
      </c>
      <c r="G1453" s="12" t="str">
        <f>IF(AND(Tabela1[[#This Row],[Data nascimento]]&gt;=$J$2,Tabela1[[#This Row],[Data nascimento]]&lt;=$I$2),"INFANTIL A",H1453)</f>
        <v>INICIADO</v>
      </c>
      <c r="H1453" s="3" t="str">
        <f>IF(AND(Tabela1[[#This Row],[Data nascimento]]&gt;=$L$2,Tabela1[[#This Row],[Data nascimento]]&lt;=$K$2),"INFANTIL B",I1453)</f>
        <v>INICIADO</v>
      </c>
      <c r="I1453" s="9" t="str">
        <f>IF(AND(Tabela1[[#This Row],[Data nascimento]]&gt;=$N$2,Tabela1[[#This Row],[Data nascimento]]&lt;=$M$2),"INICIADO",J1453)</f>
        <v>INICIADO</v>
      </c>
      <c r="J1453" s="9" t="str">
        <f>IF(AND(Tabela1[[#This Row],[Data nascimento]]&gt;=$P$2,Tabela1[[#This Row],[Data nascimento]]&lt;=$O$2),"JUVENIL","JÚNIOR")</f>
        <v>JÚNIOR</v>
      </c>
    </row>
    <row r="1454" spans="1:10" ht="15" x14ac:dyDescent="0.4">
      <c r="A1454" s="13" t="s">
        <v>2087</v>
      </c>
      <c r="B1454" s="2" t="s">
        <v>2088</v>
      </c>
      <c r="C1454" s="4" t="s">
        <v>8</v>
      </c>
      <c r="D1454" s="11">
        <v>40961</v>
      </c>
      <c r="E1454" s="7" t="s">
        <v>2089</v>
      </c>
      <c r="F1454" s="4" t="s">
        <v>4791</v>
      </c>
      <c r="G1454" s="12" t="str">
        <f>IF(AND(Tabela1[[#This Row],[Data nascimento]]&gt;=$J$2,Tabela1[[#This Row],[Data nascimento]]&lt;=$I$2),"INFANTIL A",H1454)</f>
        <v>INICIADO</v>
      </c>
      <c r="H1454" s="3" t="str">
        <f>IF(AND(Tabela1[[#This Row],[Data nascimento]]&gt;=$L$2,Tabela1[[#This Row],[Data nascimento]]&lt;=$K$2),"INFANTIL B",I1454)</f>
        <v>INICIADO</v>
      </c>
      <c r="I1454" s="9" t="str">
        <f>IF(AND(Tabela1[[#This Row],[Data nascimento]]&gt;=$N$2,Tabela1[[#This Row],[Data nascimento]]&lt;=$M$2),"INICIADO",J1454)</f>
        <v>INICIADO</v>
      </c>
      <c r="J1454" s="9" t="str">
        <f>IF(AND(Tabela1[[#This Row],[Data nascimento]]&gt;=$P$2,Tabela1[[#This Row],[Data nascimento]]&lt;=$O$2),"JUVENIL","JÚNIOR")</f>
        <v>JÚNIOR</v>
      </c>
    </row>
    <row r="1455" spans="1:10" ht="15" x14ac:dyDescent="0.4">
      <c r="A1455" s="13" t="s">
        <v>2090</v>
      </c>
      <c r="B1455" s="2" t="s">
        <v>2091</v>
      </c>
      <c r="C1455" s="4" t="s">
        <v>8</v>
      </c>
      <c r="D1455" s="11">
        <v>41181</v>
      </c>
      <c r="E1455" s="7" t="s">
        <v>2092</v>
      </c>
      <c r="F1455" s="4" t="s">
        <v>4791</v>
      </c>
      <c r="G1455" s="12" t="str">
        <f>IF(AND(Tabela1[[#This Row],[Data nascimento]]&gt;=$J$2,Tabela1[[#This Row],[Data nascimento]]&lt;=$I$2),"INFANTIL A",H1455)</f>
        <v>INICIADO</v>
      </c>
      <c r="H1455" s="3" t="str">
        <f>IF(AND(Tabela1[[#This Row],[Data nascimento]]&gt;=$L$2,Tabela1[[#This Row],[Data nascimento]]&lt;=$K$2),"INFANTIL B",I1455)</f>
        <v>INICIADO</v>
      </c>
      <c r="I1455" s="9" t="str">
        <f>IF(AND(Tabela1[[#This Row],[Data nascimento]]&gt;=$N$2,Tabela1[[#This Row],[Data nascimento]]&lt;=$M$2),"INICIADO",J1455)</f>
        <v>INICIADO</v>
      </c>
      <c r="J1455" s="9" t="str">
        <f>IF(AND(Tabela1[[#This Row],[Data nascimento]]&gt;=$P$2,Tabela1[[#This Row],[Data nascimento]]&lt;=$O$2),"JUVENIL","JÚNIOR")</f>
        <v>JÚNIOR</v>
      </c>
    </row>
    <row r="1456" spans="1:10" ht="15" x14ac:dyDescent="0.4">
      <c r="A1456" s="13" t="s">
        <v>2093</v>
      </c>
      <c r="B1456" s="2" t="s">
        <v>2094</v>
      </c>
      <c r="C1456" s="4" t="s">
        <v>8</v>
      </c>
      <c r="D1456" s="11">
        <v>41159</v>
      </c>
      <c r="E1456" s="7" t="s">
        <v>2095</v>
      </c>
      <c r="F1456" s="4" t="s">
        <v>4791</v>
      </c>
      <c r="G1456" s="12" t="str">
        <f>IF(AND(Tabela1[[#This Row],[Data nascimento]]&gt;=$J$2,Tabela1[[#This Row],[Data nascimento]]&lt;=$I$2),"INFANTIL A",H1456)</f>
        <v>INICIADO</v>
      </c>
      <c r="H1456" s="3" t="str">
        <f>IF(AND(Tabela1[[#This Row],[Data nascimento]]&gt;=$L$2,Tabela1[[#This Row],[Data nascimento]]&lt;=$K$2),"INFANTIL B",I1456)</f>
        <v>INICIADO</v>
      </c>
      <c r="I1456" s="9" t="str">
        <f>IF(AND(Tabela1[[#This Row],[Data nascimento]]&gt;=$N$2,Tabela1[[#This Row],[Data nascimento]]&lt;=$M$2),"INICIADO",J1456)</f>
        <v>INICIADO</v>
      </c>
      <c r="J1456" s="9" t="str">
        <f>IF(AND(Tabela1[[#This Row],[Data nascimento]]&gt;=$P$2,Tabela1[[#This Row],[Data nascimento]]&lt;=$O$2),"JUVENIL","JÚNIOR")</f>
        <v>JÚNIOR</v>
      </c>
    </row>
    <row r="1457" spans="1:10" ht="15" x14ac:dyDescent="0.4">
      <c r="A1457" s="13" t="s">
        <v>2096</v>
      </c>
      <c r="B1457" s="2" t="s">
        <v>2097</v>
      </c>
      <c r="C1457" s="4" t="s">
        <v>8</v>
      </c>
      <c r="D1457" s="11">
        <v>41033</v>
      </c>
      <c r="E1457" s="7" t="s">
        <v>2098</v>
      </c>
      <c r="F1457" s="4" t="s">
        <v>4791</v>
      </c>
      <c r="G1457" s="12" t="str">
        <f>IF(AND(Tabela1[[#This Row],[Data nascimento]]&gt;=$J$2,Tabela1[[#This Row],[Data nascimento]]&lt;=$I$2),"INFANTIL A",H1457)</f>
        <v>INICIADO</v>
      </c>
      <c r="H1457" s="3" t="str">
        <f>IF(AND(Tabela1[[#This Row],[Data nascimento]]&gt;=$L$2,Tabela1[[#This Row],[Data nascimento]]&lt;=$K$2),"INFANTIL B",I1457)</f>
        <v>INICIADO</v>
      </c>
      <c r="I1457" s="9" t="str">
        <f>IF(AND(Tabela1[[#This Row],[Data nascimento]]&gt;=$N$2,Tabela1[[#This Row],[Data nascimento]]&lt;=$M$2),"INICIADO",J1457)</f>
        <v>INICIADO</v>
      </c>
      <c r="J1457" s="9" t="str">
        <f>IF(AND(Tabela1[[#This Row],[Data nascimento]]&gt;=$P$2,Tabela1[[#This Row],[Data nascimento]]&lt;=$O$2),"JUVENIL","JÚNIOR")</f>
        <v>JÚNIOR</v>
      </c>
    </row>
    <row r="1458" spans="1:10" ht="15" x14ac:dyDescent="0.4">
      <c r="A1458" s="13" t="s">
        <v>2099</v>
      </c>
      <c r="B1458" s="2" t="s">
        <v>2100</v>
      </c>
      <c r="C1458" s="4" t="s">
        <v>8</v>
      </c>
      <c r="D1458" s="11">
        <v>41157</v>
      </c>
      <c r="E1458" s="7" t="s">
        <v>2101</v>
      </c>
      <c r="F1458" s="4" t="s">
        <v>4791</v>
      </c>
      <c r="G1458" s="12" t="str">
        <f>IF(AND(Tabela1[[#This Row],[Data nascimento]]&gt;=$J$2,Tabela1[[#This Row],[Data nascimento]]&lt;=$I$2),"INFANTIL A",H1458)</f>
        <v>INICIADO</v>
      </c>
      <c r="H1458" s="3" t="str">
        <f>IF(AND(Tabela1[[#This Row],[Data nascimento]]&gt;=$L$2,Tabela1[[#This Row],[Data nascimento]]&lt;=$K$2),"INFANTIL B",I1458)</f>
        <v>INICIADO</v>
      </c>
      <c r="I1458" s="9" t="str">
        <f>IF(AND(Tabela1[[#This Row],[Data nascimento]]&gt;=$N$2,Tabela1[[#This Row],[Data nascimento]]&lt;=$M$2),"INICIADO",J1458)</f>
        <v>INICIADO</v>
      </c>
      <c r="J1458" s="9" t="str">
        <f>IF(AND(Tabela1[[#This Row],[Data nascimento]]&gt;=$P$2,Tabela1[[#This Row],[Data nascimento]]&lt;=$O$2),"JUVENIL","JÚNIOR")</f>
        <v>JÚNIOR</v>
      </c>
    </row>
    <row r="1459" spans="1:10" ht="15" x14ac:dyDescent="0.4">
      <c r="A1459" s="13" t="s">
        <v>2102</v>
      </c>
      <c r="B1459" s="2" t="s">
        <v>2103</v>
      </c>
      <c r="C1459" s="4" t="s">
        <v>8</v>
      </c>
      <c r="D1459" s="11">
        <v>40985</v>
      </c>
      <c r="E1459" s="7" t="s">
        <v>2104</v>
      </c>
      <c r="F1459" s="4" t="s">
        <v>4791</v>
      </c>
      <c r="G1459" s="12" t="str">
        <f>IF(AND(Tabela1[[#This Row],[Data nascimento]]&gt;=$J$2,Tabela1[[#This Row],[Data nascimento]]&lt;=$I$2),"INFANTIL A",H1459)</f>
        <v>INICIADO</v>
      </c>
      <c r="H1459" s="3" t="str">
        <f>IF(AND(Tabela1[[#This Row],[Data nascimento]]&gt;=$L$2,Tabela1[[#This Row],[Data nascimento]]&lt;=$K$2),"INFANTIL B",I1459)</f>
        <v>INICIADO</v>
      </c>
      <c r="I1459" s="9" t="str">
        <f>IF(AND(Tabela1[[#This Row],[Data nascimento]]&gt;=$N$2,Tabela1[[#This Row],[Data nascimento]]&lt;=$M$2),"INICIADO",J1459)</f>
        <v>INICIADO</v>
      </c>
      <c r="J1459" s="9" t="str">
        <f>IF(AND(Tabela1[[#This Row],[Data nascimento]]&gt;=$P$2,Tabela1[[#This Row],[Data nascimento]]&lt;=$O$2),"JUVENIL","JÚNIOR")</f>
        <v>JÚNIOR</v>
      </c>
    </row>
    <row r="1460" spans="1:10" ht="15" x14ac:dyDescent="0.4">
      <c r="A1460" s="13" t="s">
        <v>2105</v>
      </c>
      <c r="B1460" s="2" t="s">
        <v>2106</v>
      </c>
      <c r="C1460" s="4" t="s">
        <v>21</v>
      </c>
      <c r="D1460" s="11">
        <v>40932</v>
      </c>
      <c r="E1460" s="7" t="s">
        <v>2107</v>
      </c>
      <c r="F1460" s="4" t="s">
        <v>4791</v>
      </c>
      <c r="G1460" s="12" t="str">
        <f>IF(AND(Tabela1[[#This Row],[Data nascimento]]&gt;=$J$2,Tabela1[[#This Row],[Data nascimento]]&lt;=$I$2),"INFANTIL A",H1460)</f>
        <v>INICIADO</v>
      </c>
      <c r="H1460" s="3" t="str">
        <f>IF(AND(Tabela1[[#This Row],[Data nascimento]]&gt;=$L$2,Tabela1[[#This Row],[Data nascimento]]&lt;=$K$2),"INFANTIL B",I1460)</f>
        <v>INICIADO</v>
      </c>
      <c r="I1460" s="9" t="str">
        <f>IF(AND(Tabela1[[#This Row],[Data nascimento]]&gt;=$N$2,Tabela1[[#This Row],[Data nascimento]]&lt;=$M$2),"INICIADO",J1460)</f>
        <v>INICIADO</v>
      </c>
      <c r="J1460" s="9" t="str">
        <f>IF(AND(Tabela1[[#This Row],[Data nascimento]]&gt;=$P$2,Tabela1[[#This Row],[Data nascimento]]&lt;=$O$2),"JUVENIL","JÚNIOR")</f>
        <v>JÚNIOR</v>
      </c>
    </row>
    <row r="1461" spans="1:10" ht="15" x14ac:dyDescent="0.4">
      <c r="A1461" s="13" t="s">
        <v>2108</v>
      </c>
      <c r="B1461" s="2" t="s">
        <v>2109</v>
      </c>
      <c r="C1461" s="4" t="s">
        <v>8</v>
      </c>
      <c r="D1461" s="11">
        <v>41037</v>
      </c>
      <c r="E1461" s="7" t="s">
        <v>2110</v>
      </c>
      <c r="F1461" s="4" t="s">
        <v>4791</v>
      </c>
      <c r="G1461" s="12" t="str">
        <f>IF(AND(Tabela1[[#This Row],[Data nascimento]]&gt;=$J$2,Tabela1[[#This Row],[Data nascimento]]&lt;=$I$2),"INFANTIL A",H1461)</f>
        <v>INICIADO</v>
      </c>
      <c r="H1461" s="3" t="str">
        <f>IF(AND(Tabela1[[#This Row],[Data nascimento]]&gt;=$L$2,Tabela1[[#This Row],[Data nascimento]]&lt;=$K$2),"INFANTIL B",I1461)</f>
        <v>INICIADO</v>
      </c>
      <c r="I1461" s="9" t="str">
        <f>IF(AND(Tabela1[[#This Row],[Data nascimento]]&gt;=$N$2,Tabela1[[#This Row],[Data nascimento]]&lt;=$M$2),"INICIADO",J1461)</f>
        <v>INICIADO</v>
      </c>
      <c r="J1461" s="9" t="str">
        <f>IF(AND(Tabela1[[#This Row],[Data nascimento]]&gt;=$P$2,Tabela1[[#This Row],[Data nascimento]]&lt;=$O$2),"JUVENIL","JÚNIOR")</f>
        <v>JÚNIOR</v>
      </c>
    </row>
    <row r="1462" spans="1:10" ht="15" x14ac:dyDescent="0.4">
      <c r="A1462" s="13" t="s">
        <v>2111</v>
      </c>
      <c r="B1462" s="2" t="s">
        <v>2112</v>
      </c>
      <c r="C1462" s="4" t="s">
        <v>8</v>
      </c>
      <c r="D1462" s="11">
        <v>41246</v>
      </c>
      <c r="E1462" s="7" t="s">
        <v>2113</v>
      </c>
      <c r="F1462" s="4" t="s">
        <v>4791</v>
      </c>
      <c r="G1462" s="12" t="str">
        <f>IF(AND(Tabela1[[#This Row],[Data nascimento]]&gt;=$J$2,Tabela1[[#This Row],[Data nascimento]]&lt;=$I$2),"INFANTIL A",H1462)</f>
        <v>INICIADO</v>
      </c>
      <c r="H1462" s="3" t="str">
        <f>IF(AND(Tabela1[[#This Row],[Data nascimento]]&gt;=$L$2,Tabela1[[#This Row],[Data nascimento]]&lt;=$K$2),"INFANTIL B",I1462)</f>
        <v>INICIADO</v>
      </c>
      <c r="I1462" s="9" t="str">
        <f>IF(AND(Tabela1[[#This Row],[Data nascimento]]&gt;=$N$2,Tabela1[[#This Row],[Data nascimento]]&lt;=$M$2),"INICIADO",J1462)</f>
        <v>INICIADO</v>
      </c>
      <c r="J1462" s="9" t="str">
        <f>IF(AND(Tabela1[[#This Row],[Data nascimento]]&gt;=$P$2,Tabela1[[#This Row],[Data nascimento]]&lt;=$O$2),"JUVENIL","JÚNIOR")</f>
        <v>JÚNIOR</v>
      </c>
    </row>
    <row r="1463" spans="1:10" ht="15" x14ac:dyDescent="0.4">
      <c r="A1463" s="13" t="s">
        <v>2114</v>
      </c>
      <c r="B1463" s="2" t="s">
        <v>2115</v>
      </c>
      <c r="C1463" s="4" t="s">
        <v>21</v>
      </c>
      <c r="D1463" s="11">
        <v>41310</v>
      </c>
      <c r="E1463" s="7" t="s">
        <v>2116</v>
      </c>
      <c r="F1463" s="4" t="s">
        <v>4791</v>
      </c>
      <c r="G1463" s="12" t="str">
        <f>IF(AND(Tabela1[[#This Row],[Data nascimento]]&gt;=$J$2,Tabela1[[#This Row],[Data nascimento]]&lt;=$I$2),"INFANTIL A",H1463)</f>
        <v>INFANTIL B</v>
      </c>
      <c r="H1463" s="3" t="str">
        <f>IF(AND(Tabela1[[#This Row],[Data nascimento]]&gt;=$L$2,Tabela1[[#This Row],[Data nascimento]]&lt;=$K$2),"INFANTIL B",I1463)</f>
        <v>INFANTIL B</v>
      </c>
      <c r="I1463" s="9" t="str">
        <f>IF(AND(Tabela1[[#This Row],[Data nascimento]]&gt;=$N$2,Tabela1[[#This Row],[Data nascimento]]&lt;=$M$2),"INICIADO",J1463)</f>
        <v>JÚNIOR</v>
      </c>
      <c r="J1463" s="9" t="str">
        <f>IF(AND(Tabela1[[#This Row],[Data nascimento]]&gt;=$P$2,Tabela1[[#This Row],[Data nascimento]]&lt;=$O$2),"JUVENIL","JÚNIOR")</f>
        <v>JÚNIOR</v>
      </c>
    </row>
    <row r="1464" spans="1:10" ht="15" x14ac:dyDescent="0.4">
      <c r="A1464" s="13" t="s">
        <v>2117</v>
      </c>
      <c r="B1464" s="2" t="s">
        <v>2118</v>
      </c>
      <c r="C1464" s="4" t="s">
        <v>8</v>
      </c>
      <c r="D1464" s="11">
        <v>41110</v>
      </c>
      <c r="E1464" s="7" t="s">
        <v>2119</v>
      </c>
      <c r="F1464" s="4" t="s">
        <v>4791</v>
      </c>
      <c r="G1464" s="12" t="str">
        <f>IF(AND(Tabela1[[#This Row],[Data nascimento]]&gt;=$J$2,Tabela1[[#This Row],[Data nascimento]]&lt;=$I$2),"INFANTIL A",H1464)</f>
        <v>INICIADO</v>
      </c>
      <c r="H1464" s="3" t="str">
        <f>IF(AND(Tabela1[[#This Row],[Data nascimento]]&gt;=$L$2,Tabela1[[#This Row],[Data nascimento]]&lt;=$K$2),"INFANTIL B",I1464)</f>
        <v>INICIADO</v>
      </c>
      <c r="I1464" s="9" t="str">
        <f>IF(AND(Tabela1[[#This Row],[Data nascimento]]&gt;=$N$2,Tabela1[[#This Row],[Data nascimento]]&lt;=$M$2),"INICIADO",J1464)</f>
        <v>INICIADO</v>
      </c>
      <c r="J1464" s="9" t="str">
        <f>IF(AND(Tabela1[[#This Row],[Data nascimento]]&gt;=$P$2,Tabela1[[#This Row],[Data nascimento]]&lt;=$O$2),"JUVENIL","JÚNIOR")</f>
        <v>JÚNIOR</v>
      </c>
    </row>
    <row r="1465" spans="1:10" ht="15" x14ac:dyDescent="0.4">
      <c r="A1465" s="13" t="s">
        <v>2120</v>
      </c>
      <c r="B1465" s="2" t="s">
        <v>2121</v>
      </c>
      <c r="C1465" s="4" t="s">
        <v>21</v>
      </c>
      <c r="D1465" s="11">
        <v>40997</v>
      </c>
      <c r="E1465" s="7" t="s">
        <v>2122</v>
      </c>
      <c r="F1465" s="4" t="s">
        <v>4791</v>
      </c>
      <c r="G1465" s="12" t="str">
        <f>IF(AND(Tabela1[[#This Row],[Data nascimento]]&gt;=$J$2,Tabela1[[#This Row],[Data nascimento]]&lt;=$I$2),"INFANTIL A",H1465)</f>
        <v>INICIADO</v>
      </c>
      <c r="H1465" s="3" t="str">
        <f>IF(AND(Tabela1[[#This Row],[Data nascimento]]&gt;=$L$2,Tabela1[[#This Row],[Data nascimento]]&lt;=$K$2),"INFANTIL B",I1465)</f>
        <v>INICIADO</v>
      </c>
      <c r="I1465" s="9" t="str">
        <f>IF(AND(Tabela1[[#This Row],[Data nascimento]]&gt;=$N$2,Tabela1[[#This Row],[Data nascimento]]&lt;=$M$2),"INICIADO",J1465)</f>
        <v>INICIADO</v>
      </c>
      <c r="J1465" s="9" t="str">
        <f>IF(AND(Tabela1[[#This Row],[Data nascimento]]&gt;=$P$2,Tabela1[[#This Row],[Data nascimento]]&lt;=$O$2),"JUVENIL","JÚNIOR")</f>
        <v>JÚNIOR</v>
      </c>
    </row>
    <row r="1466" spans="1:10" ht="15" x14ac:dyDescent="0.4">
      <c r="A1466" s="13" t="s">
        <v>2123</v>
      </c>
      <c r="B1466" s="2" t="s">
        <v>2124</v>
      </c>
      <c r="C1466" s="4" t="s">
        <v>8</v>
      </c>
      <c r="D1466" s="11">
        <v>41265</v>
      </c>
      <c r="E1466" s="7" t="s">
        <v>2125</v>
      </c>
      <c r="F1466" s="4" t="s">
        <v>4791</v>
      </c>
      <c r="G1466" s="12" t="str">
        <f>IF(AND(Tabela1[[#This Row],[Data nascimento]]&gt;=$J$2,Tabela1[[#This Row],[Data nascimento]]&lt;=$I$2),"INFANTIL A",H1466)</f>
        <v>INICIADO</v>
      </c>
      <c r="H1466" s="3" t="str">
        <f>IF(AND(Tabela1[[#This Row],[Data nascimento]]&gt;=$L$2,Tabela1[[#This Row],[Data nascimento]]&lt;=$K$2),"INFANTIL B",I1466)</f>
        <v>INICIADO</v>
      </c>
      <c r="I1466" s="9" t="str">
        <f>IF(AND(Tabela1[[#This Row],[Data nascimento]]&gt;=$N$2,Tabela1[[#This Row],[Data nascimento]]&lt;=$M$2),"INICIADO",J1466)</f>
        <v>INICIADO</v>
      </c>
      <c r="J1466" s="9" t="str">
        <f>IF(AND(Tabela1[[#This Row],[Data nascimento]]&gt;=$P$2,Tabela1[[#This Row],[Data nascimento]]&lt;=$O$2),"JUVENIL","JÚNIOR")</f>
        <v>JÚNIOR</v>
      </c>
    </row>
    <row r="1467" spans="1:10" ht="15" x14ac:dyDescent="0.4">
      <c r="A1467" s="13" t="s">
        <v>2126</v>
      </c>
      <c r="B1467" s="2" t="s">
        <v>2127</v>
      </c>
      <c r="C1467" s="4" t="s">
        <v>21</v>
      </c>
      <c r="D1467" s="11">
        <v>40880</v>
      </c>
      <c r="E1467" s="7" t="s">
        <v>2128</v>
      </c>
      <c r="F1467" s="4" t="s">
        <v>4792</v>
      </c>
      <c r="G1467" s="12" t="str">
        <f>IF(AND(Tabela1[[#This Row],[Data nascimento]]&gt;=$J$2,Tabela1[[#This Row],[Data nascimento]]&lt;=$I$2),"INFANTIL A",H1467)</f>
        <v>INICIADO</v>
      </c>
      <c r="H1467" s="3" t="str">
        <f>IF(AND(Tabela1[[#This Row],[Data nascimento]]&gt;=$L$2,Tabela1[[#This Row],[Data nascimento]]&lt;=$K$2),"INFANTIL B",I1467)</f>
        <v>INICIADO</v>
      </c>
      <c r="I1467" s="9" t="str">
        <f>IF(AND(Tabela1[[#This Row],[Data nascimento]]&gt;=$N$2,Tabela1[[#This Row],[Data nascimento]]&lt;=$M$2),"INICIADO",J1467)</f>
        <v>INICIADO</v>
      </c>
      <c r="J1467" s="9" t="str">
        <f>IF(AND(Tabela1[[#This Row],[Data nascimento]]&gt;=$P$2,Tabela1[[#This Row],[Data nascimento]]&lt;=$O$2),"JUVENIL","JÚNIOR")</f>
        <v>JÚNIOR</v>
      </c>
    </row>
    <row r="1468" spans="1:10" ht="15" x14ac:dyDescent="0.4">
      <c r="A1468" s="13" t="s">
        <v>2129</v>
      </c>
      <c r="B1468" s="2" t="s">
        <v>2130</v>
      </c>
      <c r="C1468" s="4" t="s">
        <v>8</v>
      </c>
      <c r="D1468" s="11">
        <v>41049</v>
      </c>
      <c r="E1468" s="7" t="s">
        <v>2131</v>
      </c>
      <c r="F1468" s="4" t="s">
        <v>4792</v>
      </c>
      <c r="G1468" s="12" t="str">
        <f>IF(AND(Tabela1[[#This Row],[Data nascimento]]&gt;=$J$2,Tabela1[[#This Row],[Data nascimento]]&lt;=$I$2),"INFANTIL A",H1468)</f>
        <v>INICIADO</v>
      </c>
      <c r="H1468" s="3" t="str">
        <f>IF(AND(Tabela1[[#This Row],[Data nascimento]]&gt;=$L$2,Tabela1[[#This Row],[Data nascimento]]&lt;=$K$2),"INFANTIL B",I1468)</f>
        <v>INICIADO</v>
      </c>
      <c r="I1468" s="9" t="str">
        <f>IF(AND(Tabela1[[#This Row],[Data nascimento]]&gt;=$N$2,Tabela1[[#This Row],[Data nascimento]]&lt;=$M$2),"INICIADO",J1468)</f>
        <v>INICIADO</v>
      </c>
      <c r="J1468" s="9" t="str">
        <f>IF(AND(Tabela1[[#This Row],[Data nascimento]]&gt;=$P$2,Tabela1[[#This Row],[Data nascimento]]&lt;=$O$2),"JUVENIL","JÚNIOR")</f>
        <v>JÚNIOR</v>
      </c>
    </row>
    <row r="1469" spans="1:10" ht="15" x14ac:dyDescent="0.4">
      <c r="A1469" s="13" t="s">
        <v>2132</v>
      </c>
      <c r="B1469" s="2" t="s">
        <v>2133</v>
      </c>
      <c r="C1469" s="4" t="s">
        <v>8</v>
      </c>
      <c r="D1469" s="11">
        <v>41262</v>
      </c>
      <c r="E1469" s="7" t="s">
        <v>2134</v>
      </c>
      <c r="F1469" s="4" t="s">
        <v>4792</v>
      </c>
      <c r="G1469" s="12" t="str">
        <f>IF(AND(Tabela1[[#This Row],[Data nascimento]]&gt;=$J$2,Tabela1[[#This Row],[Data nascimento]]&lt;=$I$2),"INFANTIL A",H1469)</f>
        <v>INICIADO</v>
      </c>
      <c r="H1469" s="3" t="str">
        <f>IF(AND(Tabela1[[#This Row],[Data nascimento]]&gt;=$L$2,Tabela1[[#This Row],[Data nascimento]]&lt;=$K$2),"INFANTIL B",I1469)</f>
        <v>INICIADO</v>
      </c>
      <c r="I1469" s="9" t="str">
        <f>IF(AND(Tabela1[[#This Row],[Data nascimento]]&gt;=$N$2,Tabela1[[#This Row],[Data nascimento]]&lt;=$M$2),"INICIADO",J1469)</f>
        <v>INICIADO</v>
      </c>
      <c r="J1469" s="9" t="str">
        <f>IF(AND(Tabela1[[#This Row],[Data nascimento]]&gt;=$P$2,Tabela1[[#This Row],[Data nascimento]]&lt;=$O$2),"JUVENIL","JÚNIOR")</f>
        <v>JÚNIOR</v>
      </c>
    </row>
    <row r="1470" spans="1:10" ht="15" x14ac:dyDescent="0.4">
      <c r="A1470" s="13" t="s">
        <v>2135</v>
      </c>
      <c r="B1470" s="2" t="s">
        <v>2136</v>
      </c>
      <c r="C1470" s="4" t="s">
        <v>21</v>
      </c>
      <c r="D1470" s="11">
        <v>40956</v>
      </c>
      <c r="E1470" s="7" t="s">
        <v>2137</v>
      </c>
      <c r="F1470" s="4" t="s">
        <v>4792</v>
      </c>
      <c r="G1470" s="12" t="str">
        <f>IF(AND(Tabela1[[#This Row],[Data nascimento]]&gt;=$J$2,Tabela1[[#This Row],[Data nascimento]]&lt;=$I$2),"INFANTIL A",H1470)</f>
        <v>INICIADO</v>
      </c>
      <c r="H1470" s="3" t="str">
        <f>IF(AND(Tabela1[[#This Row],[Data nascimento]]&gt;=$L$2,Tabela1[[#This Row],[Data nascimento]]&lt;=$K$2),"INFANTIL B",I1470)</f>
        <v>INICIADO</v>
      </c>
      <c r="I1470" s="9" t="str">
        <f>IF(AND(Tabela1[[#This Row],[Data nascimento]]&gt;=$N$2,Tabela1[[#This Row],[Data nascimento]]&lt;=$M$2),"INICIADO",J1470)</f>
        <v>INICIADO</v>
      </c>
      <c r="J1470" s="9" t="str">
        <f>IF(AND(Tabela1[[#This Row],[Data nascimento]]&gt;=$P$2,Tabela1[[#This Row],[Data nascimento]]&lt;=$O$2),"JUVENIL","JÚNIOR")</f>
        <v>JÚNIOR</v>
      </c>
    </row>
    <row r="1471" spans="1:10" ht="15" x14ac:dyDescent="0.4">
      <c r="A1471" s="13" t="s">
        <v>2138</v>
      </c>
      <c r="B1471" s="2" t="s">
        <v>2139</v>
      </c>
      <c r="C1471" s="4" t="s">
        <v>8</v>
      </c>
      <c r="D1471" s="11">
        <v>41021</v>
      </c>
      <c r="E1471" s="7" t="s">
        <v>2140</v>
      </c>
      <c r="F1471" s="4" t="s">
        <v>4792</v>
      </c>
      <c r="G1471" s="12" t="str">
        <f>IF(AND(Tabela1[[#This Row],[Data nascimento]]&gt;=$J$2,Tabela1[[#This Row],[Data nascimento]]&lt;=$I$2),"INFANTIL A",H1471)</f>
        <v>INICIADO</v>
      </c>
      <c r="H1471" s="3" t="str">
        <f>IF(AND(Tabela1[[#This Row],[Data nascimento]]&gt;=$L$2,Tabela1[[#This Row],[Data nascimento]]&lt;=$K$2),"INFANTIL B",I1471)</f>
        <v>INICIADO</v>
      </c>
      <c r="I1471" s="9" t="str">
        <f>IF(AND(Tabela1[[#This Row],[Data nascimento]]&gt;=$N$2,Tabela1[[#This Row],[Data nascimento]]&lt;=$M$2),"INICIADO",J1471)</f>
        <v>INICIADO</v>
      </c>
      <c r="J1471" s="9" t="str">
        <f>IF(AND(Tabela1[[#This Row],[Data nascimento]]&gt;=$P$2,Tabela1[[#This Row],[Data nascimento]]&lt;=$O$2),"JUVENIL","JÚNIOR")</f>
        <v>JÚNIOR</v>
      </c>
    </row>
    <row r="1472" spans="1:10" ht="15" x14ac:dyDescent="0.4">
      <c r="A1472" s="13" t="s">
        <v>2141</v>
      </c>
      <c r="B1472" s="2" t="s">
        <v>2142</v>
      </c>
      <c r="C1472" s="4" t="s">
        <v>21</v>
      </c>
      <c r="D1472" s="11">
        <v>40988</v>
      </c>
      <c r="E1472" s="7" t="s">
        <v>2143</v>
      </c>
      <c r="F1472" s="4" t="s">
        <v>4792</v>
      </c>
      <c r="G1472" s="12" t="str">
        <f>IF(AND(Tabela1[[#This Row],[Data nascimento]]&gt;=$J$2,Tabela1[[#This Row],[Data nascimento]]&lt;=$I$2),"INFANTIL A",H1472)</f>
        <v>INICIADO</v>
      </c>
      <c r="H1472" s="3" t="str">
        <f>IF(AND(Tabela1[[#This Row],[Data nascimento]]&gt;=$L$2,Tabela1[[#This Row],[Data nascimento]]&lt;=$K$2),"INFANTIL B",I1472)</f>
        <v>INICIADO</v>
      </c>
      <c r="I1472" s="9" t="str">
        <f>IF(AND(Tabela1[[#This Row],[Data nascimento]]&gt;=$N$2,Tabela1[[#This Row],[Data nascimento]]&lt;=$M$2),"INICIADO",J1472)</f>
        <v>INICIADO</v>
      </c>
      <c r="J1472" s="9" t="str">
        <f>IF(AND(Tabela1[[#This Row],[Data nascimento]]&gt;=$P$2,Tabela1[[#This Row],[Data nascimento]]&lt;=$O$2),"JUVENIL","JÚNIOR")</f>
        <v>JÚNIOR</v>
      </c>
    </row>
    <row r="1473" spans="1:10" ht="15" x14ac:dyDescent="0.4">
      <c r="A1473" s="13" t="s">
        <v>2144</v>
      </c>
      <c r="B1473" s="2" t="s">
        <v>2145</v>
      </c>
      <c r="C1473" s="4" t="s">
        <v>21</v>
      </c>
      <c r="D1473" s="11">
        <v>40955</v>
      </c>
      <c r="E1473" s="7" t="s">
        <v>2146</v>
      </c>
      <c r="F1473" s="4" t="s">
        <v>4792</v>
      </c>
      <c r="G1473" s="12" t="str">
        <f>IF(AND(Tabela1[[#This Row],[Data nascimento]]&gt;=$J$2,Tabela1[[#This Row],[Data nascimento]]&lt;=$I$2),"INFANTIL A",H1473)</f>
        <v>INICIADO</v>
      </c>
      <c r="H1473" s="3" t="str">
        <f>IF(AND(Tabela1[[#This Row],[Data nascimento]]&gt;=$L$2,Tabela1[[#This Row],[Data nascimento]]&lt;=$K$2),"INFANTIL B",I1473)</f>
        <v>INICIADO</v>
      </c>
      <c r="I1473" s="9" t="str">
        <f>IF(AND(Tabela1[[#This Row],[Data nascimento]]&gt;=$N$2,Tabela1[[#This Row],[Data nascimento]]&lt;=$M$2),"INICIADO",J1473)</f>
        <v>INICIADO</v>
      </c>
      <c r="J1473" s="9" t="str">
        <f>IF(AND(Tabela1[[#This Row],[Data nascimento]]&gt;=$P$2,Tabela1[[#This Row],[Data nascimento]]&lt;=$O$2),"JUVENIL","JÚNIOR")</f>
        <v>JÚNIOR</v>
      </c>
    </row>
    <row r="1474" spans="1:10" ht="15" x14ac:dyDescent="0.4">
      <c r="A1474" s="13" t="s">
        <v>2147</v>
      </c>
      <c r="B1474" s="2" t="s">
        <v>2148</v>
      </c>
      <c r="C1474" s="4" t="s">
        <v>8</v>
      </c>
      <c r="D1474" s="11">
        <v>41009</v>
      </c>
      <c r="E1474" s="7" t="s">
        <v>2149</v>
      </c>
      <c r="F1474" s="4" t="s">
        <v>4792</v>
      </c>
      <c r="G1474" s="12" t="str">
        <f>IF(AND(Tabela1[[#This Row],[Data nascimento]]&gt;=$J$2,Tabela1[[#This Row],[Data nascimento]]&lt;=$I$2),"INFANTIL A",H1474)</f>
        <v>INICIADO</v>
      </c>
      <c r="H1474" s="3" t="str">
        <f>IF(AND(Tabela1[[#This Row],[Data nascimento]]&gt;=$L$2,Tabela1[[#This Row],[Data nascimento]]&lt;=$K$2),"INFANTIL B",I1474)</f>
        <v>INICIADO</v>
      </c>
      <c r="I1474" s="9" t="str">
        <f>IF(AND(Tabela1[[#This Row],[Data nascimento]]&gt;=$N$2,Tabela1[[#This Row],[Data nascimento]]&lt;=$M$2),"INICIADO",J1474)</f>
        <v>INICIADO</v>
      </c>
      <c r="J1474" s="9" t="str">
        <f>IF(AND(Tabela1[[#This Row],[Data nascimento]]&gt;=$P$2,Tabela1[[#This Row],[Data nascimento]]&lt;=$O$2),"JUVENIL","JÚNIOR")</f>
        <v>JÚNIOR</v>
      </c>
    </row>
    <row r="1475" spans="1:10" ht="15" x14ac:dyDescent="0.4">
      <c r="A1475" s="13" t="s">
        <v>2150</v>
      </c>
      <c r="B1475" s="2" t="s">
        <v>2151</v>
      </c>
      <c r="C1475" s="4" t="s">
        <v>21</v>
      </c>
      <c r="D1475" s="11">
        <v>41004</v>
      </c>
      <c r="E1475" s="7" t="s">
        <v>2152</v>
      </c>
      <c r="F1475" s="4" t="s">
        <v>4792</v>
      </c>
      <c r="G1475" s="12" t="str">
        <f>IF(AND(Tabela1[[#This Row],[Data nascimento]]&gt;=$J$2,Tabela1[[#This Row],[Data nascimento]]&lt;=$I$2),"INFANTIL A",H1475)</f>
        <v>INICIADO</v>
      </c>
      <c r="H1475" s="3" t="str">
        <f>IF(AND(Tabela1[[#This Row],[Data nascimento]]&gt;=$L$2,Tabela1[[#This Row],[Data nascimento]]&lt;=$K$2),"INFANTIL B",I1475)</f>
        <v>INICIADO</v>
      </c>
      <c r="I1475" s="9" t="str">
        <f>IF(AND(Tabela1[[#This Row],[Data nascimento]]&gt;=$N$2,Tabela1[[#This Row],[Data nascimento]]&lt;=$M$2),"INICIADO",J1475)</f>
        <v>INICIADO</v>
      </c>
      <c r="J1475" s="9" t="str">
        <f>IF(AND(Tabela1[[#This Row],[Data nascimento]]&gt;=$P$2,Tabela1[[#This Row],[Data nascimento]]&lt;=$O$2),"JUVENIL","JÚNIOR")</f>
        <v>JÚNIOR</v>
      </c>
    </row>
    <row r="1476" spans="1:10" ht="15" x14ac:dyDescent="0.4">
      <c r="A1476" s="13" t="s">
        <v>2153</v>
      </c>
      <c r="B1476" s="2" t="s">
        <v>2154</v>
      </c>
      <c r="C1476" s="4" t="s">
        <v>21</v>
      </c>
      <c r="D1476" s="11">
        <v>41226</v>
      </c>
      <c r="E1476" s="7" t="s">
        <v>2155</v>
      </c>
      <c r="F1476" s="4" t="s">
        <v>4792</v>
      </c>
      <c r="G1476" s="12" t="str">
        <f>IF(AND(Tabela1[[#This Row],[Data nascimento]]&gt;=$J$2,Tabela1[[#This Row],[Data nascimento]]&lt;=$I$2),"INFANTIL A",H1476)</f>
        <v>INICIADO</v>
      </c>
      <c r="H1476" s="3" t="str">
        <f>IF(AND(Tabela1[[#This Row],[Data nascimento]]&gt;=$L$2,Tabela1[[#This Row],[Data nascimento]]&lt;=$K$2),"INFANTIL B",I1476)</f>
        <v>INICIADO</v>
      </c>
      <c r="I1476" s="9" t="str">
        <f>IF(AND(Tabela1[[#This Row],[Data nascimento]]&gt;=$N$2,Tabela1[[#This Row],[Data nascimento]]&lt;=$M$2),"INICIADO",J1476)</f>
        <v>INICIADO</v>
      </c>
      <c r="J1476" s="9" t="str">
        <f>IF(AND(Tabela1[[#This Row],[Data nascimento]]&gt;=$P$2,Tabela1[[#This Row],[Data nascimento]]&lt;=$O$2),"JUVENIL","JÚNIOR")</f>
        <v>JÚNIOR</v>
      </c>
    </row>
    <row r="1477" spans="1:10" ht="15" x14ac:dyDescent="0.4">
      <c r="A1477" s="13" t="s">
        <v>2156</v>
      </c>
      <c r="B1477" s="2" t="s">
        <v>2157</v>
      </c>
      <c r="C1477" s="4" t="s">
        <v>21</v>
      </c>
      <c r="D1477" s="11">
        <v>40964</v>
      </c>
      <c r="E1477" s="7" t="s">
        <v>2158</v>
      </c>
      <c r="F1477" s="4" t="s">
        <v>4792</v>
      </c>
      <c r="G1477" s="12" t="str">
        <f>IF(AND(Tabela1[[#This Row],[Data nascimento]]&gt;=$J$2,Tabela1[[#This Row],[Data nascimento]]&lt;=$I$2),"INFANTIL A",H1477)</f>
        <v>INICIADO</v>
      </c>
      <c r="H1477" s="3" t="str">
        <f>IF(AND(Tabela1[[#This Row],[Data nascimento]]&gt;=$L$2,Tabela1[[#This Row],[Data nascimento]]&lt;=$K$2),"INFANTIL B",I1477)</f>
        <v>INICIADO</v>
      </c>
      <c r="I1477" s="9" t="str">
        <f>IF(AND(Tabela1[[#This Row],[Data nascimento]]&gt;=$N$2,Tabela1[[#This Row],[Data nascimento]]&lt;=$M$2),"INICIADO",J1477)</f>
        <v>INICIADO</v>
      </c>
      <c r="J1477" s="9" t="str">
        <f>IF(AND(Tabela1[[#This Row],[Data nascimento]]&gt;=$P$2,Tabela1[[#This Row],[Data nascimento]]&lt;=$O$2),"JUVENIL","JÚNIOR")</f>
        <v>JÚNIOR</v>
      </c>
    </row>
    <row r="1478" spans="1:10" ht="15" x14ac:dyDescent="0.4">
      <c r="A1478" s="13" t="s">
        <v>2159</v>
      </c>
      <c r="B1478" s="2" t="s">
        <v>2160</v>
      </c>
      <c r="C1478" s="4" t="s">
        <v>8</v>
      </c>
      <c r="D1478" s="11">
        <v>40940</v>
      </c>
      <c r="E1478" s="7" t="s">
        <v>2161</v>
      </c>
      <c r="F1478" s="4" t="s">
        <v>4792</v>
      </c>
      <c r="G1478" s="12" t="str">
        <f>IF(AND(Tabela1[[#This Row],[Data nascimento]]&gt;=$J$2,Tabela1[[#This Row],[Data nascimento]]&lt;=$I$2),"INFANTIL A",H1478)</f>
        <v>INICIADO</v>
      </c>
      <c r="H1478" s="3" t="str">
        <f>IF(AND(Tabela1[[#This Row],[Data nascimento]]&gt;=$L$2,Tabela1[[#This Row],[Data nascimento]]&lt;=$K$2),"INFANTIL B",I1478)</f>
        <v>INICIADO</v>
      </c>
      <c r="I1478" s="9" t="str">
        <f>IF(AND(Tabela1[[#This Row],[Data nascimento]]&gt;=$N$2,Tabela1[[#This Row],[Data nascimento]]&lt;=$M$2),"INICIADO",J1478)</f>
        <v>INICIADO</v>
      </c>
      <c r="J1478" s="9" t="str">
        <f>IF(AND(Tabela1[[#This Row],[Data nascimento]]&gt;=$P$2,Tabela1[[#This Row],[Data nascimento]]&lt;=$O$2),"JUVENIL","JÚNIOR")</f>
        <v>JÚNIOR</v>
      </c>
    </row>
    <row r="1479" spans="1:10" ht="15" x14ac:dyDescent="0.4">
      <c r="A1479" s="13" t="s">
        <v>2162</v>
      </c>
      <c r="B1479" s="2" t="s">
        <v>2163</v>
      </c>
      <c r="C1479" s="4" t="s">
        <v>8</v>
      </c>
      <c r="D1479" s="11">
        <v>40963</v>
      </c>
      <c r="E1479" s="7" t="s">
        <v>2164</v>
      </c>
      <c r="F1479" s="4" t="s">
        <v>4792</v>
      </c>
      <c r="G1479" s="12" t="str">
        <f>IF(AND(Tabela1[[#This Row],[Data nascimento]]&gt;=$J$2,Tabela1[[#This Row],[Data nascimento]]&lt;=$I$2),"INFANTIL A",H1479)</f>
        <v>INICIADO</v>
      </c>
      <c r="H1479" s="3" t="str">
        <f>IF(AND(Tabela1[[#This Row],[Data nascimento]]&gt;=$L$2,Tabela1[[#This Row],[Data nascimento]]&lt;=$K$2),"INFANTIL B",I1479)</f>
        <v>INICIADO</v>
      </c>
      <c r="I1479" s="9" t="str">
        <f>IF(AND(Tabela1[[#This Row],[Data nascimento]]&gt;=$N$2,Tabela1[[#This Row],[Data nascimento]]&lt;=$M$2),"INICIADO",J1479)</f>
        <v>INICIADO</v>
      </c>
      <c r="J1479" s="9" t="str">
        <f>IF(AND(Tabela1[[#This Row],[Data nascimento]]&gt;=$P$2,Tabela1[[#This Row],[Data nascimento]]&lt;=$O$2),"JUVENIL","JÚNIOR")</f>
        <v>JÚNIOR</v>
      </c>
    </row>
    <row r="1480" spans="1:10" ht="15" x14ac:dyDescent="0.4">
      <c r="A1480" s="13" t="s">
        <v>2165</v>
      </c>
      <c r="B1480" s="2" t="s">
        <v>2166</v>
      </c>
      <c r="C1480" s="4" t="s">
        <v>8</v>
      </c>
      <c r="D1480" s="11">
        <v>40863</v>
      </c>
      <c r="E1480" s="7" t="s">
        <v>2167</v>
      </c>
      <c r="F1480" s="4" t="s">
        <v>4792</v>
      </c>
      <c r="G1480" s="12" t="str">
        <f>IF(AND(Tabela1[[#This Row],[Data nascimento]]&gt;=$J$2,Tabela1[[#This Row],[Data nascimento]]&lt;=$I$2),"INFANTIL A",H1480)</f>
        <v>INICIADO</v>
      </c>
      <c r="H1480" s="3" t="str">
        <f>IF(AND(Tabela1[[#This Row],[Data nascimento]]&gt;=$L$2,Tabela1[[#This Row],[Data nascimento]]&lt;=$K$2),"INFANTIL B",I1480)</f>
        <v>INICIADO</v>
      </c>
      <c r="I1480" s="9" t="str">
        <f>IF(AND(Tabela1[[#This Row],[Data nascimento]]&gt;=$N$2,Tabela1[[#This Row],[Data nascimento]]&lt;=$M$2),"INICIADO",J1480)</f>
        <v>INICIADO</v>
      </c>
      <c r="J1480" s="9" t="str">
        <f>IF(AND(Tabela1[[#This Row],[Data nascimento]]&gt;=$P$2,Tabela1[[#This Row],[Data nascimento]]&lt;=$O$2),"JUVENIL","JÚNIOR")</f>
        <v>JÚNIOR</v>
      </c>
    </row>
    <row r="1481" spans="1:10" ht="15" x14ac:dyDescent="0.4">
      <c r="A1481" s="13" t="s">
        <v>2168</v>
      </c>
      <c r="B1481" s="2" t="s">
        <v>2169</v>
      </c>
      <c r="C1481" s="4" t="s">
        <v>8</v>
      </c>
      <c r="D1481" s="11">
        <v>40988</v>
      </c>
      <c r="E1481" s="7" t="s">
        <v>2170</v>
      </c>
      <c r="F1481" s="4" t="s">
        <v>4792</v>
      </c>
      <c r="G1481" s="12" t="str">
        <f>IF(AND(Tabela1[[#This Row],[Data nascimento]]&gt;=$J$2,Tabela1[[#This Row],[Data nascimento]]&lt;=$I$2),"INFANTIL A",H1481)</f>
        <v>INICIADO</v>
      </c>
      <c r="H1481" s="3" t="str">
        <f>IF(AND(Tabela1[[#This Row],[Data nascimento]]&gt;=$L$2,Tabela1[[#This Row],[Data nascimento]]&lt;=$K$2),"INFANTIL B",I1481)</f>
        <v>INICIADO</v>
      </c>
      <c r="I1481" s="9" t="str">
        <f>IF(AND(Tabela1[[#This Row],[Data nascimento]]&gt;=$N$2,Tabela1[[#This Row],[Data nascimento]]&lt;=$M$2),"INICIADO",J1481)</f>
        <v>INICIADO</v>
      </c>
      <c r="J1481" s="9" t="str">
        <f>IF(AND(Tabela1[[#This Row],[Data nascimento]]&gt;=$P$2,Tabela1[[#This Row],[Data nascimento]]&lt;=$O$2),"JUVENIL","JÚNIOR")</f>
        <v>JÚNIOR</v>
      </c>
    </row>
    <row r="1482" spans="1:10" ht="15" x14ac:dyDescent="0.4">
      <c r="A1482" s="13" t="s">
        <v>2171</v>
      </c>
      <c r="B1482" s="2" t="s">
        <v>2172</v>
      </c>
      <c r="C1482" s="4" t="s">
        <v>21</v>
      </c>
      <c r="D1482" s="11">
        <v>40956</v>
      </c>
      <c r="E1482" s="7" t="s">
        <v>2173</v>
      </c>
      <c r="F1482" s="4" t="s">
        <v>4792</v>
      </c>
      <c r="G1482" s="12" t="str">
        <f>IF(AND(Tabela1[[#This Row],[Data nascimento]]&gt;=$J$2,Tabela1[[#This Row],[Data nascimento]]&lt;=$I$2),"INFANTIL A",H1482)</f>
        <v>INICIADO</v>
      </c>
      <c r="H1482" s="3" t="str">
        <f>IF(AND(Tabela1[[#This Row],[Data nascimento]]&gt;=$L$2,Tabela1[[#This Row],[Data nascimento]]&lt;=$K$2),"INFANTIL B",I1482)</f>
        <v>INICIADO</v>
      </c>
      <c r="I1482" s="9" t="str">
        <f>IF(AND(Tabela1[[#This Row],[Data nascimento]]&gt;=$N$2,Tabela1[[#This Row],[Data nascimento]]&lt;=$M$2),"INICIADO",J1482)</f>
        <v>INICIADO</v>
      </c>
      <c r="J1482" s="9" t="str">
        <f>IF(AND(Tabela1[[#This Row],[Data nascimento]]&gt;=$P$2,Tabela1[[#This Row],[Data nascimento]]&lt;=$O$2),"JUVENIL","JÚNIOR")</f>
        <v>JÚNIOR</v>
      </c>
    </row>
    <row r="1483" spans="1:10" ht="15" x14ac:dyDescent="0.4">
      <c r="A1483" s="13" t="s">
        <v>3827</v>
      </c>
      <c r="B1483" s="2" t="s">
        <v>3828</v>
      </c>
      <c r="C1483" s="4" t="s">
        <v>8</v>
      </c>
      <c r="D1483" s="11">
        <v>40819</v>
      </c>
      <c r="E1483" s="7" t="s">
        <v>3829</v>
      </c>
      <c r="F1483" s="4" t="s">
        <v>4788</v>
      </c>
      <c r="G1483" s="12" t="str">
        <f>IF(AND(Tabela1[[#This Row],[Data nascimento]]&gt;=$J$2,Tabela1[[#This Row],[Data nascimento]]&lt;=$I$2),"INFANTIL A",H1483)</f>
        <v>INICIADO</v>
      </c>
      <c r="H1483" s="3" t="str">
        <f>IF(AND(Tabela1[[#This Row],[Data nascimento]]&gt;=$L$2,Tabela1[[#This Row],[Data nascimento]]&lt;=$K$2),"INFANTIL B",I1483)</f>
        <v>INICIADO</v>
      </c>
      <c r="I1483" s="9" t="str">
        <f>IF(AND(Tabela1[[#This Row],[Data nascimento]]&gt;=$N$2,Tabela1[[#This Row],[Data nascimento]]&lt;=$M$2),"INICIADO",J1483)</f>
        <v>INICIADO</v>
      </c>
      <c r="J1483" s="9" t="str">
        <f>IF(AND(Tabela1[[#This Row],[Data nascimento]]&gt;=$P$2,Tabela1[[#This Row],[Data nascimento]]&lt;=$O$2),"JUVENIL","JÚNIOR")</f>
        <v>JÚNIOR</v>
      </c>
    </row>
    <row r="1484" spans="1:10" ht="15" x14ac:dyDescent="0.4">
      <c r="A1484" s="13" t="s">
        <v>3830</v>
      </c>
      <c r="B1484" s="2" t="s">
        <v>3831</v>
      </c>
      <c r="C1484" s="4" t="s">
        <v>21</v>
      </c>
      <c r="D1484" s="11">
        <v>40158</v>
      </c>
      <c r="E1484" s="7" t="s">
        <v>3832</v>
      </c>
      <c r="F1484" s="4" t="s">
        <v>4789</v>
      </c>
      <c r="G1484" s="12" t="str">
        <f>IF(AND(Tabela1[[#This Row],[Data nascimento]]&gt;=$J$2,Tabela1[[#This Row],[Data nascimento]]&lt;=$I$2),"INFANTIL A",H1484)</f>
        <v>JUVENIL</v>
      </c>
      <c r="H1484" s="3" t="str">
        <f>IF(AND(Tabela1[[#This Row],[Data nascimento]]&gt;=$L$2,Tabela1[[#This Row],[Data nascimento]]&lt;=$K$2),"INFANTIL B",I1484)</f>
        <v>JUVENIL</v>
      </c>
      <c r="I1484" s="9" t="str">
        <f>IF(AND(Tabela1[[#This Row],[Data nascimento]]&gt;=$N$2,Tabela1[[#This Row],[Data nascimento]]&lt;=$M$2),"INICIADO",J1484)</f>
        <v>JUVENIL</v>
      </c>
      <c r="J1484" s="9" t="str">
        <f>IF(AND(Tabela1[[#This Row],[Data nascimento]]&gt;=$P$2,Tabela1[[#This Row],[Data nascimento]]&lt;=$O$2),"JUVENIL","JÚNIOR")</f>
        <v>JUVENIL</v>
      </c>
    </row>
    <row r="1485" spans="1:10" ht="15" x14ac:dyDescent="0.4">
      <c r="A1485" s="13" t="s">
        <v>3833</v>
      </c>
      <c r="B1485" s="2" t="s">
        <v>3834</v>
      </c>
      <c r="C1485" s="4" t="s">
        <v>8</v>
      </c>
      <c r="D1485" s="11">
        <v>41038</v>
      </c>
      <c r="E1485" s="7" t="s">
        <v>3835</v>
      </c>
      <c r="F1485" s="4" t="s">
        <v>4790</v>
      </c>
      <c r="G1485" s="12" t="str">
        <f>IF(AND(Tabela1[[#This Row],[Data nascimento]]&gt;=$J$2,Tabela1[[#This Row],[Data nascimento]]&lt;=$I$2),"INFANTIL A",H1485)</f>
        <v>INICIADO</v>
      </c>
      <c r="H1485" s="3" t="str">
        <f>IF(AND(Tabela1[[#This Row],[Data nascimento]]&gt;=$L$2,Tabela1[[#This Row],[Data nascimento]]&lt;=$K$2),"INFANTIL B",I1485)</f>
        <v>INICIADO</v>
      </c>
      <c r="I1485" s="9" t="str">
        <f>IF(AND(Tabela1[[#This Row],[Data nascimento]]&gt;=$N$2,Tabela1[[#This Row],[Data nascimento]]&lt;=$M$2),"INICIADO",J1485)</f>
        <v>INICIADO</v>
      </c>
      <c r="J1485" s="9" t="str">
        <f>IF(AND(Tabela1[[#This Row],[Data nascimento]]&gt;=$P$2,Tabela1[[#This Row],[Data nascimento]]&lt;=$O$2),"JUVENIL","JÚNIOR")</f>
        <v>JÚNIOR</v>
      </c>
    </row>
    <row r="1486" spans="1:10" ht="15" x14ac:dyDescent="0.4">
      <c r="A1486" s="13" t="s">
        <v>3836</v>
      </c>
      <c r="B1486" s="2" t="s">
        <v>3837</v>
      </c>
      <c r="C1486" s="4" t="s">
        <v>8</v>
      </c>
      <c r="D1486" s="11">
        <v>41192</v>
      </c>
      <c r="E1486" s="7" t="s">
        <v>3838</v>
      </c>
      <c r="F1486" s="4" t="s">
        <v>4791</v>
      </c>
      <c r="G1486" s="12" t="str">
        <f>IF(AND(Tabela1[[#This Row],[Data nascimento]]&gt;=$J$2,Tabela1[[#This Row],[Data nascimento]]&lt;=$I$2),"INFANTIL A",H1486)</f>
        <v>INICIADO</v>
      </c>
      <c r="H1486" s="3" t="str">
        <f>IF(AND(Tabela1[[#This Row],[Data nascimento]]&gt;=$L$2,Tabela1[[#This Row],[Data nascimento]]&lt;=$K$2),"INFANTIL B",I1486)</f>
        <v>INICIADO</v>
      </c>
      <c r="I1486" s="9" t="str">
        <f>IF(AND(Tabela1[[#This Row],[Data nascimento]]&gt;=$N$2,Tabela1[[#This Row],[Data nascimento]]&lt;=$M$2),"INICIADO",J1486)</f>
        <v>INICIADO</v>
      </c>
      <c r="J1486" s="9" t="str">
        <f>IF(AND(Tabela1[[#This Row],[Data nascimento]]&gt;=$P$2,Tabela1[[#This Row],[Data nascimento]]&lt;=$O$2),"JUVENIL","JÚNIOR")</f>
        <v>JÚNIOR</v>
      </c>
    </row>
    <row r="1487" spans="1:10" ht="15" x14ac:dyDescent="0.4">
      <c r="A1487" s="13" t="s">
        <v>3839</v>
      </c>
      <c r="B1487" s="2" t="s">
        <v>3840</v>
      </c>
      <c r="C1487" s="4" t="s">
        <v>21</v>
      </c>
      <c r="D1487" s="11">
        <v>40593</v>
      </c>
      <c r="E1487" s="7" t="s">
        <v>3841</v>
      </c>
      <c r="F1487" s="4" t="s">
        <v>4792</v>
      </c>
      <c r="G1487" s="12" t="str">
        <f>IF(AND(Tabela1[[#This Row],[Data nascimento]]&gt;=$J$2,Tabela1[[#This Row],[Data nascimento]]&lt;=$I$2),"INFANTIL A",H1487)</f>
        <v>INICIADO</v>
      </c>
      <c r="H1487" s="3" t="str">
        <f>IF(AND(Tabela1[[#This Row],[Data nascimento]]&gt;=$L$2,Tabela1[[#This Row],[Data nascimento]]&lt;=$K$2),"INFANTIL B",I1487)</f>
        <v>INICIADO</v>
      </c>
      <c r="I1487" s="9" t="str">
        <f>IF(AND(Tabela1[[#This Row],[Data nascimento]]&gt;=$N$2,Tabela1[[#This Row],[Data nascimento]]&lt;=$M$2),"INICIADO",J1487)</f>
        <v>INICIADO</v>
      </c>
      <c r="J1487" s="9" t="str">
        <f>IF(AND(Tabela1[[#This Row],[Data nascimento]]&gt;=$P$2,Tabela1[[#This Row],[Data nascimento]]&lt;=$O$2),"JUVENIL","JÚNIOR")</f>
        <v>JÚNIOR</v>
      </c>
    </row>
    <row r="1488" spans="1:10" ht="15" x14ac:dyDescent="0.4">
      <c r="A1488" s="13" t="s">
        <v>4502</v>
      </c>
      <c r="B1488" s="2" t="s">
        <v>4503</v>
      </c>
      <c r="C1488" s="4" t="s">
        <v>8</v>
      </c>
      <c r="D1488" s="11">
        <v>40405</v>
      </c>
      <c r="E1488" s="7" t="s">
        <v>4504</v>
      </c>
      <c r="F1488" s="4" t="s">
        <v>4788</v>
      </c>
      <c r="G1488" s="12" t="str">
        <f>IF(AND(Tabela1[[#This Row],[Data nascimento]]&gt;=$J$2,Tabela1[[#This Row],[Data nascimento]]&lt;=$I$2),"INFANTIL A",H1488)</f>
        <v>JUVENIL</v>
      </c>
      <c r="H1488" s="3" t="str">
        <f>IF(AND(Tabela1[[#This Row],[Data nascimento]]&gt;=$L$2,Tabela1[[#This Row],[Data nascimento]]&lt;=$K$2),"INFANTIL B",I1488)</f>
        <v>JUVENIL</v>
      </c>
      <c r="I1488" s="9" t="str">
        <f>IF(AND(Tabela1[[#This Row],[Data nascimento]]&gt;=$N$2,Tabela1[[#This Row],[Data nascimento]]&lt;=$M$2),"INICIADO",J1488)</f>
        <v>JUVENIL</v>
      </c>
      <c r="J1488" s="9" t="str">
        <f>IF(AND(Tabela1[[#This Row],[Data nascimento]]&gt;=$P$2,Tabela1[[#This Row],[Data nascimento]]&lt;=$O$2),"JUVENIL","JÚNIOR")</f>
        <v>JUVENIL</v>
      </c>
    </row>
    <row r="1489" spans="1:10" ht="15" x14ac:dyDescent="0.4">
      <c r="A1489" s="13" t="s">
        <v>4505</v>
      </c>
      <c r="B1489" s="2" t="s">
        <v>4506</v>
      </c>
      <c r="C1489" s="4" t="s">
        <v>8</v>
      </c>
      <c r="D1489" s="11">
        <v>40814</v>
      </c>
      <c r="E1489" s="7" t="s">
        <v>4507</v>
      </c>
      <c r="F1489" s="4" t="s">
        <v>4791</v>
      </c>
      <c r="G1489" s="12" t="str">
        <f>IF(AND(Tabela1[[#This Row],[Data nascimento]]&gt;=$J$2,Tabela1[[#This Row],[Data nascimento]]&lt;=$I$2),"INFANTIL A",H1489)</f>
        <v>INICIADO</v>
      </c>
      <c r="H1489" s="3" t="str">
        <f>IF(AND(Tabela1[[#This Row],[Data nascimento]]&gt;=$L$2,Tabela1[[#This Row],[Data nascimento]]&lt;=$K$2),"INFANTIL B",I1489)</f>
        <v>INICIADO</v>
      </c>
      <c r="I1489" s="9" t="str">
        <f>IF(AND(Tabela1[[#This Row],[Data nascimento]]&gt;=$N$2,Tabela1[[#This Row],[Data nascimento]]&lt;=$M$2),"INICIADO",J1489)</f>
        <v>INICIADO</v>
      </c>
      <c r="J1489" s="9" t="str">
        <f>IF(AND(Tabela1[[#This Row],[Data nascimento]]&gt;=$P$2,Tabela1[[#This Row],[Data nascimento]]&lt;=$O$2),"JUVENIL","JÚNIOR")</f>
        <v>JÚNIOR</v>
      </c>
    </row>
    <row r="1490" spans="1:10" ht="15" x14ac:dyDescent="0.4">
      <c r="A1490" s="13" t="s">
        <v>4544</v>
      </c>
      <c r="B1490" s="2" t="s">
        <v>4545</v>
      </c>
      <c r="C1490" s="4" t="s">
        <v>8</v>
      </c>
      <c r="D1490" s="11">
        <v>40700</v>
      </c>
      <c r="E1490" s="7" t="s">
        <v>4546</v>
      </c>
      <c r="F1490" s="4" t="s">
        <v>4789</v>
      </c>
      <c r="G1490" s="12" t="str">
        <f>IF(AND(Tabela1[[#This Row],[Data nascimento]]&gt;=$J$2,Tabela1[[#This Row],[Data nascimento]]&lt;=$I$2),"INFANTIL A",H1490)</f>
        <v>INICIADO</v>
      </c>
      <c r="H1490" s="3" t="str">
        <f>IF(AND(Tabela1[[#This Row],[Data nascimento]]&gt;=$L$2,Tabela1[[#This Row],[Data nascimento]]&lt;=$K$2),"INFANTIL B",I1490)</f>
        <v>INICIADO</v>
      </c>
      <c r="I1490" s="9" t="str">
        <f>IF(AND(Tabela1[[#This Row],[Data nascimento]]&gt;=$N$2,Tabela1[[#This Row],[Data nascimento]]&lt;=$M$2),"INICIADO",J1490)</f>
        <v>INICIADO</v>
      </c>
      <c r="J1490" s="9" t="str">
        <f>IF(AND(Tabela1[[#This Row],[Data nascimento]]&gt;=$P$2,Tabela1[[#This Row],[Data nascimento]]&lt;=$O$2),"JUVENIL","JÚNIOR")</f>
        <v>JÚNIOR</v>
      </c>
    </row>
    <row r="1491" spans="1:10" ht="15" x14ac:dyDescent="0.4">
      <c r="A1491" s="13" t="s">
        <v>4547</v>
      </c>
      <c r="B1491" s="2" t="s">
        <v>4548</v>
      </c>
      <c r="C1491" s="4" t="s">
        <v>8</v>
      </c>
      <c r="D1491" s="11">
        <v>41216</v>
      </c>
      <c r="E1491" s="7" t="s">
        <v>4549</v>
      </c>
      <c r="F1491" s="4" t="s">
        <v>4791</v>
      </c>
      <c r="G1491" s="12" t="str">
        <f>IF(AND(Tabela1[[#This Row],[Data nascimento]]&gt;=$J$2,Tabela1[[#This Row],[Data nascimento]]&lt;=$I$2),"INFANTIL A",H1491)</f>
        <v>INICIADO</v>
      </c>
      <c r="H1491" s="3" t="str">
        <f>IF(AND(Tabela1[[#This Row],[Data nascimento]]&gt;=$L$2,Tabela1[[#This Row],[Data nascimento]]&lt;=$K$2),"INFANTIL B",I1491)</f>
        <v>INICIADO</v>
      </c>
      <c r="I1491" s="9" t="str">
        <f>IF(AND(Tabela1[[#This Row],[Data nascimento]]&gt;=$N$2,Tabela1[[#This Row],[Data nascimento]]&lt;=$M$2),"INICIADO",J1491)</f>
        <v>INICIADO</v>
      </c>
      <c r="J1491" s="9" t="str">
        <f>IF(AND(Tabela1[[#This Row],[Data nascimento]]&gt;=$P$2,Tabela1[[#This Row],[Data nascimento]]&lt;=$O$2),"JUVENIL","JÚNIOR")</f>
        <v>JÚNIOR</v>
      </c>
    </row>
    <row r="1492" spans="1:10" ht="15" x14ac:dyDescent="0.4">
      <c r="A1492" s="13" t="s">
        <v>4664</v>
      </c>
      <c r="B1492" s="2" t="s">
        <v>4665</v>
      </c>
      <c r="C1492" s="4" t="s">
        <v>8</v>
      </c>
      <c r="D1492" s="11">
        <v>41195</v>
      </c>
      <c r="E1492" s="7" t="s">
        <v>4666</v>
      </c>
      <c r="F1492" s="4" t="s">
        <v>4792</v>
      </c>
      <c r="G1492" s="12" t="str">
        <f>IF(AND(Tabela1[[#This Row],[Data nascimento]]&gt;=$J$2,Tabela1[[#This Row],[Data nascimento]]&lt;=$I$2),"INFANTIL A",H1492)</f>
        <v>INICIADO</v>
      </c>
      <c r="H1492" s="3" t="str">
        <f>IF(AND(Tabela1[[#This Row],[Data nascimento]]&gt;=$L$2,Tabela1[[#This Row],[Data nascimento]]&lt;=$K$2),"INFANTIL B",I1492)</f>
        <v>INICIADO</v>
      </c>
      <c r="I1492" s="9" t="str">
        <f>IF(AND(Tabela1[[#This Row],[Data nascimento]]&gt;=$N$2,Tabela1[[#This Row],[Data nascimento]]&lt;=$M$2),"INICIADO",J1492)</f>
        <v>INICIADO</v>
      </c>
      <c r="J1492" s="9" t="str">
        <f>IF(AND(Tabela1[[#This Row],[Data nascimento]]&gt;=$P$2,Tabela1[[#This Row],[Data nascimento]]&lt;=$O$2),"JUVENIL","JÚNIOR")</f>
        <v>JÚNIOR</v>
      </c>
    </row>
    <row r="1493" spans="1:10" ht="15" x14ac:dyDescent="0.4">
      <c r="A1493" s="13" t="s">
        <v>4709</v>
      </c>
      <c r="B1493" s="2" t="s">
        <v>4710</v>
      </c>
      <c r="C1493" s="4" t="s">
        <v>21</v>
      </c>
      <c r="D1493" s="11">
        <v>41172</v>
      </c>
      <c r="E1493" s="7" t="s">
        <v>4711</v>
      </c>
      <c r="F1493" s="4" t="s">
        <v>4792</v>
      </c>
      <c r="G1493" s="12" t="str">
        <f>IF(AND(Tabela1[[#This Row],[Data nascimento]]&gt;=$J$2,Tabela1[[#This Row],[Data nascimento]]&lt;=$I$2),"INFANTIL A",H1493)</f>
        <v>INICIADO</v>
      </c>
      <c r="H1493" s="3" t="str">
        <f>IF(AND(Tabela1[[#This Row],[Data nascimento]]&gt;=$L$2,Tabela1[[#This Row],[Data nascimento]]&lt;=$K$2),"INFANTIL B",I1493)</f>
        <v>INICIADO</v>
      </c>
      <c r="I1493" s="9" t="str">
        <f>IF(AND(Tabela1[[#This Row],[Data nascimento]]&gt;=$N$2,Tabela1[[#This Row],[Data nascimento]]&lt;=$M$2),"INICIADO",J1493)</f>
        <v>INICIADO</v>
      </c>
      <c r="J1493" s="9" t="str">
        <f>IF(AND(Tabela1[[#This Row],[Data nascimento]]&gt;=$P$2,Tabela1[[#This Row],[Data nascimento]]&lt;=$O$2),"JUVENIL","JÚNIOR")</f>
        <v>JÚNIOR</v>
      </c>
    </row>
    <row r="1494" spans="1:10" ht="15" x14ac:dyDescent="0.4">
      <c r="A1494" s="13" t="s">
        <v>1937</v>
      </c>
      <c r="B1494" s="2" t="s">
        <v>1938</v>
      </c>
      <c r="C1494" s="4" t="s">
        <v>21</v>
      </c>
      <c r="D1494" s="11">
        <v>39789</v>
      </c>
      <c r="E1494" s="7" t="s">
        <v>1939</v>
      </c>
      <c r="F1494" s="4" t="s">
        <v>4793</v>
      </c>
      <c r="G1494" s="12" t="str">
        <f>IF(AND(Tabela1[[#This Row],[Data nascimento]]&gt;=$J$2,Tabela1[[#This Row],[Data nascimento]]&lt;=$I$2),"INFANTIL A",H1494)</f>
        <v>JUVENIL</v>
      </c>
      <c r="H1494" s="3" t="str">
        <f>IF(AND(Tabela1[[#This Row],[Data nascimento]]&gt;=$L$2,Tabela1[[#This Row],[Data nascimento]]&lt;=$K$2),"INFANTIL B",I1494)</f>
        <v>JUVENIL</v>
      </c>
      <c r="I1494" s="9" t="str">
        <f>IF(AND(Tabela1[[#This Row],[Data nascimento]]&gt;=$N$2,Tabela1[[#This Row],[Data nascimento]]&lt;=$M$2),"INICIADO",J1494)</f>
        <v>JUVENIL</v>
      </c>
      <c r="J1494" s="9" t="str">
        <f>IF(AND(Tabela1[[#This Row],[Data nascimento]]&gt;=$P$2,Tabela1[[#This Row],[Data nascimento]]&lt;=$O$2),"JUVENIL","JÚNIOR")</f>
        <v>JUVENIL</v>
      </c>
    </row>
    <row r="1495" spans="1:10" ht="15" x14ac:dyDescent="0.4">
      <c r="A1495" s="13" t="s">
        <v>1949</v>
      </c>
      <c r="B1495" s="2" t="s">
        <v>1950</v>
      </c>
      <c r="C1495" s="4" t="s">
        <v>8</v>
      </c>
      <c r="D1495" s="11">
        <v>40460</v>
      </c>
      <c r="E1495" s="7" t="s">
        <v>1951</v>
      </c>
      <c r="F1495" s="4" t="s">
        <v>4793</v>
      </c>
      <c r="G1495" s="12" t="str">
        <f>IF(AND(Tabela1[[#This Row],[Data nascimento]]&gt;=$J$2,Tabela1[[#This Row],[Data nascimento]]&lt;=$I$2),"INFANTIL A",H1495)</f>
        <v>JUVENIL</v>
      </c>
      <c r="H1495" s="3" t="str">
        <f>IF(AND(Tabela1[[#This Row],[Data nascimento]]&gt;=$L$2,Tabela1[[#This Row],[Data nascimento]]&lt;=$K$2),"INFANTIL B",I1495)</f>
        <v>JUVENIL</v>
      </c>
      <c r="I1495" s="9" t="str">
        <f>IF(AND(Tabela1[[#This Row],[Data nascimento]]&gt;=$N$2,Tabela1[[#This Row],[Data nascimento]]&lt;=$M$2),"INICIADO",J1495)</f>
        <v>JUVENIL</v>
      </c>
      <c r="J1495" s="9" t="str">
        <f>IF(AND(Tabela1[[#This Row],[Data nascimento]]&gt;=$P$2,Tabela1[[#This Row],[Data nascimento]]&lt;=$O$2),"JUVENIL","JÚNIOR")</f>
        <v>JUVENIL</v>
      </c>
    </row>
    <row r="1496" spans="1:10" ht="15" x14ac:dyDescent="0.4">
      <c r="A1496" s="13" t="s">
        <v>2174</v>
      </c>
      <c r="B1496" s="2" t="s">
        <v>2175</v>
      </c>
      <c r="C1496" s="4" t="s">
        <v>21</v>
      </c>
      <c r="D1496" s="11">
        <v>40519</v>
      </c>
      <c r="E1496" s="7" t="s">
        <v>2176</v>
      </c>
      <c r="F1496" s="4" t="s">
        <v>4794</v>
      </c>
      <c r="G1496" s="12" t="str">
        <f>IF(AND(Tabela1[[#This Row],[Data nascimento]]&gt;=$J$2,Tabela1[[#This Row],[Data nascimento]]&lt;=$I$2),"INFANTIL A",H1496)</f>
        <v>JUVENIL</v>
      </c>
      <c r="H1496" s="3" t="str">
        <f>IF(AND(Tabela1[[#This Row],[Data nascimento]]&gt;=$L$2,Tabela1[[#This Row],[Data nascimento]]&lt;=$K$2),"INFANTIL B",I1496)</f>
        <v>JUVENIL</v>
      </c>
      <c r="I1496" s="9" t="str">
        <f>IF(AND(Tabela1[[#This Row],[Data nascimento]]&gt;=$N$2,Tabela1[[#This Row],[Data nascimento]]&lt;=$M$2),"INICIADO",J1496)</f>
        <v>JUVENIL</v>
      </c>
      <c r="J1496" s="9" t="str">
        <f>IF(AND(Tabela1[[#This Row],[Data nascimento]]&gt;=$P$2,Tabela1[[#This Row],[Data nascimento]]&lt;=$O$2),"JUVENIL","JÚNIOR")</f>
        <v>JUVENIL</v>
      </c>
    </row>
    <row r="1497" spans="1:10" ht="15" x14ac:dyDescent="0.4">
      <c r="A1497" s="13" t="s">
        <v>2177</v>
      </c>
      <c r="B1497" s="2" t="s">
        <v>2178</v>
      </c>
      <c r="C1497" s="4" t="s">
        <v>21</v>
      </c>
      <c r="D1497" s="11">
        <v>40571</v>
      </c>
      <c r="E1497" s="7" t="s">
        <v>2179</v>
      </c>
      <c r="F1497" s="4" t="s">
        <v>4794</v>
      </c>
      <c r="G1497" s="12" t="str">
        <f>IF(AND(Tabela1[[#This Row],[Data nascimento]]&gt;=$J$2,Tabela1[[#This Row],[Data nascimento]]&lt;=$I$2),"INFANTIL A",H1497)</f>
        <v>INICIADO</v>
      </c>
      <c r="H1497" s="3" t="str">
        <f>IF(AND(Tabela1[[#This Row],[Data nascimento]]&gt;=$L$2,Tabela1[[#This Row],[Data nascimento]]&lt;=$K$2),"INFANTIL B",I1497)</f>
        <v>INICIADO</v>
      </c>
      <c r="I1497" s="9" t="str">
        <f>IF(AND(Tabela1[[#This Row],[Data nascimento]]&gt;=$N$2,Tabela1[[#This Row],[Data nascimento]]&lt;=$M$2),"INICIADO",J1497)</f>
        <v>INICIADO</v>
      </c>
      <c r="J1497" s="9" t="str">
        <f>IF(AND(Tabela1[[#This Row],[Data nascimento]]&gt;=$P$2,Tabela1[[#This Row],[Data nascimento]]&lt;=$O$2),"JUVENIL","JÚNIOR")</f>
        <v>JÚNIOR</v>
      </c>
    </row>
    <row r="1498" spans="1:10" ht="15" x14ac:dyDescent="0.4">
      <c r="A1498" s="13" t="s">
        <v>2180</v>
      </c>
      <c r="B1498" s="2" t="s">
        <v>2181</v>
      </c>
      <c r="C1498" s="4" t="s">
        <v>8</v>
      </c>
      <c r="D1498" s="11">
        <v>40540</v>
      </c>
      <c r="E1498" s="7" t="s">
        <v>2182</v>
      </c>
      <c r="F1498" s="4" t="s">
        <v>4794</v>
      </c>
      <c r="G1498" s="12" t="str">
        <f>IF(AND(Tabela1[[#This Row],[Data nascimento]]&gt;=$J$2,Tabela1[[#This Row],[Data nascimento]]&lt;=$I$2),"INFANTIL A",H1498)</f>
        <v>JUVENIL</v>
      </c>
      <c r="H1498" s="3" t="str">
        <f>IF(AND(Tabela1[[#This Row],[Data nascimento]]&gt;=$L$2,Tabela1[[#This Row],[Data nascimento]]&lt;=$K$2),"INFANTIL B",I1498)</f>
        <v>JUVENIL</v>
      </c>
      <c r="I1498" s="9" t="str">
        <f>IF(AND(Tabela1[[#This Row],[Data nascimento]]&gt;=$N$2,Tabela1[[#This Row],[Data nascimento]]&lt;=$M$2),"INICIADO",J1498)</f>
        <v>JUVENIL</v>
      </c>
      <c r="J1498" s="9" t="str">
        <f>IF(AND(Tabela1[[#This Row],[Data nascimento]]&gt;=$P$2,Tabela1[[#This Row],[Data nascimento]]&lt;=$O$2),"JUVENIL","JÚNIOR")</f>
        <v>JUVENIL</v>
      </c>
    </row>
    <row r="1499" spans="1:10" ht="15" x14ac:dyDescent="0.4">
      <c r="A1499" s="13" t="s">
        <v>2183</v>
      </c>
      <c r="B1499" s="2" t="s">
        <v>2184</v>
      </c>
      <c r="C1499" s="4" t="s">
        <v>21</v>
      </c>
      <c r="D1499" s="11">
        <v>40850</v>
      </c>
      <c r="E1499" s="7" t="s">
        <v>2185</v>
      </c>
      <c r="F1499" s="4" t="s">
        <v>4794</v>
      </c>
      <c r="G1499" s="12" t="str">
        <f>IF(AND(Tabela1[[#This Row],[Data nascimento]]&gt;=$J$2,Tabela1[[#This Row],[Data nascimento]]&lt;=$I$2),"INFANTIL A",H1499)</f>
        <v>INICIADO</v>
      </c>
      <c r="H1499" s="3" t="str">
        <f>IF(AND(Tabela1[[#This Row],[Data nascimento]]&gt;=$L$2,Tabela1[[#This Row],[Data nascimento]]&lt;=$K$2),"INFANTIL B",I1499)</f>
        <v>INICIADO</v>
      </c>
      <c r="I1499" s="9" t="str">
        <f>IF(AND(Tabela1[[#This Row],[Data nascimento]]&gt;=$N$2,Tabela1[[#This Row],[Data nascimento]]&lt;=$M$2),"INICIADO",J1499)</f>
        <v>INICIADO</v>
      </c>
      <c r="J1499" s="9" t="str">
        <f>IF(AND(Tabela1[[#This Row],[Data nascimento]]&gt;=$P$2,Tabela1[[#This Row],[Data nascimento]]&lt;=$O$2),"JUVENIL","JÚNIOR")</f>
        <v>JÚNIOR</v>
      </c>
    </row>
    <row r="1500" spans="1:10" ht="15" x14ac:dyDescent="0.4">
      <c r="A1500" s="13" t="s">
        <v>2186</v>
      </c>
      <c r="B1500" s="2" t="s">
        <v>2187</v>
      </c>
      <c r="C1500" s="4" t="s">
        <v>8</v>
      </c>
      <c r="D1500" s="11">
        <v>39767</v>
      </c>
      <c r="E1500" s="7" t="s">
        <v>2188</v>
      </c>
      <c r="F1500" s="4" t="s">
        <v>4794</v>
      </c>
      <c r="G1500" s="12" t="str">
        <f>IF(AND(Tabela1[[#This Row],[Data nascimento]]&gt;=$J$2,Tabela1[[#This Row],[Data nascimento]]&lt;=$I$2),"INFANTIL A",H1500)</f>
        <v>JUVENIL</v>
      </c>
      <c r="H1500" s="3" t="str">
        <f>IF(AND(Tabela1[[#This Row],[Data nascimento]]&gt;=$L$2,Tabela1[[#This Row],[Data nascimento]]&lt;=$K$2),"INFANTIL B",I1500)</f>
        <v>JUVENIL</v>
      </c>
      <c r="I1500" s="9" t="str">
        <f>IF(AND(Tabela1[[#This Row],[Data nascimento]]&gt;=$N$2,Tabela1[[#This Row],[Data nascimento]]&lt;=$M$2),"INICIADO",J1500)</f>
        <v>JUVENIL</v>
      </c>
      <c r="J1500" s="9" t="str">
        <f>IF(AND(Tabela1[[#This Row],[Data nascimento]]&gt;=$P$2,Tabela1[[#This Row],[Data nascimento]]&lt;=$O$2),"JUVENIL","JÚNIOR")</f>
        <v>JUVENIL</v>
      </c>
    </row>
    <row r="1501" spans="1:10" ht="15" x14ac:dyDescent="0.4">
      <c r="A1501" s="13" t="s">
        <v>2189</v>
      </c>
      <c r="B1501" s="2" t="s">
        <v>2190</v>
      </c>
      <c r="C1501" s="4" t="s">
        <v>21</v>
      </c>
      <c r="D1501" s="11">
        <v>40782</v>
      </c>
      <c r="E1501" s="7" t="s">
        <v>2191</v>
      </c>
      <c r="F1501" s="4" t="s">
        <v>4794</v>
      </c>
      <c r="G1501" s="12" t="str">
        <f>IF(AND(Tabela1[[#This Row],[Data nascimento]]&gt;=$J$2,Tabela1[[#This Row],[Data nascimento]]&lt;=$I$2),"INFANTIL A",H1501)</f>
        <v>INICIADO</v>
      </c>
      <c r="H1501" s="3" t="str">
        <f>IF(AND(Tabela1[[#This Row],[Data nascimento]]&gt;=$L$2,Tabela1[[#This Row],[Data nascimento]]&lt;=$K$2),"INFANTIL B",I1501)</f>
        <v>INICIADO</v>
      </c>
      <c r="I1501" s="9" t="str">
        <f>IF(AND(Tabela1[[#This Row],[Data nascimento]]&gt;=$N$2,Tabela1[[#This Row],[Data nascimento]]&lt;=$M$2),"INICIADO",J1501)</f>
        <v>INICIADO</v>
      </c>
      <c r="J1501" s="9" t="str">
        <f>IF(AND(Tabela1[[#This Row],[Data nascimento]]&gt;=$P$2,Tabela1[[#This Row],[Data nascimento]]&lt;=$O$2),"JUVENIL","JÚNIOR")</f>
        <v>JÚNIOR</v>
      </c>
    </row>
    <row r="1502" spans="1:10" ht="15" x14ac:dyDescent="0.4">
      <c r="A1502" s="13" t="s">
        <v>2192</v>
      </c>
      <c r="B1502" s="2" t="s">
        <v>2193</v>
      </c>
      <c r="C1502" s="4" t="s">
        <v>21</v>
      </c>
      <c r="D1502" s="11">
        <v>40733</v>
      </c>
      <c r="E1502" s="7" t="s">
        <v>2194</v>
      </c>
      <c r="F1502" s="4" t="s">
        <v>4794</v>
      </c>
      <c r="G1502" s="12" t="str">
        <f>IF(AND(Tabela1[[#This Row],[Data nascimento]]&gt;=$J$2,Tabela1[[#This Row],[Data nascimento]]&lt;=$I$2),"INFANTIL A",H1502)</f>
        <v>INICIADO</v>
      </c>
      <c r="H1502" s="3" t="str">
        <f>IF(AND(Tabela1[[#This Row],[Data nascimento]]&gt;=$L$2,Tabela1[[#This Row],[Data nascimento]]&lt;=$K$2),"INFANTIL B",I1502)</f>
        <v>INICIADO</v>
      </c>
      <c r="I1502" s="9" t="str">
        <f>IF(AND(Tabela1[[#This Row],[Data nascimento]]&gt;=$N$2,Tabela1[[#This Row],[Data nascimento]]&lt;=$M$2),"INICIADO",J1502)</f>
        <v>INICIADO</v>
      </c>
      <c r="J1502" s="9" t="str">
        <f>IF(AND(Tabela1[[#This Row],[Data nascimento]]&gt;=$P$2,Tabela1[[#This Row],[Data nascimento]]&lt;=$O$2),"JUVENIL","JÚNIOR")</f>
        <v>JÚNIOR</v>
      </c>
    </row>
    <row r="1503" spans="1:10" ht="15" x14ac:dyDescent="0.4">
      <c r="A1503" s="13" t="s">
        <v>2195</v>
      </c>
      <c r="B1503" s="2" t="s">
        <v>2196</v>
      </c>
      <c r="C1503" s="4" t="s">
        <v>8</v>
      </c>
      <c r="D1503" s="11">
        <v>40223</v>
      </c>
      <c r="E1503" s="7" t="s">
        <v>2197</v>
      </c>
      <c r="F1503" s="4" t="s">
        <v>4794</v>
      </c>
      <c r="G1503" s="12" t="str">
        <f>IF(AND(Tabela1[[#This Row],[Data nascimento]]&gt;=$J$2,Tabela1[[#This Row],[Data nascimento]]&lt;=$I$2),"INFANTIL A",H1503)</f>
        <v>JUVENIL</v>
      </c>
      <c r="H1503" s="3" t="str">
        <f>IF(AND(Tabela1[[#This Row],[Data nascimento]]&gt;=$L$2,Tabela1[[#This Row],[Data nascimento]]&lt;=$K$2),"INFANTIL B",I1503)</f>
        <v>JUVENIL</v>
      </c>
      <c r="I1503" s="9" t="str">
        <f>IF(AND(Tabela1[[#This Row],[Data nascimento]]&gt;=$N$2,Tabela1[[#This Row],[Data nascimento]]&lt;=$M$2),"INICIADO",J1503)</f>
        <v>JUVENIL</v>
      </c>
      <c r="J1503" s="9" t="str">
        <f>IF(AND(Tabela1[[#This Row],[Data nascimento]]&gt;=$P$2,Tabela1[[#This Row],[Data nascimento]]&lt;=$O$2),"JUVENIL","JÚNIOR")</f>
        <v>JUVENIL</v>
      </c>
    </row>
    <row r="1504" spans="1:10" ht="15" x14ac:dyDescent="0.4">
      <c r="A1504" s="13" t="s">
        <v>2198</v>
      </c>
      <c r="B1504" s="2" t="s">
        <v>2199</v>
      </c>
      <c r="C1504" s="4" t="s">
        <v>21</v>
      </c>
      <c r="D1504" s="11">
        <v>40611</v>
      </c>
      <c r="E1504" s="7" t="s">
        <v>2200</v>
      </c>
      <c r="F1504" s="4" t="s">
        <v>4794</v>
      </c>
      <c r="G1504" s="12" t="str">
        <f>IF(AND(Tabela1[[#This Row],[Data nascimento]]&gt;=$J$2,Tabela1[[#This Row],[Data nascimento]]&lt;=$I$2),"INFANTIL A",H1504)</f>
        <v>INICIADO</v>
      </c>
      <c r="H1504" s="3" t="str">
        <f>IF(AND(Tabela1[[#This Row],[Data nascimento]]&gt;=$L$2,Tabela1[[#This Row],[Data nascimento]]&lt;=$K$2),"INFANTIL B",I1504)</f>
        <v>INICIADO</v>
      </c>
      <c r="I1504" s="9" t="str">
        <f>IF(AND(Tabela1[[#This Row],[Data nascimento]]&gt;=$N$2,Tabela1[[#This Row],[Data nascimento]]&lt;=$M$2),"INICIADO",J1504)</f>
        <v>INICIADO</v>
      </c>
      <c r="J1504" s="9" t="str">
        <f>IF(AND(Tabela1[[#This Row],[Data nascimento]]&gt;=$P$2,Tabela1[[#This Row],[Data nascimento]]&lt;=$O$2),"JUVENIL","JÚNIOR")</f>
        <v>JÚNIOR</v>
      </c>
    </row>
    <row r="1505" spans="1:10" ht="15" x14ac:dyDescent="0.4">
      <c r="A1505" s="13" t="s">
        <v>2201</v>
      </c>
      <c r="B1505" s="2" t="s">
        <v>2202</v>
      </c>
      <c r="C1505" s="4" t="s">
        <v>21</v>
      </c>
      <c r="D1505" s="11">
        <v>40641</v>
      </c>
      <c r="E1505" s="7" t="s">
        <v>2203</v>
      </c>
      <c r="F1505" s="4" t="s">
        <v>4794</v>
      </c>
      <c r="G1505" s="12" t="str">
        <f>IF(AND(Tabela1[[#This Row],[Data nascimento]]&gt;=$J$2,Tabela1[[#This Row],[Data nascimento]]&lt;=$I$2),"INFANTIL A",H1505)</f>
        <v>INICIADO</v>
      </c>
      <c r="H1505" s="3" t="str">
        <f>IF(AND(Tabela1[[#This Row],[Data nascimento]]&gt;=$L$2,Tabela1[[#This Row],[Data nascimento]]&lt;=$K$2),"INFANTIL B",I1505)</f>
        <v>INICIADO</v>
      </c>
      <c r="I1505" s="9" t="str">
        <f>IF(AND(Tabela1[[#This Row],[Data nascimento]]&gt;=$N$2,Tabela1[[#This Row],[Data nascimento]]&lt;=$M$2),"INICIADO",J1505)</f>
        <v>INICIADO</v>
      </c>
      <c r="J1505" s="9" t="str">
        <f>IF(AND(Tabela1[[#This Row],[Data nascimento]]&gt;=$P$2,Tabela1[[#This Row],[Data nascimento]]&lt;=$O$2),"JUVENIL","JÚNIOR")</f>
        <v>JÚNIOR</v>
      </c>
    </row>
    <row r="1506" spans="1:10" ht="15" x14ac:dyDescent="0.4">
      <c r="A1506" s="13" t="s">
        <v>2204</v>
      </c>
      <c r="B1506" s="2" t="s">
        <v>2205</v>
      </c>
      <c r="C1506" s="4" t="s">
        <v>8</v>
      </c>
      <c r="D1506" s="11">
        <v>40417</v>
      </c>
      <c r="E1506" s="7" t="s">
        <v>2206</v>
      </c>
      <c r="F1506" s="4" t="s">
        <v>4794</v>
      </c>
      <c r="G1506" s="12" t="str">
        <f>IF(AND(Tabela1[[#This Row],[Data nascimento]]&gt;=$J$2,Tabela1[[#This Row],[Data nascimento]]&lt;=$I$2),"INFANTIL A",H1506)</f>
        <v>JUVENIL</v>
      </c>
      <c r="H1506" s="3" t="str">
        <f>IF(AND(Tabela1[[#This Row],[Data nascimento]]&gt;=$L$2,Tabela1[[#This Row],[Data nascimento]]&lt;=$K$2),"INFANTIL B",I1506)</f>
        <v>JUVENIL</v>
      </c>
      <c r="I1506" s="9" t="str">
        <f>IF(AND(Tabela1[[#This Row],[Data nascimento]]&gt;=$N$2,Tabela1[[#This Row],[Data nascimento]]&lt;=$M$2),"INICIADO",J1506)</f>
        <v>JUVENIL</v>
      </c>
      <c r="J1506" s="9" t="str">
        <f>IF(AND(Tabela1[[#This Row],[Data nascimento]]&gt;=$P$2,Tabela1[[#This Row],[Data nascimento]]&lt;=$O$2),"JUVENIL","JÚNIOR")</f>
        <v>JUVENIL</v>
      </c>
    </row>
    <row r="1507" spans="1:10" ht="15" x14ac:dyDescent="0.4">
      <c r="A1507" s="13" t="s">
        <v>2207</v>
      </c>
      <c r="B1507" s="2" t="s">
        <v>2208</v>
      </c>
      <c r="C1507" s="4" t="s">
        <v>21</v>
      </c>
      <c r="D1507" s="11">
        <v>40658</v>
      </c>
      <c r="E1507" s="7" t="s">
        <v>2209</v>
      </c>
      <c r="F1507" s="4" t="s">
        <v>4793</v>
      </c>
      <c r="G1507" s="12" t="str">
        <f>IF(AND(Tabela1[[#This Row],[Data nascimento]]&gt;=$J$2,Tabela1[[#This Row],[Data nascimento]]&lt;=$I$2),"INFANTIL A",H1507)</f>
        <v>INICIADO</v>
      </c>
      <c r="H1507" s="3" t="str">
        <f>IF(AND(Tabela1[[#This Row],[Data nascimento]]&gt;=$L$2,Tabela1[[#This Row],[Data nascimento]]&lt;=$K$2),"INFANTIL B",I1507)</f>
        <v>INICIADO</v>
      </c>
      <c r="I1507" s="9" t="str">
        <f>IF(AND(Tabela1[[#This Row],[Data nascimento]]&gt;=$N$2,Tabela1[[#This Row],[Data nascimento]]&lt;=$M$2),"INICIADO",J1507)</f>
        <v>INICIADO</v>
      </c>
      <c r="J1507" s="9" t="str">
        <f>IF(AND(Tabela1[[#This Row],[Data nascimento]]&gt;=$P$2,Tabela1[[#This Row],[Data nascimento]]&lt;=$O$2),"JUVENIL","JÚNIOR")</f>
        <v>JÚNIOR</v>
      </c>
    </row>
    <row r="1508" spans="1:10" ht="15" x14ac:dyDescent="0.4">
      <c r="A1508" s="13" t="s">
        <v>2210</v>
      </c>
      <c r="B1508" s="2" t="s">
        <v>2211</v>
      </c>
      <c r="C1508" s="4" t="s">
        <v>8</v>
      </c>
      <c r="D1508" s="11">
        <v>40799</v>
      </c>
      <c r="E1508" s="7" t="s">
        <v>2212</v>
      </c>
      <c r="F1508" s="4" t="s">
        <v>4793</v>
      </c>
      <c r="G1508" s="12" t="str">
        <f>IF(AND(Tabela1[[#This Row],[Data nascimento]]&gt;=$J$2,Tabela1[[#This Row],[Data nascimento]]&lt;=$I$2),"INFANTIL A",H1508)</f>
        <v>INICIADO</v>
      </c>
      <c r="H1508" s="3" t="str">
        <f>IF(AND(Tabela1[[#This Row],[Data nascimento]]&gt;=$L$2,Tabela1[[#This Row],[Data nascimento]]&lt;=$K$2),"INFANTIL B",I1508)</f>
        <v>INICIADO</v>
      </c>
      <c r="I1508" s="9" t="str">
        <f>IF(AND(Tabela1[[#This Row],[Data nascimento]]&gt;=$N$2,Tabela1[[#This Row],[Data nascimento]]&lt;=$M$2),"INICIADO",J1508)</f>
        <v>INICIADO</v>
      </c>
      <c r="J1508" s="9" t="str">
        <f>IF(AND(Tabela1[[#This Row],[Data nascimento]]&gt;=$P$2,Tabela1[[#This Row],[Data nascimento]]&lt;=$O$2),"JUVENIL","JÚNIOR")</f>
        <v>JÚNIOR</v>
      </c>
    </row>
    <row r="1509" spans="1:10" ht="15" x14ac:dyDescent="0.4">
      <c r="A1509" s="13" t="s">
        <v>2213</v>
      </c>
      <c r="B1509" s="2" t="s">
        <v>2214</v>
      </c>
      <c r="C1509" s="4" t="s">
        <v>8</v>
      </c>
      <c r="D1509" s="11">
        <v>40715</v>
      </c>
      <c r="E1509" s="7" t="s">
        <v>2215</v>
      </c>
      <c r="F1509" s="4" t="s">
        <v>4793</v>
      </c>
      <c r="G1509" s="12" t="str">
        <f>IF(AND(Tabela1[[#This Row],[Data nascimento]]&gt;=$J$2,Tabela1[[#This Row],[Data nascimento]]&lt;=$I$2),"INFANTIL A",H1509)</f>
        <v>INICIADO</v>
      </c>
      <c r="H1509" s="3" t="str">
        <f>IF(AND(Tabela1[[#This Row],[Data nascimento]]&gt;=$L$2,Tabela1[[#This Row],[Data nascimento]]&lt;=$K$2),"INFANTIL B",I1509)</f>
        <v>INICIADO</v>
      </c>
      <c r="I1509" s="9" t="str">
        <f>IF(AND(Tabela1[[#This Row],[Data nascimento]]&gt;=$N$2,Tabela1[[#This Row],[Data nascimento]]&lt;=$M$2),"INICIADO",J1509)</f>
        <v>INICIADO</v>
      </c>
      <c r="J1509" s="9" t="str">
        <f>IF(AND(Tabela1[[#This Row],[Data nascimento]]&gt;=$P$2,Tabela1[[#This Row],[Data nascimento]]&lt;=$O$2),"JUVENIL","JÚNIOR")</f>
        <v>JÚNIOR</v>
      </c>
    </row>
    <row r="1510" spans="1:10" ht="15" x14ac:dyDescent="0.4">
      <c r="A1510" s="13" t="s">
        <v>2216</v>
      </c>
      <c r="B1510" s="2" t="s">
        <v>2217</v>
      </c>
      <c r="C1510" s="4" t="s">
        <v>8</v>
      </c>
      <c r="D1510" s="11">
        <v>40803</v>
      </c>
      <c r="E1510" s="7" t="s">
        <v>2218</v>
      </c>
      <c r="F1510" s="4" t="s">
        <v>4793</v>
      </c>
      <c r="G1510" s="12" t="str">
        <f>IF(AND(Tabela1[[#This Row],[Data nascimento]]&gt;=$J$2,Tabela1[[#This Row],[Data nascimento]]&lt;=$I$2),"INFANTIL A",H1510)</f>
        <v>INICIADO</v>
      </c>
      <c r="H1510" s="3" t="str">
        <f>IF(AND(Tabela1[[#This Row],[Data nascimento]]&gt;=$L$2,Tabela1[[#This Row],[Data nascimento]]&lt;=$K$2),"INFANTIL B",I1510)</f>
        <v>INICIADO</v>
      </c>
      <c r="I1510" s="9" t="str">
        <f>IF(AND(Tabela1[[#This Row],[Data nascimento]]&gt;=$N$2,Tabela1[[#This Row],[Data nascimento]]&lt;=$M$2),"INICIADO",J1510)</f>
        <v>INICIADO</v>
      </c>
      <c r="J1510" s="9" t="str">
        <f>IF(AND(Tabela1[[#This Row],[Data nascimento]]&gt;=$P$2,Tabela1[[#This Row],[Data nascimento]]&lt;=$O$2),"JUVENIL","JÚNIOR")</f>
        <v>JÚNIOR</v>
      </c>
    </row>
    <row r="1511" spans="1:10" ht="15" x14ac:dyDescent="0.4">
      <c r="A1511" s="13" t="s">
        <v>2219</v>
      </c>
      <c r="B1511" s="2" t="s">
        <v>2220</v>
      </c>
      <c r="C1511" s="4" t="s">
        <v>21</v>
      </c>
      <c r="D1511" s="11">
        <v>40604</v>
      </c>
      <c r="E1511" s="7" t="s">
        <v>2221</v>
      </c>
      <c r="F1511" s="4" t="s">
        <v>4793</v>
      </c>
      <c r="G1511" s="12" t="str">
        <f>IF(AND(Tabela1[[#This Row],[Data nascimento]]&gt;=$J$2,Tabela1[[#This Row],[Data nascimento]]&lt;=$I$2),"INFANTIL A",H1511)</f>
        <v>INICIADO</v>
      </c>
      <c r="H1511" s="3" t="str">
        <f>IF(AND(Tabela1[[#This Row],[Data nascimento]]&gt;=$L$2,Tabela1[[#This Row],[Data nascimento]]&lt;=$K$2),"INFANTIL B",I1511)</f>
        <v>INICIADO</v>
      </c>
      <c r="I1511" s="9" t="str">
        <f>IF(AND(Tabela1[[#This Row],[Data nascimento]]&gt;=$N$2,Tabela1[[#This Row],[Data nascimento]]&lt;=$M$2),"INICIADO",J1511)</f>
        <v>INICIADO</v>
      </c>
      <c r="J1511" s="9" t="str">
        <f>IF(AND(Tabela1[[#This Row],[Data nascimento]]&gt;=$P$2,Tabela1[[#This Row],[Data nascimento]]&lt;=$O$2),"JUVENIL","JÚNIOR")</f>
        <v>JÚNIOR</v>
      </c>
    </row>
    <row r="1512" spans="1:10" ht="15" x14ac:dyDescent="0.4">
      <c r="A1512" s="13" t="s">
        <v>2222</v>
      </c>
      <c r="B1512" s="2" t="s">
        <v>2223</v>
      </c>
      <c r="C1512" s="4" t="s">
        <v>21</v>
      </c>
      <c r="D1512" s="11">
        <v>40707</v>
      </c>
      <c r="E1512" s="7" t="s">
        <v>2224</v>
      </c>
      <c r="F1512" s="4" t="s">
        <v>4793</v>
      </c>
      <c r="G1512" s="12" t="str">
        <f>IF(AND(Tabela1[[#This Row],[Data nascimento]]&gt;=$J$2,Tabela1[[#This Row],[Data nascimento]]&lt;=$I$2),"INFANTIL A",H1512)</f>
        <v>INICIADO</v>
      </c>
      <c r="H1512" s="3" t="str">
        <f>IF(AND(Tabela1[[#This Row],[Data nascimento]]&gt;=$L$2,Tabela1[[#This Row],[Data nascimento]]&lt;=$K$2),"INFANTIL B",I1512)</f>
        <v>INICIADO</v>
      </c>
      <c r="I1512" s="9" t="str">
        <f>IF(AND(Tabela1[[#This Row],[Data nascimento]]&gt;=$N$2,Tabela1[[#This Row],[Data nascimento]]&lt;=$M$2),"INICIADO",J1512)</f>
        <v>INICIADO</v>
      </c>
      <c r="J1512" s="9" t="str">
        <f>IF(AND(Tabela1[[#This Row],[Data nascimento]]&gt;=$P$2,Tabela1[[#This Row],[Data nascimento]]&lt;=$O$2),"JUVENIL","JÚNIOR")</f>
        <v>JÚNIOR</v>
      </c>
    </row>
    <row r="1513" spans="1:10" ht="15" x14ac:dyDescent="0.4">
      <c r="A1513" s="13" t="s">
        <v>2225</v>
      </c>
      <c r="B1513" s="2" t="s">
        <v>2226</v>
      </c>
      <c r="C1513" s="4" t="s">
        <v>8</v>
      </c>
      <c r="D1513" s="11">
        <v>40599</v>
      </c>
      <c r="E1513" s="7" t="s">
        <v>2227</v>
      </c>
      <c r="F1513" s="4" t="s">
        <v>4793</v>
      </c>
      <c r="G1513" s="12" t="str">
        <f>IF(AND(Tabela1[[#This Row],[Data nascimento]]&gt;=$J$2,Tabela1[[#This Row],[Data nascimento]]&lt;=$I$2),"INFANTIL A",H1513)</f>
        <v>INICIADO</v>
      </c>
      <c r="H1513" s="3" t="str">
        <f>IF(AND(Tabela1[[#This Row],[Data nascimento]]&gt;=$L$2,Tabela1[[#This Row],[Data nascimento]]&lt;=$K$2),"INFANTIL B",I1513)</f>
        <v>INICIADO</v>
      </c>
      <c r="I1513" s="9" t="str">
        <f>IF(AND(Tabela1[[#This Row],[Data nascimento]]&gt;=$N$2,Tabela1[[#This Row],[Data nascimento]]&lt;=$M$2),"INICIADO",J1513)</f>
        <v>INICIADO</v>
      </c>
      <c r="J1513" s="9" t="str">
        <f>IF(AND(Tabela1[[#This Row],[Data nascimento]]&gt;=$P$2,Tabela1[[#This Row],[Data nascimento]]&lt;=$O$2),"JUVENIL","JÚNIOR")</f>
        <v>JÚNIOR</v>
      </c>
    </row>
    <row r="1514" spans="1:10" ht="15" x14ac:dyDescent="0.4">
      <c r="A1514" s="13" t="s">
        <v>2228</v>
      </c>
      <c r="B1514" s="2" t="s">
        <v>2229</v>
      </c>
      <c r="C1514" s="4" t="s">
        <v>21</v>
      </c>
      <c r="D1514" s="11">
        <v>40775</v>
      </c>
      <c r="E1514" s="7" t="s">
        <v>2230</v>
      </c>
      <c r="F1514" s="4" t="s">
        <v>4793</v>
      </c>
      <c r="G1514" s="12" t="str">
        <f>IF(AND(Tabela1[[#This Row],[Data nascimento]]&gt;=$J$2,Tabela1[[#This Row],[Data nascimento]]&lt;=$I$2),"INFANTIL A",H1514)</f>
        <v>INICIADO</v>
      </c>
      <c r="H1514" s="3" t="str">
        <f>IF(AND(Tabela1[[#This Row],[Data nascimento]]&gt;=$L$2,Tabela1[[#This Row],[Data nascimento]]&lt;=$K$2),"INFANTIL B",I1514)</f>
        <v>INICIADO</v>
      </c>
      <c r="I1514" s="9" t="str">
        <f>IF(AND(Tabela1[[#This Row],[Data nascimento]]&gt;=$N$2,Tabela1[[#This Row],[Data nascimento]]&lt;=$M$2),"INICIADO",J1514)</f>
        <v>INICIADO</v>
      </c>
      <c r="J1514" s="9" t="str">
        <f>IF(AND(Tabela1[[#This Row],[Data nascimento]]&gt;=$P$2,Tabela1[[#This Row],[Data nascimento]]&lt;=$O$2),"JUVENIL","JÚNIOR")</f>
        <v>JÚNIOR</v>
      </c>
    </row>
    <row r="1515" spans="1:10" ht="15" x14ac:dyDescent="0.4">
      <c r="A1515" s="13" t="s">
        <v>2231</v>
      </c>
      <c r="B1515" s="2" t="s">
        <v>2232</v>
      </c>
      <c r="C1515" s="4" t="s">
        <v>21</v>
      </c>
      <c r="D1515" s="11">
        <v>40781</v>
      </c>
      <c r="E1515" s="7" t="s">
        <v>2233</v>
      </c>
      <c r="F1515" s="4" t="s">
        <v>4793</v>
      </c>
      <c r="G1515" s="12" t="str">
        <f>IF(AND(Tabela1[[#This Row],[Data nascimento]]&gt;=$J$2,Tabela1[[#This Row],[Data nascimento]]&lt;=$I$2),"INFANTIL A",H1515)</f>
        <v>INICIADO</v>
      </c>
      <c r="H1515" s="3" t="str">
        <f>IF(AND(Tabela1[[#This Row],[Data nascimento]]&gt;=$L$2,Tabela1[[#This Row],[Data nascimento]]&lt;=$K$2),"INFANTIL B",I1515)</f>
        <v>INICIADO</v>
      </c>
      <c r="I1515" s="9" t="str">
        <f>IF(AND(Tabela1[[#This Row],[Data nascimento]]&gt;=$N$2,Tabela1[[#This Row],[Data nascimento]]&lt;=$M$2),"INICIADO",J1515)</f>
        <v>INICIADO</v>
      </c>
      <c r="J1515" s="9" t="str">
        <f>IF(AND(Tabela1[[#This Row],[Data nascimento]]&gt;=$P$2,Tabela1[[#This Row],[Data nascimento]]&lt;=$O$2),"JUVENIL","JÚNIOR")</f>
        <v>JÚNIOR</v>
      </c>
    </row>
    <row r="1516" spans="1:10" ht="15" x14ac:dyDescent="0.4">
      <c r="A1516" s="13" t="s">
        <v>2234</v>
      </c>
      <c r="B1516" s="2" t="s">
        <v>2235</v>
      </c>
      <c r="C1516" s="4" t="s">
        <v>21</v>
      </c>
      <c r="D1516" s="11">
        <v>40804</v>
      </c>
      <c r="E1516" s="7" t="s">
        <v>2236</v>
      </c>
      <c r="F1516" s="4" t="s">
        <v>4793</v>
      </c>
      <c r="G1516" s="12" t="str">
        <f>IF(AND(Tabela1[[#This Row],[Data nascimento]]&gt;=$J$2,Tabela1[[#This Row],[Data nascimento]]&lt;=$I$2),"INFANTIL A",H1516)</f>
        <v>INICIADO</v>
      </c>
      <c r="H1516" s="3" t="str">
        <f>IF(AND(Tabela1[[#This Row],[Data nascimento]]&gt;=$L$2,Tabela1[[#This Row],[Data nascimento]]&lt;=$K$2),"INFANTIL B",I1516)</f>
        <v>INICIADO</v>
      </c>
      <c r="I1516" s="9" t="str">
        <f>IF(AND(Tabela1[[#This Row],[Data nascimento]]&gt;=$N$2,Tabela1[[#This Row],[Data nascimento]]&lt;=$M$2),"INICIADO",J1516)</f>
        <v>INICIADO</v>
      </c>
      <c r="J1516" s="9" t="str">
        <f>IF(AND(Tabela1[[#This Row],[Data nascimento]]&gt;=$P$2,Tabela1[[#This Row],[Data nascimento]]&lt;=$O$2),"JUVENIL","JÚNIOR")</f>
        <v>JÚNIOR</v>
      </c>
    </row>
    <row r="1517" spans="1:10" ht="15" x14ac:dyDescent="0.4">
      <c r="A1517" s="13" t="s">
        <v>2237</v>
      </c>
      <c r="B1517" s="2" t="s">
        <v>2238</v>
      </c>
      <c r="C1517" s="4" t="s">
        <v>8</v>
      </c>
      <c r="D1517" s="11">
        <v>40751</v>
      </c>
      <c r="E1517" s="7" t="s">
        <v>2239</v>
      </c>
      <c r="F1517" s="4" t="s">
        <v>4793</v>
      </c>
      <c r="G1517" s="12" t="str">
        <f>IF(AND(Tabela1[[#This Row],[Data nascimento]]&gt;=$J$2,Tabela1[[#This Row],[Data nascimento]]&lt;=$I$2),"INFANTIL A",H1517)</f>
        <v>INICIADO</v>
      </c>
      <c r="H1517" s="3" t="str">
        <f>IF(AND(Tabela1[[#This Row],[Data nascimento]]&gt;=$L$2,Tabela1[[#This Row],[Data nascimento]]&lt;=$K$2),"INFANTIL B",I1517)</f>
        <v>INICIADO</v>
      </c>
      <c r="I1517" s="9" t="str">
        <f>IF(AND(Tabela1[[#This Row],[Data nascimento]]&gt;=$N$2,Tabela1[[#This Row],[Data nascimento]]&lt;=$M$2),"INICIADO",J1517)</f>
        <v>INICIADO</v>
      </c>
      <c r="J1517" s="9" t="str">
        <f>IF(AND(Tabela1[[#This Row],[Data nascimento]]&gt;=$P$2,Tabela1[[#This Row],[Data nascimento]]&lt;=$O$2),"JUVENIL","JÚNIOR")</f>
        <v>JÚNIOR</v>
      </c>
    </row>
    <row r="1518" spans="1:10" ht="15" x14ac:dyDescent="0.4">
      <c r="A1518" s="13" t="s">
        <v>2240</v>
      </c>
      <c r="B1518" s="2" t="s">
        <v>2241</v>
      </c>
      <c r="C1518" s="4" t="s">
        <v>8</v>
      </c>
      <c r="D1518" s="11">
        <v>40629</v>
      </c>
      <c r="E1518" s="7" t="s">
        <v>2242</v>
      </c>
      <c r="F1518" s="4" t="s">
        <v>4793</v>
      </c>
      <c r="G1518" s="12" t="str">
        <f>IF(AND(Tabela1[[#This Row],[Data nascimento]]&gt;=$J$2,Tabela1[[#This Row],[Data nascimento]]&lt;=$I$2),"INFANTIL A",H1518)</f>
        <v>INICIADO</v>
      </c>
      <c r="H1518" s="3" t="str">
        <f>IF(AND(Tabela1[[#This Row],[Data nascimento]]&gt;=$L$2,Tabela1[[#This Row],[Data nascimento]]&lt;=$K$2),"INFANTIL B",I1518)</f>
        <v>INICIADO</v>
      </c>
      <c r="I1518" s="9" t="str">
        <f>IF(AND(Tabela1[[#This Row],[Data nascimento]]&gt;=$N$2,Tabela1[[#This Row],[Data nascimento]]&lt;=$M$2),"INICIADO",J1518)</f>
        <v>INICIADO</v>
      </c>
      <c r="J1518" s="9" t="str">
        <f>IF(AND(Tabela1[[#This Row],[Data nascimento]]&gt;=$P$2,Tabela1[[#This Row],[Data nascimento]]&lt;=$O$2),"JUVENIL","JÚNIOR")</f>
        <v>JÚNIOR</v>
      </c>
    </row>
    <row r="1519" spans="1:10" ht="15" x14ac:dyDescent="0.4">
      <c r="A1519" s="13" t="s">
        <v>2243</v>
      </c>
      <c r="B1519" s="2" t="s">
        <v>2244</v>
      </c>
      <c r="C1519" s="4" t="s">
        <v>8</v>
      </c>
      <c r="D1519" s="11">
        <v>40751</v>
      </c>
      <c r="E1519" s="7" t="s">
        <v>2245</v>
      </c>
      <c r="F1519" s="4" t="s">
        <v>4793</v>
      </c>
      <c r="G1519" s="12" t="str">
        <f>IF(AND(Tabela1[[#This Row],[Data nascimento]]&gt;=$J$2,Tabela1[[#This Row],[Data nascimento]]&lt;=$I$2),"INFANTIL A",H1519)</f>
        <v>INICIADO</v>
      </c>
      <c r="H1519" s="3" t="str">
        <f>IF(AND(Tabela1[[#This Row],[Data nascimento]]&gt;=$L$2,Tabela1[[#This Row],[Data nascimento]]&lt;=$K$2),"INFANTIL B",I1519)</f>
        <v>INICIADO</v>
      </c>
      <c r="I1519" s="9" t="str">
        <f>IF(AND(Tabela1[[#This Row],[Data nascimento]]&gt;=$N$2,Tabela1[[#This Row],[Data nascimento]]&lt;=$M$2),"INICIADO",J1519)</f>
        <v>INICIADO</v>
      </c>
      <c r="J1519" s="9" t="str">
        <f>IF(AND(Tabela1[[#This Row],[Data nascimento]]&gt;=$P$2,Tabela1[[#This Row],[Data nascimento]]&lt;=$O$2),"JUVENIL","JÚNIOR")</f>
        <v>JÚNIOR</v>
      </c>
    </row>
    <row r="1520" spans="1:10" ht="15" x14ac:dyDescent="0.4">
      <c r="A1520" s="13" t="s">
        <v>2246</v>
      </c>
      <c r="B1520" s="2" t="s">
        <v>2247</v>
      </c>
      <c r="C1520" s="4" t="s">
        <v>8</v>
      </c>
      <c r="D1520" s="11">
        <v>40611</v>
      </c>
      <c r="E1520" s="7" t="s">
        <v>2248</v>
      </c>
      <c r="F1520" s="4" t="s">
        <v>4793</v>
      </c>
      <c r="G1520" s="12" t="str">
        <f>IF(AND(Tabela1[[#This Row],[Data nascimento]]&gt;=$J$2,Tabela1[[#This Row],[Data nascimento]]&lt;=$I$2),"INFANTIL A",H1520)</f>
        <v>INICIADO</v>
      </c>
      <c r="H1520" s="3" t="str">
        <f>IF(AND(Tabela1[[#This Row],[Data nascimento]]&gt;=$L$2,Tabela1[[#This Row],[Data nascimento]]&lt;=$K$2),"INFANTIL B",I1520)</f>
        <v>INICIADO</v>
      </c>
      <c r="I1520" s="9" t="str">
        <f>IF(AND(Tabela1[[#This Row],[Data nascimento]]&gt;=$N$2,Tabela1[[#This Row],[Data nascimento]]&lt;=$M$2),"INICIADO",J1520)</f>
        <v>INICIADO</v>
      </c>
      <c r="J1520" s="9" t="str">
        <f>IF(AND(Tabela1[[#This Row],[Data nascimento]]&gt;=$P$2,Tabela1[[#This Row],[Data nascimento]]&lt;=$O$2),"JUVENIL","JÚNIOR")</f>
        <v>JÚNIOR</v>
      </c>
    </row>
    <row r="1521" spans="1:10" ht="15" x14ac:dyDescent="0.4">
      <c r="A1521" s="13" t="s">
        <v>2249</v>
      </c>
      <c r="B1521" s="2" t="s">
        <v>2250</v>
      </c>
      <c r="C1521" s="4" t="s">
        <v>21</v>
      </c>
      <c r="D1521" s="11">
        <v>40564</v>
      </c>
      <c r="E1521" s="7" t="s">
        <v>2251</v>
      </c>
      <c r="F1521" s="4" t="s">
        <v>4793</v>
      </c>
      <c r="G1521" s="12" t="str">
        <f>IF(AND(Tabela1[[#This Row],[Data nascimento]]&gt;=$J$2,Tabela1[[#This Row],[Data nascimento]]&lt;=$I$2),"INFANTIL A",H1521)</f>
        <v>INICIADO</v>
      </c>
      <c r="H1521" s="3" t="str">
        <f>IF(AND(Tabela1[[#This Row],[Data nascimento]]&gt;=$L$2,Tabela1[[#This Row],[Data nascimento]]&lt;=$K$2),"INFANTIL B",I1521)</f>
        <v>INICIADO</v>
      </c>
      <c r="I1521" s="9" t="str">
        <f>IF(AND(Tabela1[[#This Row],[Data nascimento]]&gt;=$N$2,Tabela1[[#This Row],[Data nascimento]]&lt;=$M$2),"INICIADO",J1521)</f>
        <v>INICIADO</v>
      </c>
      <c r="J1521" s="9" t="str">
        <f>IF(AND(Tabela1[[#This Row],[Data nascimento]]&gt;=$P$2,Tabela1[[#This Row],[Data nascimento]]&lt;=$O$2),"JUVENIL","JÚNIOR")</f>
        <v>JÚNIOR</v>
      </c>
    </row>
    <row r="1522" spans="1:10" ht="15" x14ac:dyDescent="0.4">
      <c r="A1522" s="13" t="s">
        <v>2252</v>
      </c>
      <c r="B1522" s="2" t="s">
        <v>2253</v>
      </c>
      <c r="C1522" s="4" t="s">
        <v>8</v>
      </c>
      <c r="D1522" s="11">
        <v>40348</v>
      </c>
      <c r="E1522" s="7" t="s">
        <v>2254</v>
      </c>
      <c r="F1522" s="4" t="s">
        <v>4793</v>
      </c>
      <c r="G1522" s="12" t="str">
        <f>IF(AND(Tabela1[[#This Row],[Data nascimento]]&gt;=$J$2,Tabela1[[#This Row],[Data nascimento]]&lt;=$I$2),"INFANTIL A",H1522)</f>
        <v>JUVENIL</v>
      </c>
      <c r="H1522" s="3" t="str">
        <f>IF(AND(Tabela1[[#This Row],[Data nascimento]]&gt;=$L$2,Tabela1[[#This Row],[Data nascimento]]&lt;=$K$2),"INFANTIL B",I1522)</f>
        <v>JUVENIL</v>
      </c>
      <c r="I1522" s="9" t="str">
        <f>IF(AND(Tabela1[[#This Row],[Data nascimento]]&gt;=$N$2,Tabela1[[#This Row],[Data nascimento]]&lt;=$M$2),"INICIADO",J1522)</f>
        <v>JUVENIL</v>
      </c>
      <c r="J1522" s="9" t="str">
        <f>IF(AND(Tabela1[[#This Row],[Data nascimento]]&gt;=$P$2,Tabela1[[#This Row],[Data nascimento]]&lt;=$O$2),"JUVENIL","JÚNIOR")</f>
        <v>JUVENIL</v>
      </c>
    </row>
    <row r="1523" spans="1:10" ht="15" x14ac:dyDescent="0.4">
      <c r="A1523" s="13" t="s">
        <v>2255</v>
      </c>
      <c r="B1523" s="2" t="s">
        <v>2256</v>
      </c>
      <c r="C1523" s="4" t="s">
        <v>8</v>
      </c>
      <c r="D1523" s="11">
        <v>40555</v>
      </c>
      <c r="E1523" s="7" t="s">
        <v>2257</v>
      </c>
      <c r="F1523" s="4" t="s">
        <v>4795</v>
      </c>
      <c r="G1523" s="12" t="str">
        <f>IF(AND(Tabela1[[#This Row],[Data nascimento]]&gt;=$J$2,Tabela1[[#This Row],[Data nascimento]]&lt;=$I$2),"INFANTIL A",H1523)</f>
        <v>INICIADO</v>
      </c>
      <c r="H1523" s="3" t="str">
        <f>IF(AND(Tabela1[[#This Row],[Data nascimento]]&gt;=$L$2,Tabela1[[#This Row],[Data nascimento]]&lt;=$K$2),"INFANTIL B",I1523)</f>
        <v>INICIADO</v>
      </c>
      <c r="I1523" s="9" t="str">
        <f>IF(AND(Tabela1[[#This Row],[Data nascimento]]&gt;=$N$2,Tabela1[[#This Row],[Data nascimento]]&lt;=$M$2),"INICIADO",J1523)</f>
        <v>INICIADO</v>
      </c>
      <c r="J1523" s="9" t="str">
        <f>IF(AND(Tabela1[[#This Row],[Data nascimento]]&gt;=$P$2,Tabela1[[#This Row],[Data nascimento]]&lt;=$O$2),"JUVENIL","JÚNIOR")</f>
        <v>JÚNIOR</v>
      </c>
    </row>
    <row r="1524" spans="1:10" ht="15" x14ac:dyDescent="0.4">
      <c r="A1524" s="13" t="s">
        <v>2258</v>
      </c>
      <c r="B1524" s="2" t="s">
        <v>2259</v>
      </c>
      <c r="C1524" s="4" t="s">
        <v>21</v>
      </c>
      <c r="D1524" s="11">
        <v>40798</v>
      </c>
      <c r="E1524" s="7" t="s">
        <v>2260</v>
      </c>
      <c r="F1524" s="4" t="s">
        <v>4795</v>
      </c>
      <c r="G1524" s="12" t="str">
        <f>IF(AND(Tabela1[[#This Row],[Data nascimento]]&gt;=$J$2,Tabela1[[#This Row],[Data nascimento]]&lt;=$I$2),"INFANTIL A",H1524)</f>
        <v>INICIADO</v>
      </c>
      <c r="H1524" s="3" t="str">
        <f>IF(AND(Tabela1[[#This Row],[Data nascimento]]&gt;=$L$2,Tabela1[[#This Row],[Data nascimento]]&lt;=$K$2),"INFANTIL B",I1524)</f>
        <v>INICIADO</v>
      </c>
      <c r="I1524" s="9" t="str">
        <f>IF(AND(Tabela1[[#This Row],[Data nascimento]]&gt;=$N$2,Tabela1[[#This Row],[Data nascimento]]&lt;=$M$2),"INICIADO",J1524)</f>
        <v>INICIADO</v>
      </c>
      <c r="J1524" s="9" t="str">
        <f>IF(AND(Tabela1[[#This Row],[Data nascimento]]&gt;=$P$2,Tabela1[[#This Row],[Data nascimento]]&lt;=$O$2),"JUVENIL","JÚNIOR")</f>
        <v>JÚNIOR</v>
      </c>
    </row>
    <row r="1525" spans="1:10" ht="15" x14ac:dyDescent="0.4">
      <c r="A1525" s="13" t="s">
        <v>2261</v>
      </c>
      <c r="B1525" s="2" t="s">
        <v>2262</v>
      </c>
      <c r="C1525" s="4" t="s">
        <v>8</v>
      </c>
      <c r="D1525" s="11">
        <v>40567</v>
      </c>
      <c r="E1525" s="7" t="s">
        <v>2263</v>
      </c>
      <c r="F1525" s="4" t="s">
        <v>4795</v>
      </c>
      <c r="G1525" s="12" t="str">
        <f>IF(AND(Tabela1[[#This Row],[Data nascimento]]&gt;=$J$2,Tabela1[[#This Row],[Data nascimento]]&lt;=$I$2),"INFANTIL A",H1525)</f>
        <v>INICIADO</v>
      </c>
      <c r="H1525" s="3" t="str">
        <f>IF(AND(Tabela1[[#This Row],[Data nascimento]]&gt;=$L$2,Tabela1[[#This Row],[Data nascimento]]&lt;=$K$2),"INFANTIL B",I1525)</f>
        <v>INICIADO</v>
      </c>
      <c r="I1525" s="9" t="str">
        <f>IF(AND(Tabela1[[#This Row],[Data nascimento]]&gt;=$N$2,Tabela1[[#This Row],[Data nascimento]]&lt;=$M$2),"INICIADO",J1525)</f>
        <v>INICIADO</v>
      </c>
      <c r="J1525" s="9" t="str">
        <f>IF(AND(Tabela1[[#This Row],[Data nascimento]]&gt;=$P$2,Tabela1[[#This Row],[Data nascimento]]&lt;=$O$2),"JUVENIL","JÚNIOR")</f>
        <v>JÚNIOR</v>
      </c>
    </row>
    <row r="1526" spans="1:10" ht="15" x14ac:dyDescent="0.4">
      <c r="A1526" s="13" t="s">
        <v>2264</v>
      </c>
      <c r="B1526" s="2" t="s">
        <v>2265</v>
      </c>
      <c r="C1526" s="4" t="s">
        <v>21</v>
      </c>
      <c r="D1526" s="11">
        <v>40544</v>
      </c>
      <c r="E1526" s="7" t="s">
        <v>2266</v>
      </c>
      <c r="F1526" s="4" t="s">
        <v>4795</v>
      </c>
      <c r="G1526" s="12" t="str">
        <f>IF(AND(Tabela1[[#This Row],[Data nascimento]]&gt;=$J$2,Tabela1[[#This Row],[Data nascimento]]&lt;=$I$2),"INFANTIL A",H1526)</f>
        <v>INICIADO</v>
      </c>
      <c r="H1526" s="3" t="str">
        <f>IF(AND(Tabela1[[#This Row],[Data nascimento]]&gt;=$L$2,Tabela1[[#This Row],[Data nascimento]]&lt;=$K$2),"INFANTIL B",I1526)</f>
        <v>INICIADO</v>
      </c>
      <c r="I1526" s="9" t="str">
        <f>IF(AND(Tabela1[[#This Row],[Data nascimento]]&gt;=$N$2,Tabela1[[#This Row],[Data nascimento]]&lt;=$M$2),"INICIADO",J1526)</f>
        <v>INICIADO</v>
      </c>
      <c r="J1526" s="9" t="str">
        <f>IF(AND(Tabela1[[#This Row],[Data nascimento]]&gt;=$P$2,Tabela1[[#This Row],[Data nascimento]]&lt;=$O$2),"JUVENIL","JÚNIOR")</f>
        <v>JÚNIOR</v>
      </c>
    </row>
    <row r="1527" spans="1:10" ht="15" x14ac:dyDescent="0.4">
      <c r="A1527" s="13" t="s">
        <v>2267</v>
      </c>
      <c r="B1527" s="2" t="s">
        <v>2268</v>
      </c>
      <c r="C1527" s="4" t="s">
        <v>8</v>
      </c>
      <c r="D1527" s="11">
        <v>40902</v>
      </c>
      <c r="E1527" s="7" t="s">
        <v>2269</v>
      </c>
      <c r="F1527" s="4" t="s">
        <v>4795</v>
      </c>
      <c r="G1527" s="12" t="str">
        <f>IF(AND(Tabela1[[#This Row],[Data nascimento]]&gt;=$J$2,Tabela1[[#This Row],[Data nascimento]]&lt;=$I$2),"INFANTIL A",H1527)</f>
        <v>INICIADO</v>
      </c>
      <c r="H1527" s="3" t="str">
        <f>IF(AND(Tabela1[[#This Row],[Data nascimento]]&gt;=$L$2,Tabela1[[#This Row],[Data nascimento]]&lt;=$K$2),"INFANTIL B",I1527)</f>
        <v>INICIADO</v>
      </c>
      <c r="I1527" s="9" t="str">
        <f>IF(AND(Tabela1[[#This Row],[Data nascimento]]&gt;=$N$2,Tabela1[[#This Row],[Data nascimento]]&lt;=$M$2),"INICIADO",J1527)</f>
        <v>INICIADO</v>
      </c>
      <c r="J1527" s="9" t="str">
        <f>IF(AND(Tabela1[[#This Row],[Data nascimento]]&gt;=$P$2,Tabela1[[#This Row],[Data nascimento]]&lt;=$O$2),"JUVENIL","JÚNIOR")</f>
        <v>JÚNIOR</v>
      </c>
    </row>
    <row r="1528" spans="1:10" ht="15" x14ac:dyDescent="0.4">
      <c r="A1528" s="13" t="s">
        <v>2270</v>
      </c>
      <c r="B1528" s="2" t="s">
        <v>2271</v>
      </c>
      <c r="C1528" s="4" t="s">
        <v>21</v>
      </c>
      <c r="D1528" s="11">
        <v>40526</v>
      </c>
      <c r="E1528" s="7" t="s">
        <v>2272</v>
      </c>
      <c r="F1528" s="4" t="s">
        <v>4795</v>
      </c>
      <c r="G1528" s="12" t="str">
        <f>IF(AND(Tabela1[[#This Row],[Data nascimento]]&gt;=$J$2,Tabela1[[#This Row],[Data nascimento]]&lt;=$I$2),"INFANTIL A",H1528)</f>
        <v>JUVENIL</v>
      </c>
      <c r="H1528" s="3" t="str">
        <f>IF(AND(Tabela1[[#This Row],[Data nascimento]]&gt;=$L$2,Tabela1[[#This Row],[Data nascimento]]&lt;=$K$2),"INFANTIL B",I1528)</f>
        <v>JUVENIL</v>
      </c>
      <c r="I1528" s="9" t="str">
        <f>IF(AND(Tabela1[[#This Row],[Data nascimento]]&gt;=$N$2,Tabela1[[#This Row],[Data nascimento]]&lt;=$M$2),"INICIADO",J1528)</f>
        <v>JUVENIL</v>
      </c>
      <c r="J1528" s="9" t="str">
        <f>IF(AND(Tabela1[[#This Row],[Data nascimento]]&gt;=$P$2,Tabela1[[#This Row],[Data nascimento]]&lt;=$O$2),"JUVENIL","JÚNIOR")</f>
        <v>JUVENIL</v>
      </c>
    </row>
    <row r="1529" spans="1:10" ht="15" x14ac:dyDescent="0.4">
      <c r="A1529" s="13" t="s">
        <v>2273</v>
      </c>
      <c r="B1529" s="2" t="s">
        <v>2274</v>
      </c>
      <c r="C1529" s="4" t="s">
        <v>21</v>
      </c>
      <c r="D1529" s="11">
        <v>40763</v>
      </c>
      <c r="E1529" s="7" t="s">
        <v>2275</v>
      </c>
      <c r="F1529" s="4" t="s">
        <v>4795</v>
      </c>
      <c r="G1529" s="12" t="str">
        <f>IF(AND(Tabela1[[#This Row],[Data nascimento]]&gt;=$J$2,Tabela1[[#This Row],[Data nascimento]]&lt;=$I$2),"INFANTIL A",H1529)</f>
        <v>INICIADO</v>
      </c>
      <c r="H1529" s="3" t="str">
        <f>IF(AND(Tabela1[[#This Row],[Data nascimento]]&gt;=$L$2,Tabela1[[#This Row],[Data nascimento]]&lt;=$K$2),"INFANTIL B",I1529)</f>
        <v>INICIADO</v>
      </c>
      <c r="I1529" s="9" t="str">
        <f>IF(AND(Tabela1[[#This Row],[Data nascimento]]&gt;=$N$2,Tabela1[[#This Row],[Data nascimento]]&lt;=$M$2),"INICIADO",J1529)</f>
        <v>INICIADO</v>
      </c>
      <c r="J1529" s="9" t="str">
        <f>IF(AND(Tabela1[[#This Row],[Data nascimento]]&gt;=$P$2,Tabela1[[#This Row],[Data nascimento]]&lt;=$O$2),"JUVENIL","JÚNIOR")</f>
        <v>JÚNIOR</v>
      </c>
    </row>
    <row r="1530" spans="1:10" ht="15" x14ac:dyDescent="0.4">
      <c r="A1530" s="13" t="s">
        <v>2276</v>
      </c>
      <c r="B1530" s="2" t="s">
        <v>2277</v>
      </c>
      <c r="C1530" s="4" t="s">
        <v>21</v>
      </c>
      <c r="D1530" s="11">
        <v>40907</v>
      </c>
      <c r="E1530" s="7" t="s">
        <v>2278</v>
      </c>
      <c r="F1530" s="4" t="s">
        <v>4795</v>
      </c>
      <c r="G1530" s="12" t="str">
        <f>IF(AND(Tabela1[[#This Row],[Data nascimento]]&gt;=$J$2,Tabela1[[#This Row],[Data nascimento]]&lt;=$I$2),"INFANTIL A",H1530)</f>
        <v>INICIADO</v>
      </c>
      <c r="H1530" s="3" t="str">
        <f>IF(AND(Tabela1[[#This Row],[Data nascimento]]&gt;=$L$2,Tabela1[[#This Row],[Data nascimento]]&lt;=$K$2),"INFANTIL B",I1530)</f>
        <v>INICIADO</v>
      </c>
      <c r="I1530" s="9" t="str">
        <f>IF(AND(Tabela1[[#This Row],[Data nascimento]]&gt;=$N$2,Tabela1[[#This Row],[Data nascimento]]&lt;=$M$2),"INICIADO",J1530)</f>
        <v>INICIADO</v>
      </c>
      <c r="J1530" s="9" t="str">
        <f>IF(AND(Tabela1[[#This Row],[Data nascimento]]&gt;=$P$2,Tabela1[[#This Row],[Data nascimento]]&lt;=$O$2),"JUVENIL","JÚNIOR")</f>
        <v>JÚNIOR</v>
      </c>
    </row>
    <row r="1531" spans="1:10" ht="15" x14ac:dyDescent="0.4">
      <c r="A1531" s="13" t="s">
        <v>2279</v>
      </c>
      <c r="B1531" s="2" t="s">
        <v>2280</v>
      </c>
      <c r="C1531" s="4" t="s">
        <v>21</v>
      </c>
      <c r="D1531" s="11">
        <v>40609</v>
      </c>
      <c r="E1531" s="7" t="s">
        <v>2281</v>
      </c>
      <c r="F1531" s="4" t="s">
        <v>4795</v>
      </c>
      <c r="G1531" s="12" t="str">
        <f>IF(AND(Tabela1[[#This Row],[Data nascimento]]&gt;=$J$2,Tabela1[[#This Row],[Data nascimento]]&lt;=$I$2),"INFANTIL A",H1531)</f>
        <v>INICIADO</v>
      </c>
      <c r="H1531" s="3" t="str">
        <f>IF(AND(Tabela1[[#This Row],[Data nascimento]]&gt;=$L$2,Tabela1[[#This Row],[Data nascimento]]&lt;=$K$2),"INFANTIL B",I1531)</f>
        <v>INICIADO</v>
      </c>
      <c r="I1531" s="9" t="str">
        <f>IF(AND(Tabela1[[#This Row],[Data nascimento]]&gt;=$N$2,Tabela1[[#This Row],[Data nascimento]]&lt;=$M$2),"INICIADO",J1531)</f>
        <v>INICIADO</v>
      </c>
      <c r="J1531" s="9" t="str">
        <f>IF(AND(Tabela1[[#This Row],[Data nascimento]]&gt;=$P$2,Tabela1[[#This Row],[Data nascimento]]&lt;=$O$2),"JUVENIL","JÚNIOR")</f>
        <v>JÚNIOR</v>
      </c>
    </row>
    <row r="1532" spans="1:10" ht="15" x14ac:dyDescent="0.4">
      <c r="A1532" s="13" t="s">
        <v>2282</v>
      </c>
      <c r="B1532" s="2" t="s">
        <v>2283</v>
      </c>
      <c r="C1532" s="4" t="s">
        <v>21</v>
      </c>
      <c r="D1532" s="11">
        <v>40557</v>
      </c>
      <c r="E1532" s="7" t="s">
        <v>2284</v>
      </c>
      <c r="F1532" s="4" t="s">
        <v>4795</v>
      </c>
      <c r="G1532" s="12" t="str">
        <f>IF(AND(Tabela1[[#This Row],[Data nascimento]]&gt;=$J$2,Tabela1[[#This Row],[Data nascimento]]&lt;=$I$2),"INFANTIL A",H1532)</f>
        <v>INICIADO</v>
      </c>
      <c r="H1532" s="3" t="str">
        <f>IF(AND(Tabela1[[#This Row],[Data nascimento]]&gt;=$L$2,Tabela1[[#This Row],[Data nascimento]]&lt;=$K$2),"INFANTIL B",I1532)</f>
        <v>INICIADO</v>
      </c>
      <c r="I1532" s="9" t="str">
        <f>IF(AND(Tabela1[[#This Row],[Data nascimento]]&gt;=$N$2,Tabela1[[#This Row],[Data nascimento]]&lt;=$M$2),"INICIADO",J1532)</f>
        <v>INICIADO</v>
      </c>
      <c r="J1532" s="9" t="str">
        <f>IF(AND(Tabela1[[#This Row],[Data nascimento]]&gt;=$P$2,Tabela1[[#This Row],[Data nascimento]]&lt;=$O$2),"JUVENIL","JÚNIOR")</f>
        <v>JÚNIOR</v>
      </c>
    </row>
    <row r="1533" spans="1:10" ht="15" x14ac:dyDescent="0.4">
      <c r="A1533" s="13" t="s">
        <v>2285</v>
      </c>
      <c r="B1533" s="2" t="s">
        <v>2286</v>
      </c>
      <c r="C1533" s="4" t="s">
        <v>21</v>
      </c>
      <c r="D1533" s="11">
        <v>40676</v>
      </c>
      <c r="E1533" s="7" t="s">
        <v>2287</v>
      </c>
      <c r="F1533" s="4" t="s">
        <v>4795</v>
      </c>
      <c r="G1533" s="12" t="str">
        <f>IF(AND(Tabela1[[#This Row],[Data nascimento]]&gt;=$J$2,Tabela1[[#This Row],[Data nascimento]]&lt;=$I$2),"INFANTIL A",H1533)</f>
        <v>INICIADO</v>
      </c>
      <c r="H1533" s="3" t="str">
        <f>IF(AND(Tabela1[[#This Row],[Data nascimento]]&gt;=$L$2,Tabela1[[#This Row],[Data nascimento]]&lt;=$K$2),"INFANTIL B",I1533)</f>
        <v>INICIADO</v>
      </c>
      <c r="I1533" s="9" t="str">
        <f>IF(AND(Tabela1[[#This Row],[Data nascimento]]&gt;=$N$2,Tabela1[[#This Row],[Data nascimento]]&lt;=$M$2),"INICIADO",J1533)</f>
        <v>INICIADO</v>
      </c>
      <c r="J1533" s="9" t="str">
        <f>IF(AND(Tabela1[[#This Row],[Data nascimento]]&gt;=$P$2,Tabela1[[#This Row],[Data nascimento]]&lt;=$O$2),"JUVENIL","JÚNIOR")</f>
        <v>JÚNIOR</v>
      </c>
    </row>
    <row r="1534" spans="1:10" ht="15" x14ac:dyDescent="0.4">
      <c r="A1534" s="13" t="s">
        <v>2288</v>
      </c>
      <c r="B1534" s="2" t="s">
        <v>2289</v>
      </c>
      <c r="C1534" s="4" t="s">
        <v>8</v>
      </c>
      <c r="D1534" s="11">
        <v>40624</v>
      </c>
      <c r="E1534" s="7" t="s">
        <v>2290</v>
      </c>
      <c r="F1534" s="4" t="s">
        <v>4795</v>
      </c>
      <c r="G1534" s="12" t="str">
        <f>IF(AND(Tabela1[[#This Row],[Data nascimento]]&gt;=$J$2,Tabela1[[#This Row],[Data nascimento]]&lt;=$I$2),"INFANTIL A",H1534)</f>
        <v>INICIADO</v>
      </c>
      <c r="H1534" s="3" t="str">
        <f>IF(AND(Tabela1[[#This Row],[Data nascimento]]&gt;=$L$2,Tabela1[[#This Row],[Data nascimento]]&lt;=$K$2),"INFANTIL B",I1534)</f>
        <v>INICIADO</v>
      </c>
      <c r="I1534" s="9" t="str">
        <f>IF(AND(Tabela1[[#This Row],[Data nascimento]]&gt;=$N$2,Tabela1[[#This Row],[Data nascimento]]&lt;=$M$2),"INICIADO",J1534)</f>
        <v>INICIADO</v>
      </c>
      <c r="J1534" s="9" t="str">
        <f>IF(AND(Tabela1[[#This Row],[Data nascimento]]&gt;=$P$2,Tabela1[[#This Row],[Data nascimento]]&lt;=$O$2),"JUVENIL","JÚNIOR")</f>
        <v>JÚNIOR</v>
      </c>
    </row>
    <row r="1535" spans="1:10" ht="15" x14ac:dyDescent="0.4">
      <c r="A1535" s="13" t="s">
        <v>2291</v>
      </c>
      <c r="B1535" s="2" t="s">
        <v>2292</v>
      </c>
      <c r="C1535" s="4" t="s">
        <v>8</v>
      </c>
      <c r="D1535" s="11">
        <v>40855</v>
      </c>
      <c r="E1535" s="7" t="s">
        <v>2293</v>
      </c>
      <c r="F1535" s="4" t="s">
        <v>4795</v>
      </c>
      <c r="G1535" s="12" t="str">
        <f>IF(AND(Tabela1[[#This Row],[Data nascimento]]&gt;=$J$2,Tabela1[[#This Row],[Data nascimento]]&lt;=$I$2),"INFANTIL A",H1535)</f>
        <v>INICIADO</v>
      </c>
      <c r="H1535" s="3" t="str">
        <f>IF(AND(Tabela1[[#This Row],[Data nascimento]]&gt;=$L$2,Tabela1[[#This Row],[Data nascimento]]&lt;=$K$2),"INFANTIL B",I1535)</f>
        <v>INICIADO</v>
      </c>
      <c r="I1535" s="9" t="str">
        <f>IF(AND(Tabela1[[#This Row],[Data nascimento]]&gt;=$N$2,Tabela1[[#This Row],[Data nascimento]]&lt;=$M$2),"INICIADO",J1535)</f>
        <v>INICIADO</v>
      </c>
      <c r="J1535" s="9" t="str">
        <f>IF(AND(Tabela1[[#This Row],[Data nascimento]]&gt;=$P$2,Tabela1[[#This Row],[Data nascimento]]&lt;=$O$2),"JUVENIL","JÚNIOR")</f>
        <v>JÚNIOR</v>
      </c>
    </row>
    <row r="1536" spans="1:10" ht="15" x14ac:dyDescent="0.4">
      <c r="A1536" s="13" t="s">
        <v>2294</v>
      </c>
      <c r="B1536" s="2" t="s">
        <v>2295</v>
      </c>
      <c r="C1536" s="4" t="s">
        <v>8</v>
      </c>
      <c r="D1536" s="11">
        <v>40589</v>
      </c>
      <c r="E1536" s="7" t="s">
        <v>2296</v>
      </c>
      <c r="F1536" s="4" t="s">
        <v>4795</v>
      </c>
      <c r="G1536" s="12" t="str">
        <f>IF(AND(Tabela1[[#This Row],[Data nascimento]]&gt;=$J$2,Tabela1[[#This Row],[Data nascimento]]&lt;=$I$2),"INFANTIL A",H1536)</f>
        <v>INICIADO</v>
      </c>
      <c r="H1536" s="3" t="str">
        <f>IF(AND(Tabela1[[#This Row],[Data nascimento]]&gt;=$L$2,Tabela1[[#This Row],[Data nascimento]]&lt;=$K$2),"INFANTIL B",I1536)</f>
        <v>INICIADO</v>
      </c>
      <c r="I1536" s="9" t="str">
        <f>IF(AND(Tabela1[[#This Row],[Data nascimento]]&gt;=$N$2,Tabela1[[#This Row],[Data nascimento]]&lt;=$M$2),"INICIADO",J1536)</f>
        <v>INICIADO</v>
      </c>
      <c r="J1536" s="9" t="str">
        <f>IF(AND(Tabela1[[#This Row],[Data nascimento]]&gt;=$P$2,Tabela1[[#This Row],[Data nascimento]]&lt;=$O$2),"JUVENIL","JÚNIOR")</f>
        <v>JÚNIOR</v>
      </c>
    </row>
    <row r="1537" spans="1:10" ht="15" x14ac:dyDescent="0.4">
      <c r="A1537" s="13" t="s">
        <v>2297</v>
      </c>
      <c r="B1537" s="2" t="s">
        <v>2298</v>
      </c>
      <c r="C1537" s="4" t="s">
        <v>8</v>
      </c>
      <c r="D1537" s="11">
        <v>40562</v>
      </c>
      <c r="E1537" s="7" t="s">
        <v>2299</v>
      </c>
      <c r="F1537" s="4" t="s">
        <v>4795</v>
      </c>
      <c r="G1537" s="12" t="str">
        <f>IF(AND(Tabela1[[#This Row],[Data nascimento]]&gt;=$J$2,Tabela1[[#This Row],[Data nascimento]]&lt;=$I$2),"INFANTIL A",H1537)</f>
        <v>INICIADO</v>
      </c>
      <c r="H1537" s="3" t="str">
        <f>IF(AND(Tabela1[[#This Row],[Data nascimento]]&gt;=$L$2,Tabela1[[#This Row],[Data nascimento]]&lt;=$K$2),"INFANTIL B",I1537)</f>
        <v>INICIADO</v>
      </c>
      <c r="I1537" s="9" t="str">
        <f>IF(AND(Tabela1[[#This Row],[Data nascimento]]&gt;=$N$2,Tabela1[[#This Row],[Data nascimento]]&lt;=$M$2),"INICIADO",J1537)</f>
        <v>INICIADO</v>
      </c>
      <c r="J1537" s="9" t="str">
        <f>IF(AND(Tabela1[[#This Row],[Data nascimento]]&gt;=$P$2,Tabela1[[#This Row],[Data nascimento]]&lt;=$O$2),"JUVENIL","JÚNIOR")</f>
        <v>JÚNIOR</v>
      </c>
    </row>
    <row r="1538" spans="1:10" ht="15" x14ac:dyDescent="0.4">
      <c r="A1538" s="13" t="s">
        <v>2300</v>
      </c>
      <c r="B1538" s="2" t="s">
        <v>2301</v>
      </c>
      <c r="C1538" s="4" t="s">
        <v>8</v>
      </c>
      <c r="D1538" s="11">
        <v>40714</v>
      </c>
      <c r="E1538" s="7" t="s">
        <v>2302</v>
      </c>
      <c r="F1538" s="4" t="s">
        <v>4795</v>
      </c>
      <c r="G1538" s="12" t="str">
        <f>IF(AND(Tabela1[[#This Row],[Data nascimento]]&gt;=$J$2,Tabela1[[#This Row],[Data nascimento]]&lt;=$I$2),"INFANTIL A",H1538)</f>
        <v>INICIADO</v>
      </c>
      <c r="H1538" s="3" t="str">
        <f>IF(AND(Tabela1[[#This Row],[Data nascimento]]&gt;=$L$2,Tabela1[[#This Row],[Data nascimento]]&lt;=$K$2),"INFANTIL B",I1538)</f>
        <v>INICIADO</v>
      </c>
      <c r="I1538" s="9" t="str">
        <f>IF(AND(Tabela1[[#This Row],[Data nascimento]]&gt;=$N$2,Tabela1[[#This Row],[Data nascimento]]&lt;=$M$2),"INICIADO",J1538)</f>
        <v>INICIADO</v>
      </c>
      <c r="J1538" s="9" t="str">
        <f>IF(AND(Tabela1[[#This Row],[Data nascimento]]&gt;=$P$2,Tabela1[[#This Row],[Data nascimento]]&lt;=$O$2),"JUVENIL","JÚNIOR")</f>
        <v>JÚNIOR</v>
      </c>
    </row>
    <row r="1539" spans="1:10" ht="15" x14ac:dyDescent="0.4">
      <c r="A1539" s="13" t="s">
        <v>2303</v>
      </c>
      <c r="B1539" s="2" t="s">
        <v>2304</v>
      </c>
      <c r="C1539" s="4" t="s">
        <v>8</v>
      </c>
      <c r="D1539" s="11">
        <v>40795</v>
      </c>
      <c r="E1539" s="7" t="s">
        <v>2305</v>
      </c>
      <c r="F1539" s="4" t="s">
        <v>4796</v>
      </c>
      <c r="G1539" s="12" t="str">
        <f>IF(AND(Tabela1[[#This Row],[Data nascimento]]&gt;=$J$2,Tabela1[[#This Row],[Data nascimento]]&lt;=$I$2),"INFANTIL A",H1539)</f>
        <v>INICIADO</v>
      </c>
      <c r="H1539" s="3" t="str">
        <f>IF(AND(Tabela1[[#This Row],[Data nascimento]]&gt;=$L$2,Tabela1[[#This Row],[Data nascimento]]&lt;=$K$2),"INFANTIL B",I1539)</f>
        <v>INICIADO</v>
      </c>
      <c r="I1539" s="9" t="str">
        <f>IF(AND(Tabela1[[#This Row],[Data nascimento]]&gt;=$N$2,Tabela1[[#This Row],[Data nascimento]]&lt;=$M$2),"INICIADO",J1539)</f>
        <v>INICIADO</v>
      </c>
      <c r="J1539" s="9" t="str">
        <f>IF(AND(Tabela1[[#This Row],[Data nascimento]]&gt;=$P$2,Tabela1[[#This Row],[Data nascimento]]&lt;=$O$2),"JUVENIL","JÚNIOR")</f>
        <v>JÚNIOR</v>
      </c>
    </row>
    <row r="1540" spans="1:10" ht="15" x14ac:dyDescent="0.4">
      <c r="A1540" s="13" t="s">
        <v>2306</v>
      </c>
      <c r="B1540" s="2" t="s">
        <v>2307</v>
      </c>
      <c r="C1540" s="4" t="s">
        <v>21</v>
      </c>
      <c r="D1540" s="11">
        <v>40475</v>
      </c>
      <c r="E1540" s="7" t="s">
        <v>2308</v>
      </c>
      <c r="F1540" s="4" t="s">
        <v>4796</v>
      </c>
      <c r="G1540" s="12" t="str">
        <f>IF(AND(Tabela1[[#This Row],[Data nascimento]]&gt;=$J$2,Tabela1[[#This Row],[Data nascimento]]&lt;=$I$2),"INFANTIL A",H1540)</f>
        <v>JUVENIL</v>
      </c>
      <c r="H1540" s="3" t="str">
        <f>IF(AND(Tabela1[[#This Row],[Data nascimento]]&gt;=$L$2,Tabela1[[#This Row],[Data nascimento]]&lt;=$K$2),"INFANTIL B",I1540)</f>
        <v>JUVENIL</v>
      </c>
      <c r="I1540" s="9" t="str">
        <f>IF(AND(Tabela1[[#This Row],[Data nascimento]]&gt;=$N$2,Tabela1[[#This Row],[Data nascimento]]&lt;=$M$2),"INICIADO",J1540)</f>
        <v>JUVENIL</v>
      </c>
      <c r="J1540" s="9" t="str">
        <f>IF(AND(Tabela1[[#This Row],[Data nascimento]]&gt;=$P$2,Tabela1[[#This Row],[Data nascimento]]&lt;=$O$2),"JUVENIL","JÚNIOR")</f>
        <v>JUVENIL</v>
      </c>
    </row>
    <row r="1541" spans="1:10" ht="15" x14ac:dyDescent="0.4">
      <c r="A1541" s="13" t="s">
        <v>2309</v>
      </c>
      <c r="B1541" s="2" t="s">
        <v>2310</v>
      </c>
      <c r="C1541" s="4" t="s">
        <v>21</v>
      </c>
      <c r="D1541" s="11">
        <v>40553</v>
      </c>
      <c r="E1541" s="7" t="s">
        <v>2311</v>
      </c>
      <c r="F1541" s="4" t="s">
        <v>4796</v>
      </c>
      <c r="G1541" s="12" t="str">
        <f>IF(AND(Tabela1[[#This Row],[Data nascimento]]&gt;=$J$2,Tabela1[[#This Row],[Data nascimento]]&lt;=$I$2),"INFANTIL A",H1541)</f>
        <v>INICIADO</v>
      </c>
      <c r="H1541" s="3" t="str">
        <f>IF(AND(Tabela1[[#This Row],[Data nascimento]]&gt;=$L$2,Tabela1[[#This Row],[Data nascimento]]&lt;=$K$2),"INFANTIL B",I1541)</f>
        <v>INICIADO</v>
      </c>
      <c r="I1541" s="9" t="str">
        <f>IF(AND(Tabela1[[#This Row],[Data nascimento]]&gt;=$N$2,Tabela1[[#This Row],[Data nascimento]]&lt;=$M$2),"INICIADO",J1541)</f>
        <v>INICIADO</v>
      </c>
      <c r="J1541" s="9" t="str">
        <f>IF(AND(Tabela1[[#This Row],[Data nascimento]]&gt;=$P$2,Tabela1[[#This Row],[Data nascimento]]&lt;=$O$2),"JUVENIL","JÚNIOR")</f>
        <v>JÚNIOR</v>
      </c>
    </row>
    <row r="1542" spans="1:10" ht="15" x14ac:dyDescent="0.4">
      <c r="A1542" s="13" t="s">
        <v>2312</v>
      </c>
      <c r="B1542" s="2" t="s">
        <v>2313</v>
      </c>
      <c r="C1542" s="4" t="s">
        <v>21</v>
      </c>
      <c r="D1542" s="11">
        <v>40825</v>
      </c>
      <c r="E1542" s="7" t="s">
        <v>2314</v>
      </c>
      <c r="F1542" s="4" t="s">
        <v>4796</v>
      </c>
      <c r="G1542" s="12" t="str">
        <f>IF(AND(Tabela1[[#This Row],[Data nascimento]]&gt;=$J$2,Tabela1[[#This Row],[Data nascimento]]&lt;=$I$2),"INFANTIL A",H1542)</f>
        <v>INICIADO</v>
      </c>
      <c r="H1542" s="3" t="str">
        <f>IF(AND(Tabela1[[#This Row],[Data nascimento]]&gt;=$L$2,Tabela1[[#This Row],[Data nascimento]]&lt;=$K$2),"INFANTIL B",I1542)</f>
        <v>INICIADO</v>
      </c>
      <c r="I1542" s="9" t="str">
        <f>IF(AND(Tabela1[[#This Row],[Data nascimento]]&gt;=$N$2,Tabela1[[#This Row],[Data nascimento]]&lt;=$M$2),"INICIADO",J1542)</f>
        <v>INICIADO</v>
      </c>
      <c r="J1542" s="9" t="str">
        <f>IF(AND(Tabela1[[#This Row],[Data nascimento]]&gt;=$P$2,Tabela1[[#This Row],[Data nascimento]]&lt;=$O$2),"JUVENIL","JÚNIOR")</f>
        <v>JÚNIOR</v>
      </c>
    </row>
    <row r="1543" spans="1:10" ht="15" x14ac:dyDescent="0.4">
      <c r="A1543" s="13" t="s">
        <v>2315</v>
      </c>
      <c r="B1543" s="2" t="s">
        <v>2316</v>
      </c>
      <c r="C1543" s="4" t="s">
        <v>8</v>
      </c>
      <c r="D1543" s="11">
        <v>40839</v>
      </c>
      <c r="E1543" s="7" t="s">
        <v>2317</v>
      </c>
      <c r="F1543" s="4" t="s">
        <v>4796</v>
      </c>
      <c r="G1543" s="12" t="str">
        <f>IF(AND(Tabela1[[#This Row],[Data nascimento]]&gt;=$J$2,Tabela1[[#This Row],[Data nascimento]]&lt;=$I$2),"INFANTIL A",H1543)</f>
        <v>INICIADO</v>
      </c>
      <c r="H1543" s="3" t="str">
        <f>IF(AND(Tabela1[[#This Row],[Data nascimento]]&gt;=$L$2,Tabela1[[#This Row],[Data nascimento]]&lt;=$K$2),"INFANTIL B",I1543)</f>
        <v>INICIADO</v>
      </c>
      <c r="I1543" s="9" t="str">
        <f>IF(AND(Tabela1[[#This Row],[Data nascimento]]&gt;=$N$2,Tabela1[[#This Row],[Data nascimento]]&lt;=$M$2),"INICIADO",J1543)</f>
        <v>INICIADO</v>
      </c>
      <c r="J1543" s="9" t="str">
        <f>IF(AND(Tabela1[[#This Row],[Data nascimento]]&gt;=$P$2,Tabela1[[#This Row],[Data nascimento]]&lt;=$O$2),"JUVENIL","JÚNIOR")</f>
        <v>JÚNIOR</v>
      </c>
    </row>
    <row r="1544" spans="1:10" ht="15" x14ac:dyDescent="0.4">
      <c r="A1544" s="13" t="s">
        <v>2318</v>
      </c>
      <c r="B1544" s="2" t="s">
        <v>2319</v>
      </c>
      <c r="C1544" s="4" t="s">
        <v>21</v>
      </c>
      <c r="D1544" s="11">
        <v>40849</v>
      </c>
      <c r="E1544" s="7" t="s">
        <v>2320</v>
      </c>
      <c r="F1544" s="4" t="s">
        <v>4796</v>
      </c>
      <c r="G1544" s="12" t="str">
        <f>IF(AND(Tabela1[[#This Row],[Data nascimento]]&gt;=$J$2,Tabela1[[#This Row],[Data nascimento]]&lt;=$I$2),"INFANTIL A",H1544)</f>
        <v>INICIADO</v>
      </c>
      <c r="H1544" s="3" t="str">
        <f>IF(AND(Tabela1[[#This Row],[Data nascimento]]&gt;=$L$2,Tabela1[[#This Row],[Data nascimento]]&lt;=$K$2),"INFANTIL B",I1544)</f>
        <v>INICIADO</v>
      </c>
      <c r="I1544" s="9" t="str">
        <f>IF(AND(Tabela1[[#This Row],[Data nascimento]]&gt;=$N$2,Tabela1[[#This Row],[Data nascimento]]&lt;=$M$2),"INICIADO",J1544)</f>
        <v>INICIADO</v>
      </c>
      <c r="J1544" s="9" t="str">
        <f>IF(AND(Tabela1[[#This Row],[Data nascimento]]&gt;=$P$2,Tabela1[[#This Row],[Data nascimento]]&lt;=$O$2),"JUVENIL","JÚNIOR")</f>
        <v>JÚNIOR</v>
      </c>
    </row>
    <row r="1545" spans="1:10" ht="15" x14ac:dyDescent="0.4">
      <c r="A1545" s="13" t="s">
        <v>2321</v>
      </c>
      <c r="B1545" s="2" t="s">
        <v>2322</v>
      </c>
      <c r="C1545" s="4" t="s">
        <v>21</v>
      </c>
      <c r="D1545" s="11">
        <v>40336</v>
      </c>
      <c r="E1545" s="7" t="s">
        <v>2323</v>
      </c>
      <c r="F1545" s="4" t="s">
        <v>4796</v>
      </c>
      <c r="G1545" s="12" t="str">
        <f>IF(AND(Tabela1[[#This Row],[Data nascimento]]&gt;=$J$2,Tabela1[[#This Row],[Data nascimento]]&lt;=$I$2),"INFANTIL A",H1545)</f>
        <v>JUVENIL</v>
      </c>
      <c r="H1545" s="3" t="str">
        <f>IF(AND(Tabela1[[#This Row],[Data nascimento]]&gt;=$L$2,Tabela1[[#This Row],[Data nascimento]]&lt;=$K$2),"INFANTIL B",I1545)</f>
        <v>JUVENIL</v>
      </c>
      <c r="I1545" s="9" t="str">
        <f>IF(AND(Tabela1[[#This Row],[Data nascimento]]&gt;=$N$2,Tabela1[[#This Row],[Data nascimento]]&lt;=$M$2),"INICIADO",J1545)</f>
        <v>JUVENIL</v>
      </c>
      <c r="J1545" s="9" t="str">
        <f>IF(AND(Tabela1[[#This Row],[Data nascimento]]&gt;=$P$2,Tabela1[[#This Row],[Data nascimento]]&lt;=$O$2),"JUVENIL","JÚNIOR")</f>
        <v>JUVENIL</v>
      </c>
    </row>
    <row r="1546" spans="1:10" ht="15" x14ac:dyDescent="0.4">
      <c r="A1546" s="13" t="s">
        <v>2324</v>
      </c>
      <c r="B1546" s="2" t="s">
        <v>2325</v>
      </c>
      <c r="C1546" s="4" t="s">
        <v>21</v>
      </c>
      <c r="D1546" s="11">
        <v>40800</v>
      </c>
      <c r="E1546" s="7" t="s">
        <v>2326</v>
      </c>
      <c r="F1546" s="4" t="s">
        <v>4796</v>
      </c>
      <c r="G1546" s="12" t="str">
        <f>IF(AND(Tabela1[[#This Row],[Data nascimento]]&gt;=$J$2,Tabela1[[#This Row],[Data nascimento]]&lt;=$I$2),"INFANTIL A",H1546)</f>
        <v>INICIADO</v>
      </c>
      <c r="H1546" s="3" t="str">
        <f>IF(AND(Tabela1[[#This Row],[Data nascimento]]&gt;=$L$2,Tabela1[[#This Row],[Data nascimento]]&lt;=$K$2),"INFANTIL B",I1546)</f>
        <v>INICIADO</v>
      </c>
      <c r="I1546" s="9" t="str">
        <f>IF(AND(Tabela1[[#This Row],[Data nascimento]]&gt;=$N$2,Tabela1[[#This Row],[Data nascimento]]&lt;=$M$2),"INICIADO",J1546)</f>
        <v>INICIADO</v>
      </c>
      <c r="J1546" s="9" t="str">
        <f>IF(AND(Tabela1[[#This Row],[Data nascimento]]&gt;=$P$2,Tabela1[[#This Row],[Data nascimento]]&lt;=$O$2),"JUVENIL","JÚNIOR")</f>
        <v>JÚNIOR</v>
      </c>
    </row>
    <row r="1547" spans="1:10" ht="15" x14ac:dyDescent="0.4">
      <c r="A1547" s="13" t="s">
        <v>2327</v>
      </c>
      <c r="B1547" s="2" t="s">
        <v>2328</v>
      </c>
      <c r="C1547" s="4" t="s">
        <v>8</v>
      </c>
      <c r="D1547" s="11">
        <v>40764</v>
      </c>
      <c r="E1547" s="7" t="s">
        <v>2329</v>
      </c>
      <c r="F1547" s="4" t="s">
        <v>4796</v>
      </c>
      <c r="G1547" s="12" t="str">
        <f>IF(AND(Tabela1[[#This Row],[Data nascimento]]&gt;=$J$2,Tabela1[[#This Row],[Data nascimento]]&lt;=$I$2),"INFANTIL A",H1547)</f>
        <v>INICIADO</v>
      </c>
      <c r="H1547" s="3" t="str">
        <f>IF(AND(Tabela1[[#This Row],[Data nascimento]]&gt;=$L$2,Tabela1[[#This Row],[Data nascimento]]&lt;=$K$2),"INFANTIL B",I1547)</f>
        <v>INICIADO</v>
      </c>
      <c r="I1547" s="9" t="str">
        <f>IF(AND(Tabela1[[#This Row],[Data nascimento]]&gt;=$N$2,Tabela1[[#This Row],[Data nascimento]]&lt;=$M$2),"INICIADO",J1547)</f>
        <v>INICIADO</v>
      </c>
      <c r="J1547" s="9" t="str">
        <f>IF(AND(Tabela1[[#This Row],[Data nascimento]]&gt;=$P$2,Tabela1[[#This Row],[Data nascimento]]&lt;=$O$2),"JUVENIL","JÚNIOR")</f>
        <v>JÚNIOR</v>
      </c>
    </row>
    <row r="1548" spans="1:10" ht="15" x14ac:dyDescent="0.4">
      <c r="A1548" s="13" t="s">
        <v>2330</v>
      </c>
      <c r="B1548" s="2" t="s">
        <v>2331</v>
      </c>
      <c r="C1548" s="4" t="s">
        <v>8</v>
      </c>
      <c r="D1548" s="11">
        <v>40535</v>
      </c>
      <c r="E1548" s="7" t="s">
        <v>2332</v>
      </c>
      <c r="F1548" s="4" t="s">
        <v>4796</v>
      </c>
      <c r="G1548" s="12" t="str">
        <f>IF(AND(Tabela1[[#This Row],[Data nascimento]]&gt;=$J$2,Tabela1[[#This Row],[Data nascimento]]&lt;=$I$2),"INFANTIL A",H1548)</f>
        <v>JUVENIL</v>
      </c>
      <c r="H1548" s="3" t="str">
        <f>IF(AND(Tabela1[[#This Row],[Data nascimento]]&gt;=$L$2,Tabela1[[#This Row],[Data nascimento]]&lt;=$K$2),"INFANTIL B",I1548)</f>
        <v>JUVENIL</v>
      </c>
      <c r="I1548" s="9" t="str">
        <f>IF(AND(Tabela1[[#This Row],[Data nascimento]]&gt;=$N$2,Tabela1[[#This Row],[Data nascimento]]&lt;=$M$2),"INICIADO",J1548)</f>
        <v>JUVENIL</v>
      </c>
      <c r="J1548" s="9" t="str">
        <f>IF(AND(Tabela1[[#This Row],[Data nascimento]]&gt;=$P$2,Tabela1[[#This Row],[Data nascimento]]&lt;=$O$2),"JUVENIL","JÚNIOR")</f>
        <v>JUVENIL</v>
      </c>
    </row>
    <row r="1549" spans="1:10" ht="15" x14ac:dyDescent="0.4">
      <c r="A1549" s="13" t="s">
        <v>2333</v>
      </c>
      <c r="B1549" s="2" t="s">
        <v>2334</v>
      </c>
      <c r="C1549" s="4" t="s">
        <v>21</v>
      </c>
      <c r="D1549" s="11">
        <v>40736</v>
      </c>
      <c r="E1549" s="7" t="s">
        <v>2335</v>
      </c>
      <c r="F1549" s="4" t="s">
        <v>4796</v>
      </c>
      <c r="G1549" s="12" t="str">
        <f>IF(AND(Tabela1[[#This Row],[Data nascimento]]&gt;=$J$2,Tabela1[[#This Row],[Data nascimento]]&lt;=$I$2),"INFANTIL A",H1549)</f>
        <v>INICIADO</v>
      </c>
      <c r="H1549" s="3" t="str">
        <f>IF(AND(Tabela1[[#This Row],[Data nascimento]]&gt;=$L$2,Tabela1[[#This Row],[Data nascimento]]&lt;=$K$2),"INFANTIL B",I1549)</f>
        <v>INICIADO</v>
      </c>
      <c r="I1549" s="9" t="str">
        <f>IF(AND(Tabela1[[#This Row],[Data nascimento]]&gt;=$N$2,Tabela1[[#This Row],[Data nascimento]]&lt;=$M$2),"INICIADO",J1549)</f>
        <v>INICIADO</v>
      </c>
      <c r="J1549" s="9" t="str">
        <f>IF(AND(Tabela1[[#This Row],[Data nascimento]]&gt;=$P$2,Tabela1[[#This Row],[Data nascimento]]&lt;=$O$2),"JUVENIL","JÚNIOR")</f>
        <v>JÚNIOR</v>
      </c>
    </row>
    <row r="1550" spans="1:10" ht="15" x14ac:dyDescent="0.4">
      <c r="A1550" s="13" t="s">
        <v>2336</v>
      </c>
      <c r="B1550" s="2" t="s">
        <v>2337</v>
      </c>
      <c r="C1550" s="4" t="s">
        <v>8</v>
      </c>
      <c r="D1550" s="11">
        <v>40800</v>
      </c>
      <c r="E1550" s="7" t="s">
        <v>2338</v>
      </c>
      <c r="F1550" s="4" t="s">
        <v>4796</v>
      </c>
      <c r="G1550" s="12" t="str">
        <f>IF(AND(Tabela1[[#This Row],[Data nascimento]]&gt;=$J$2,Tabela1[[#This Row],[Data nascimento]]&lt;=$I$2),"INFANTIL A",H1550)</f>
        <v>INICIADO</v>
      </c>
      <c r="H1550" s="3" t="str">
        <f>IF(AND(Tabela1[[#This Row],[Data nascimento]]&gt;=$L$2,Tabela1[[#This Row],[Data nascimento]]&lt;=$K$2),"INFANTIL B",I1550)</f>
        <v>INICIADO</v>
      </c>
      <c r="I1550" s="9" t="str">
        <f>IF(AND(Tabela1[[#This Row],[Data nascimento]]&gt;=$N$2,Tabela1[[#This Row],[Data nascimento]]&lt;=$M$2),"INICIADO",J1550)</f>
        <v>INICIADO</v>
      </c>
      <c r="J1550" s="9" t="str">
        <f>IF(AND(Tabela1[[#This Row],[Data nascimento]]&gt;=$P$2,Tabela1[[#This Row],[Data nascimento]]&lt;=$O$2),"JUVENIL","JÚNIOR")</f>
        <v>JÚNIOR</v>
      </c>
    </row>
    <row r="1551" spans="1:10" ht="15" x14ac:dyDescent="0.4">
      <c r="A1551" s="13" t="s">
        <v>2339</v>
      </c>
      <c r="B1551" s="2" t="s">
        <v>2340</v>
      </c>
      <c r="C1551" s="4" t="s">
        <v>8</v>
      </c>
      <c r="D1551" s="11">
        <v>40905</v>
      </c>
      <c r="E1551" s="7" t="s">
        <v>2341</v>
      </c>
      <c r="F1551" s="4" t="s">
        <v>4796</v>
      </c>
      <c r="G1551" s="12" t="str">
        <f>IF(AND(Tabela1[[#This Row],[Data nascimento]]&gt;=$J$2,Tabela1[[#This Row],[Data nascimento]]&lt;=$I$2),"INFANTIL A",H1551)</f>
        <v>INICIADO</v>
      </c>
      <c r="H1551" s="3" t="str">
        <f>IF(AND(Tabela1[[#This Row],[Data nascimento]]&gt;=$L$2,Tabela1[[#This Row],[Data nascimento]]&lt;=$K$2),"INFANTIL B",I1551)</f>
        <v>INICIADO</v>
      </c>
      <c r="I1551" s="9" t="str">
        <f>IF(AND(Tabela1[[#This Row],[Data nascimento]]&gt;=$N$2,Tabela1[[#This Row],[Data nascimento]]&lt;=$M$2),"INICIADO",J1551)</f>
        <v>INICIADO</v>
      </c>
      <c r="J1551" s="9" t="str">
        <f>IF(AND(Tabela1[[#This Row],[Data nascimento]]&gt;=$P$2,Tabela1[[#This Row],[Data nascimento]]&lt;=$O$2),"JUVENIL","JÚNIOR")</f>
        <v>JÚNIOR</v>
      </c>
    </row>
    <row r="1552" spans="1:10" ht="15" x14ac:dyDescent="0.4">
      <c r="A1552" s="13" t="s">
        <v>2342</v>
      </c>
      <c r="B1552" s="2" t="s">
        <v>2343</v>
      </c>
      <c r="C1552" s="4" t="s">
        <v>8</v>
      </c>
      <c r="D1552" s="11">
        <v>40856</v>
      </c>
      <c r="E1552" s="7" t="s">
        <v>2344</v>
      </c>
      <c r="F1552" s="4" t="s">
        <v>4796</v>
      </c>
      <c r="G1552" s="12" t="str">
        <f>IF(AND(Tabela1[[#This Row],[Data nascimento]]&gt;=$J$2,Tabela1[[#This Row],[Data nascimento]]&lt;=$I$2),"INFANTIL A",H1552)</f>
        <v>INICIADO</v>
      </c>
      <c r="H1552" s="3" t="str">
        <f>IF(AND(Tabela1[[#This Row],[Data nascimento]]&gt;=$L$2,Tabela1[[#This Row],[Data nascimento]]&lt;=$K$2),"INFANTIL B",I1552)</f>
        <v>INICIADO</v>
      </c>
      <c r="I1552" s="9" t="str">
        <f>IF(AND(Tabela1[[#This Row],[Data nascimento]]&gt;=$N$2,Tabela1[[#This Row],[Data nascimento]]&lt;=$M$2),"INICIADO",J1552)</f>
        <v>INICIADO</v>
      </c>
      <c r="J1552" s="9" t="str">
        <f>IF(AND(Tabela1[[#This Row],[Data nascimento]]&gt;=$P$2,Tabela1[[#This Row],[Data nascimento]]&lt;=$O$2),"JUVENIL","JÚNIOR")</f>
        <v>JÚNIOR</v>
      </c>
    </row>
    <row r="1553" spans="1:10" ht="15" x14ac:dyDescent="0.4">
      <c r="A1553" s="13" t="s">
        <v>2345</v>
      </c>
      <c r="B1553" s="2" t="s">
        <v>2346</v>
      </c>
      <c r="C1553" s="4" t="s">
        <v>8</v>
      </c>
      <c r="D1553" s="11">
        <v>40110</v>
      </c>
      <c r="E1553" s="7" t="s">
        <v>2347</v>
      </c>
      <c r="F1553" s="4" t="s">
        <v>4796</v>
      </c>
      <c r="G1553" s="12" t="str">
        <f>IF(AND(Tabela1[[#This Row],[Data nascimento]]&gt;=$J$2,Tabela1[[#This Row],[Data nascimento]]&lt;=$I$2),"INFANTIL A",H1553)</f>
        <v>JUVENIL</v>
      </c>
      <c r="H1553" s="3" t="str">
        <f>IF(AND(Tabela1[[#This Row],[Data nascimento]]&gt;=$L$2,Tabela1[[#This Row],[Data nascimento]]&lt;=$K$2),"INFANTIL B",I1553)</f>
        <v>JUVENIL</v>
      </c>
      <c r="I1553" s="9" t="str">
        <f>IF(AND(Tabela1[[#This Row],[Data nascimento]]&gt;=$N$2,Tabela1[[#This Row],[Data nascimento]]&lt;=$M$2),"INICIADO",J1553)</f>
        <v>JUVENIL</v>
      </c>
      <c r="J1553" s="9" t="str">
        <f>IF(AND(Tabela1[[#This Row],[Data nascimento]]&gt;=$P$2,Tabela1[[#This Row],[Data nascimento]]&lt;=$O$2),"JUVENIL","JÚNIOR")</f>
        <v>JUVENIL</v>
      </c>
    </row>
    <row r="1554" spans="1:10" ht="15" x14ac:dyDescent="0.4">
      <c r="A1554" s="13" t="s">
        <v>2348</v>
      </c>
      <c r="B1554" s="2" t="s">
        <v>2349</v>
      </c>
      <c r="C1554" s="4" t="s">
        <v>8</v>
      </c>
      <c r="D1554" s="11">
        <v>40365</v>
      </c>
      <c r="E1554" s="7" t="s">
        <v>2350</v>
      </c>
      <c r="F1554" s="4" t="s">
        <v>4796</v>
      </c>
      <c r="G1554" s="12" t="str">
        <f>IF(AND(Tabela1[[#This Row],[Data nascimento]]&gt;=$J$2,Tabela1[[#This Row],[Data nascimento]]&lt;=$I$2),"INFANTIL A",H1554)</f>
        <v>JUVENIL</v>
      </c>
      <c r="H1554" s="3" t="str">
        <f>IF(AND(Tabela1[[#This Row],[Data nascimento]]&gt;=$L$2,Tabela1[[#This Row],[Data nascimento]]&lt;=$K$2),"INFANTIL B",I1554)</f>
        <v>JUVENIL</v>
      </c>
      <c r="I1554" s="9" t="str">
        <f>IF(AND(Tabela1[[#This Row],[Data nascimento]]&gt;=$N$2,Tabela1[[#This Row],[Data nascimento]]&lt;=$M$2),"INICIADO",J1554)</f>
        <v>JUVENIL</v>
      </c>
      <c r="J1554" s="9" t="str">
        <f>IF(AND(Tabela1[[#This Row],[Data nascimento]]&gt;=$P$2,Tabela1[[#This Row],[Data nascimento]]&lt;=$O$2),"JUVENIL","JÚNIOR")</f>
        <v>JUVENIL</v>
      </c>
    </row>
    <row r="1555" spans="1:10" ht="15" x14ac:dyDescent="0.4">
      <c r="A1555" s="13" t="s">
        <v>2351</v>
      </c>
      <c r="B1555" s="2" t="s">
        <v>2352</v>
      </c>
      <c r="C1555" s="4" t="s">
        <v>8</v>
      </c>
      <c r="D1555" s="11">
        <v>40522</v>
      </c>
      <c r="E1555" s="7" t="s">
        <v>2353</v>
      </c>
      <c r="F1555" s="4" t="s">
        <v>4796</v>
      </c>
      <c r="G1555" s="12" t="str">
        <f>IF(AND(Tabela1[[#This Row],[Data nascimento]]&gt;=$J$2,Tabela1[[#This Row],[Data nascimento]]&lt;=$I$2),"INFANTIL A",H1555)</f>
        <v>JUVENIL</v>
      </c>
      <c r="H1555" s="3" t="str">
        <f>IF(AND(Tabela1[[#This Row],[Data nascimento]]&gt;=$L$2,Tabela1[[#This Row],[Data nascimento]]&lt;=$K$2),"INFANTIL B",I1555)</f>
        <v>JUVENIL</v>
      </c>
      <c r="I1555" s="9" t="str">
        <f>IF(AND(Tabela1[[#This Row],[Data nascimento]]&gt;=$N$2,Tabela1[[#This Row],[Data nascimento]]&lt;=$M$2),"INICIADO",J1555)</f>
        <v>JUVENIL</v>
      </c>
      <c r="J1555" s="9" t="str">
        <f>IF(AND(Tabela1[[#This Row],[Data nascimento]]&gt;=$P$2,Tabela1[[#This Row],[Data nascimento]]&lt;=$O$2),"JUVENIL","JÚNIOR")</f>
        <v>JUVENIL</v>
      </c>
    </row>
    <row r="1556" spans="1:10" ht="15" x14ac:dyDescent="0.4">
      <c r="A1556" s="13" t="s">
        <v>2354</v>
      </c>
      <c r="B1556" s="2" t="s">
        <v>2355</v>
      </c>
      <c r="C1556" s="4" t="s">
        <v>21</v>
      </c>
      <c r="D1556" s="11">
        <v>40749</v>
      </c>
      <c r="E1556" s="7" t="s">
        <v>2356</v>
      </c>
      <c r="F1556" s="4" t="s">
        <v>4797</v>
      </c>
      <c r="G1556" s="12" t="str">
        <f>IF(AND(Tabela1[[#This Row],[Data nascimento]]&gt;=$J$2,Tabela1[[#This Row],[Data nascimento]]&lt;=$I$2),"INFANTIL A",H1556)</f>
        <v>INICIADO</v>
      </c>
      <c r="H1556" s="3" t="str">
        <f>IF(AND(Tabela1[[#This Row],[Data nascimento]]&gt;=$L$2,Tabela1[[#This Row],[Data nascimento]]&lt;=$K$2),"INFANTIL B",I1556)</f>
        <v>INICIADO</v>
      </c>
      <c r="I1556" s="9" t="str">
        <f>IF(AND(Tabela1[[#This Row],[Data nascimento]]&gt;=$N$2,Tabela1[[#This Row],[Data nascimento]]&lt;=$M$2),"INICIADO",J1556)</f>
        <v>INICIADO</v>
      </c>
      <c r="J1556" s="9" t="str">
        <f>IF(AND(Tabela1[[#This Row],[Data nascimento]]&gt;=$P$2,Tabela1[[#This Row],[Data nascimento]]&lt;=$O$2),"JUVENIL","JÚNIOR")</f>
        <v>JÚNIOR</v>
      </c>
    </row>
    <row r="1557" spans="1:10" ht="15" x14ac:dyDescent="0.4">
      <c r="A1557" s="13" t="s">
        <v>2357</v>
      </c>
      <c r="B1557" s="2" t="s">
        <v>2358</v>
      </c>
      <c r="C1557" s="4" t="s">
        <v>21</v>
      </c>
      <c r="D1557" s="11">
        <v>40350</v>
      </c>
      <c r="E1557" s="7" t="s">
        <v>2359</v>
      </c>
      <c r="F1557" s="4" t="s">
        <v>4797</v>
      </c>
      <c r="G1557" s="12" t="str">
        <f>IF(AND(Tabela1[[#This Row],[Data nascimento]]&gt;=$J$2,Tabela1[[#This Row],[Data nascimento]]&lt;=$I$2),"INFANTIL A",H1557)</f>
        <v>JUVENIL</v>
      </c>
      <c r="H1557" s="3" t="str">
        <f>IF(AND(Tabela1[[#This Row],[Data nascimento]]&gt;=$L$2,Tabela1[[#This Row],[Data nascimento]]&lt;=$K$2),"INFANTIL B",I1557)</f>
        <v>JUVENIL</v>
      </c>
      <c r="I1557" s="9" t="str">
        <f>IF(AND(Tabela1[[#This Row],[Data nascimento]]&gt;=$N$2,Tabela1[[#This Row],[Data nascimento]]&lt;=$M$2),"INICIADO",J1557)</f>
        <v>JUVENIL</v>
      </c>
      <c r="J1557" s="9" t="str">
        <f>IF(AND(Tabela1[[#This Row],[Data nascimento]]&gt;=$P$2,Tabela1[[#This Row],[Data nascimento]]&lt;=$O$2),"JUVENIL","JÚNIOR")</f>
        <v>JUVENIL</v>
      </c>
    </row>
    <row r="1558" spans="1:10" ht="15" x14ac:dyDescent="0.4">
      <c r="A1558" s="13" t="s">
        <v>2360</v>
      </c>
      <c r="B1558" s="2" t="s">
        <v>2361</v>
      </c>
      <c r="C1558" s="4" t="s">
        <v>21</v>
      </c>
      <c r="D1558" s="11">
        <v>40429</v>
      </c>
      <c r="E1558" s="7" t="s">
        <v>2362</v>
      </c>
      <c r="F1558" s="4" t="s">
        <v>4797</v>
      </c>
      <c r="G1558" s="12" t="str">
        <f>IF(AND(Tabela1[[#This Row],[Data nascimento]]&gt;=$J$2,Tabela1[[#This Row],[Data nascimento]]&lt;=$I$2),"INFANTIL A",H1558)</f>
        <v>JUVENIL</v>
      </c>
      <c r="H1558" s="3" t="str">
        <f>IF(AND(Tabela1[[#This Row],[Data nascimento]]&gt;=$L$2,Tabela1[[#This Row],[Data nascimento]]&lt;=$K$2),"INFANTIL B",I1558)</f>
        <v>JUVENIL</v>
      </c>
      <c r="I1558" s="9" t="str">
        <f>IF(AND(Tabela1[[#This Row],[Data nascimento]]&gt;=$N$2,Tabela1[[#This Row],[Data nascimento]]&lt;=$M$2),"INICIADO",J1558)</f>
        <v>JUVENIL</v>
      </c>
      <c r="J1558" s="9" t="str">
        <f>IF(AND(Tabela1[[#This Row],[Data nascimento]]&gt;=$P$2,Tabela1[[#This Row],[Data nascimento]]&lt;=$O$2),"JUVENIL","JÚNIOR")</f>
        <v>JUVENIL</v>
      </c>
    </row>
    <row r="1559" spans="1:10" ht="15" x14ac:dyDescent="0.4">
      <c r="A1559" s="13" t="s">
        <v>2363</v>
      </c>
      <c r="B1559" s="2" t="s">
        <v>2364</v>
      </c>
      <c r="C1559" s="4" t="s">
        <v>21</v>
      </c>
      <c r="D1559" s="11">
        <v>40583</v>
      </c>
      <c r="E1559" s="7" t="s">
        <v>2365</v>
      </c>
      <c r="F1559" s="4" t="s">
        <v>4797</v>
      </c>
      <c r="G1559" s="12" t="str">
        <f>IF(AND(Tabela1[[#This Row],[Data nascimento]]&gt;=$J$2,Tabela1[[#This Row],[Data nascimento]]&lt;=$I$2),"INFANTIL A",H1559)</f>
        <v>INICIADO</v>
      </c>
      <c r="H1559" s="3" t="str">
        <f>IF(AND(Tabela1[[#This Row],[Data nascimento]]&gt;=$L$2,Tabela1[[#This Row],[Data nascimento]]&lt;=$K$2),"INFANTIL B",I1559)</f>
        <v>INICIADO</v>
      </c>
      <c r="I1559" s="9" t="str">
        <f>IF(AND(Tabela1[[#This Row],[Data nascimento]]&gt;=$N$2,Tabela1[[#This Row],[Data nascimento]]&lt;=$M$2),"INICIADO",J1559)</f>
        <v>INICIADO</v>
      </c>
      <c r="J1559" s="9" t="str">
        <f>IF(AND(Tabela1[[#This Row],[Data nascimento]]&gt;=$P$2,Tabela1[[#This Row],[Data nascimento]]&lt;=$O$2),"JUVENIL","JÚNIOR")</f>
        <v>JÚNIOR</v>
      </c>
    </row>
    <row r="1560" spans="1:10" ht="15" x14ac:dyDescent="0.4">
      <c r="A1560" s="13" t="s">
        <v>2366</v>
      </c>
      <c r="B1560" s="2" t="s">
        <v>2367</v>
      </c>
      <c r="C1560" s="4" t="s">
        <v>8</v>
      </c>
      <c r="D1560" s="11">
        <v>39844</v>
      </c>
      <c r="E1560" s="7" t="s">
        <v>2368</v>
      </c>
      <c r="F1560" s="4" t="s">
        <v>4797</v>
      </c>
      <c r="G1560" s="12" t="str">
        <f>IF(AND(Tabela1[[#This Row],[Data nascimento]]&gt;=$J$2,Tabela1[[#This Row],[Data nascimento]]&lt;=$I$2),"INFANTIL A",H1560)</f>
        <v>JUVENIL</v>
      </c>
      <c r="H1560" s="3" t="str">
        <f>IF(AND(Tabela1[[#This Row],[Data nascimento]]&gt;=$L$2,Tabela1[[#This Row],[Data nascimento]]&lt;=$K$2),"INFANTIL B",I1560)</f>
        <v>JUVENIL</v>
      </c>
      <c r="I1560" s="9" t="str">
        <f>IF(AND(Tabela1[[#This Row],[Data nascimento]]&gt;=$N$2,Tabela1[[#This Row],[Data nascimento]]&lt;=$M$2),"INICIADO",J1560)</f>
        <v>JUVENIL</v>
      </c>
      <c r="J1560" s="9" t="str">
        <f>IF(AND(Tabela1[[#This Row],[Data nascimento]]&gt;=$P$2,Tabela1[[#This Row],[Data nascimento]]&lt;=$O$2),"JUVENIL","JÚNIOR")</f>
        <v>JUVENIL</v>
      </c>
    </row>
    <row r="1561" spans="1:10" ht="15" x14ac:dyDescent="0.4">
      <c r="A1561" s="13" t="s">
        <v>2369</v>
      </c>
      <c r="B1561" s="2" t="s">
        <v>2370</v>
      </c>
      <c r="C1561" s="4" t="s">
        <v>21</v>
      </c>
      <c r="D1561" s="11">
        <v>40544</v>
      </c>
      <c r="E1561" s="7" t="s">
        <v>2371</v>
      </c>
      <c r="F1561" s="4" t="s">
        <v>4797</v>
      </c>
      <c r="G1561" s="12" t="str">
        <f>IF(AND(Tabela1[[#This Row],[Data nascimento]]&gt;=$J$2,Tabela1[[#This Row],[Data nascimento]]&lt;=$I$2),"INFANTIL A",H1561)</f>
        <v>INICIADO</v>
      </c>
      <c r="H1561" s="3" t="str">
        <f>IF(AND(Tabela1[[#This Row],[Data nascimento]]&gt;=$L$2,Tabela1[[#This Row],[Data nascimento]]&lt;=$K$2),"INFANTIL B",I1561)</f>
        <v>INICIADO</v>
      </c>
      <c r="I1561" s="9" t="str">
        <f>IF(AND(Tabela1[[#This Row],[Data nascimento]]&gt;=$N$2,Tabela1[[#This Row],[Data nascimento]]&lt;=$M$2),"INICIADO",J1561)</f>
        <v>INICIADO</v>
      </c>
      <c r="J1561" s="9" t="str">
        <f>IF(AND(Tabela1[[#This Row],[Data nascimento]]&gt;=$P$2,Tabela1[[#This Row],[Data nascimento]]&lt;=$O$2),"JUVENIL","JÚNIOR")</f>
        <v>JÚNIOR</v>
      </c>
    </row>
    <row r="1562" spans="1:10" ht="15" x14ac:dyDescent="0.4">
      <c r="A1562" s="13" t="s">
        <v>2372</v>
      </c>
      <c r="B1562" s="2" t="s">
        <v>2373</v>
      </c>
      <c r="C1562" s="4" t="s">
        <v>8</v>
      </c>
      <c r="D1562" s="11">
        <v>40847</v>
      </c>
      <c r="E1562" s="7" t="s">
        <v>2374</v>
      </c>
      <c r="F1562" s="4" t="s">
        <v>4797</v>
      </c>
      <c r="G1562" s="12" t="str">
        <f>IF(AND(Tabela1[[#This Row],[Data nascimento]]&gt;=$J$2,Tabela1[[#This Row],[Data nascimento]]&lt;=$I$2),"INFANTIL A",H1562)</f>
        <v>INICIADO</v>
      </c>
      <c r="H1562" s="3" t="str">
        <f>IF(AND(Tabela1[[#This Row],[Data nascimento]]&gt;=$L$2,Tabela1[[#This Row],[Data nascimento]]&lt;=$K$2),"INFANTIL B",I1562)</f>
        <v>INICIADO</v>
      </c>
      <c r="I1562" s="9" t="str">
        <f>IF(AND(Tabela1[[#This Row],[Data nascimento]]&gt;=$N$2,Tabela1[[#This Row],[Data nascimento]]&lt;=$M$2),"INICIADO",J1562)</f>
        <v>INICIADO</v>
      </c>
      <c r="J1562" s="9" t="str">
        <f>IF(AND(Tabela1[[#This Row],[Data nascimento]]&gt;=$P$2,Tabela1[[#This Row],[Data nascimento]]&lt;=$O$2),"JUVENIL","JÚNIOR")</f>
        <v>JÚNIOR</v>
      </c>
    </row>
    <row r="1563" spans="1:10" ht="15" x14ac:dyDescent="0.4">
      <c r="A1563" s="13" t="s">
        <v>2375</v>
      </c>
      <c r="B1563" s="2" t="s">
        <v>2376</v>
      </c>
      <c r="C1563" s="4" t="s">
        <v>21</v>
      </c>
      <c r="D1563" s="11">
        <v>40836</v>
      </c>
      <c r="E1563" s="7" t="s">
        <v>2377</v>
      </c>
      <c r="F1563" s="4" t="s">
        <v>4797</v>
      </c>
      <c r="G1563" s="12" t="str">
        <f>IF(AND(Tabela1[[#This Row],[Data nascimento]]&gt;=$J$2,Tabela1[[#This Row],[Data nascimento]]&lt;=$I$2),"INFANTIL A",H1563)</f>
        <v>INICIADO</v>
      </c>
      <c r="H1563" s="3" t="str">
        <f>IF(AND(Tabela1[[#This Row],[Data nascimento]]&gt;=$L$2,Tabela1[[#This Row],[Data nascimento]]&lt;=$K$2),"INFANTIL B",I1563)</f>
        <v>INICIADO</v>
      </c>
      <c r="I1563" s="9" t="str">
        <f>IF(AND(Tabela1[[#This Row],[Data nascimento]]&gt;=$N$2,Tabela1[[#This Row],[Data nascimento]]&lt;=$M$2),"INICIADO",J1563)</f>
        <v>INICIADO</v>
      </c>
      <c r="J1563" s="9" t="str">
        <f>IF(AND(Tabela1[[#This Row],[Data nascimento]]&gt;=$P$2,Tabela1[[#This Row],[Data nascimento]]&lt;=$O$2),"JUVENIL","JÚNIOR")</f>
        <v>JÚNIOR</v>
      </c>
    </row>
    <row r="1564" spans="1:10" ht="15" x14ac:dyDescent="0.4">
      <c r="A1564" s="13" t="s">
        <v>2378</v>
      </c>
      <c r="B1564" s="2" t="s">
        <v>2379</v>
      </c>
      <c r="C1564" s="4" t="s">
        <v>21</v>
      </c>
      <c r="D1564" s="11">
        <v>40554</v>
      </c>
      <c r="E1564" s="7" t="s">
        <v>2380</v>
      </c>
      <c r="F1564" s="4" t="s">
        <v>4797</v>
      </c>
      <c r="G1564" s="12" t="str">
        <f>IF(AND(Tabela1[[#This Row],[Data nascimento]]&gt;=$J$2,Tabela1[[#This Row],[Data nascimento]]&lt;=$I$2),"INFANTIL A",H1564)</f>
        <v>INICIADO</v>
      </c>
      <c r="H1564" s="3" t="str">
        <f>IF(AND(Tabela1[[#This Row],[Data nascimento]]&gt;=$L$2,Tabela1[[#This Row],[Data nascimento]]&lt;=$K$2),"INFANTIL B",I1564)</f>
        <v>INICIADO</v>
      </c>
      <c r="I1564" s="9" t="str">
        <f>IF(AND(Tabela1[[#This Row],[Data nascimento]]&gt;=$N$2,Tabela1[[#This Row],[Data nascimento]]&lt;=$M$2),"INICIADO",J1564)</f>
        <v>INICIADO</v>
      </c>
      <c r="J1564" s="9" t="str">
        <f>IF(AND(Tabela1[[#This Row],[Data nascimento]]&gt;=$P$2,Tabela1[[#This Row],[Data nascimento]]&lt;=$O$2),"JUVENIL","JÚNIOR")</f>
        <v>JÚNIOR</v>
      </c>
    </row>
    <row r="1565" spans="1:10" ht="15" x14ac:dyDescent="0.4">
      <c r="A1565" s="13" t="s">
        <v>2381</v>
      </c>
      <c r="B1565" s="2" t="s">
        <v>2382</v>
      </c>
      <c r="C1565" s="4" t="s">
        <v>21</v>
      </c>
      <c r="D1565" s="11">
        <v>40520</v>
      </c>
      <c r="E1565" s="7" t="s">
        <v>2383</v>
      </c>
      <c r="F1565" s="4" t="s">
        <v>4797</v>
      </c>
      <c r="G1565" s="12" t="str">
        <f>IF(AND(Tabela1[[#This Row],[Data nascimento]]&gt;=$J$2,Tabela1[[#This Row],[Data nascimento]]&lt;=$I$2),"INFANTIL A",H1565)</f>
        <v>JUVENIL</v>
      </c>
      <c r="H1565" s="3" t="str">
        <f>IF(AND(Tabela1[[#This Row],[Data nascimento]]&gt;=$L$2,Tabela1[[#This Row],[Data nascimento]]&lt;=$K$2),"INFANTIL B",I1565)</f>
        <v>JUVENIL</v>
      </c>
      <c r="I1565" s="9" t="str">
        <f>IF(AND(Tabela1[[#This Row],[Data nascimento]]&gt;=$N$2,Tabela1[[#This Row],[Data nascimento]]&lt;=$M$2),"INICIADO",J1565)</f>
        <v>JUVENIL</v>
      </c>
      <c r="J1565" s="9" t="str">
        <f>IF(AND(Tabela1[[#This Row],[Data nascimento]]&gt;=$P$2,Tabela1[[#This Row],[Data nascimento]]&lt;=$O$2),"JUVENIL","JÚNIOR")</f>
        <v>JUVENIL</v>
      </c>
    </row>
    <row r="1566" spans="1:10" ht="15" x14ac:dyDescent="0.4">
      <c r="A1566" s="13" t="s">
        <v>2384</v>
      </c>
      <c r="B1566" s="2" t="s">
        <v>2385</v>
      </c>
      <c r="C1566" s="4" t="s">
        <v>21</v>
      </c>
      <c r="D1566" s="11">
        <v>40702</v>
      </c>
      <c r="E1566" s="7" t="s">
        <v>2386</v>
      </c>
      <c r="F1566" s="4" t="s">
        <v>4797</v>
      </c>
      <c r="G1566" s="12" t="str">
        <f>IF(AND(Tabela1[[#This Row],[Data nascimento]]&gt;=$J$2,Tabela1[[#This Row],[Data nascimento]]&lt;=$I$2),"INFANTIL A",H1566)</f>
        <v>INICIADO</v>
      </c>
      <c r="H1566" s="3" t="str">
        <f>IF(AND(Tabela1[[#This Row],[Data nascimento]]&gt;=$L$2,Tabela1[[#This Row],[Data nascimento]]&lt;=$K$2),"INFANTIL B",I1566)</f>
        <v>INICIADO</v>
      </c>
      <c r="I1566" s="9" t="str">
        <f>IF(AND(Tabela1[[#This Row],[Data nascimento]]&gt;=$N$2,Tabela1[[#This Row],[Data nascimento]]&lt;=$M$2),"INICIADO",J1566)</f>
        <v>INICIADO</v>
      </c>
      <c r="J1566" s="9" t="str">
        <f>IF(AND(Tabela1[[#This Row],[Data nascimento]]&gt;=$P$2,Tabela1[[#This Row],[Data nascimento]]&lt;=$O$2),"JUVENIL","JÚNIOR")</f>
        <v>JÚNIOR</v>
      </c>
    </row>
    <row r="1567" spans="1:10" ht="15" x14ac:dyDescent="0.4">
      <c r="A1567" s="13" t="s">
        <v>2387</v>
      </c>
      <c r="B1567" s="2" t="s">
        <v>2388</v>
      </c>
      <c r="C1567" s="4" t="s">
        <v>21</v>
      </c>
      <c r="D1567" s="11">
        <v>40879</v>
      </c>
      <c r="E1567" s="7" t="s">
        <v>2389</v>
      </c>
      <c r="F1567" s="4" t="s">
        <v>4797</v>
      </c>
      <c r="G1567" s="12" t="str">
        <f>IF(AND(Tabela1[[#This Row],[Data nascimento]]&gt;=$J$2,Tabela1[[#This Row],[Data nascimento]]&lt;=$I$2),"INFANTIL A",H1567)</f>
        <v>INICIADO</v>
      </c>
      <c r="H1567" s="3" t="str">
        <f>IF(AND(Tabela1[[#This Row],[Data nascimento]]&gt;=$L$2,Tabela1[[#This Row],[Data nascimento]]&lt;=$K$2),"INFANTIL B",I1567)</f>
        <v>INICIADO</v>
      </c>
      <c r="I1567" s="9" t="str">
        <f>IF(AND(Tabela1[[#This Row],[Data nascimento]]&gt;=$N$2,Tabela1[[#This Row],[Data nascimento]]&lt;=$M$2),"INICIADO",J1567)</f>
        <v>INICIADO</v>
      </c>
      <c r="J1567" s="9" t="str">
        <f>IF(AND(Tabela1[[#This Row],[Data nascimento]]&gt;=$P$2,Tabela1[[#This Row],[Data nascimento]]&lt;=$O$2),"JUVENIL","JÚNIOR")</f>
        <v>JÚNIOR</v>
      </c>
    </row>
    <row r="1568" spans="1:10" ht="15" x14ac:dyDescent="0.4">
      <c r="A1568" s="13" t="s">
        <v>2390</v>
      </c>
      <c r="B1568" s="2" t="s">
        <v>2391</v>
      </c>
      <c r="C1568" s="4" t="s">
        <v>8</v>
      </c>
      <c r="D1568" s="11">
        <v>40619</v>
      </c>
      <c r="E1568" s="7" t="s">
        <v>2392</v>
      </c>
      <c r="F1568" s="4" t="s">
        <v>4797</v>
      </c>
      <c r="G1568" s="12" t="str">
        <f>IF(AND(Tabela1[[#This Row],[Data nascimento]]&gt;=$J$2,Tabela1[[#This Row],[Data nascimento]]&lt;=$I$2),"INFANTIL A",H1568)</f>
        <v>INICIADO</v>
      </c>
      <c r="H1568" s="3" t="str">
        <f>IF(AND(Tabela1[[#This Row],[Data nascimento]]&gt;=$L$2,Tabela1[[#This Row],[Data nascimento]]&lt;=$K$2),"INFANTIL B",I1568)</f>
        <v>INICIADO</v>
      </c>
      <c r="I1568" s="9" t="str">
        <f>IF(AND(Tabela1[[#This Row],[Data nascimento]]&gt;=$N$2,Tabela1[[#This Row],[Data nascimento]]&lt;=$M$2),"INICIADO",J1568)</f>
        <v>INICIADO</v>
      </c>
      <c r="J1568" s="9" t="str">
        <f>IF(AND(Tabela1[[#This Row],[Data nascimento]]&gt;=$P$2,Tabela1[[#This Row],[Data nascimento]]&lt;=$O$2),"JUVENIL","JÚNIOR")</f>
        <v>JÚNIOR</v>
      </c>
    </row>
    <row r="1569" spans="1:10" ht="15" x14ac:dyDescent="0.4">
      <c r="A1569" s="13" t="s">
        <v>2393</v>
      </c>
      <c r="B1569" s="2" t="s">
        <v>2394</v>
      </c>
      <c r="C1569" s="4" t="s">
        <v>21</v>
      </c>
      <c r="D1569" s="11">
        <v>40818</v>
      </c>
      <c r="E1569" s="7" t="s">
        <v>2395</v>
      </c>
      <c r="F1569" s="4" t="s">
        <v>4797</v>
      </c>
      <c r="G1569" s="12" t="str">
        <f>IF(AND(Tabela1[[#This Row],[Data nascimento]]&gt;=$J$2,Tabela1[[#This Row],[Data nascimento]]&lt;=$I$2),"INFANTIL A",H1569)</f>
        <v>INICIADO</v>
      </c>
      <c r="H1569" s="3" t="str">
        <f>IF(AND(Tabela1[[#This Row],[Data nascimento]]&gt;=$L$2,Tabela1[[#This Row],[Data nascimento]]&lt;=$K$2),"INFANTIL B",I1569)</f>
        <v>INICIADO</v>
      </c>
      <c r="I1569" s="9" t="str">
        <f>IF(AND(Tabela1[[#This Row],[Data nascimento]]&gt;=$N$2,Tabela1[[#This Row],[Data nascimento]]&lt;=$M$2),"INICIADO",J1569)</f>
        <v>INICIADO</v>
      </c>
      <c r="J1569" s="9" t="str">
        <f>IF(AND(Tabela1[[#This Row],[Data nascimento]]&gt;=$P$2,Tabela1[[#This Row],[Data nascimento]]&lt;=$O$2),"JUVENIL","JÚNIOR")</f>
        <v>JÚNIOR</v>
      </c>
    </row>
    <row r="1570" spans="1:10" ht="15" x14ac:dyDescent="0.4">
      <c r="A1570" s="13" t="s">
        <v>3140</v>
      </c>
      <c r="B1570" s="2" t="s">
        <v>3141</v>
      </c>
      <c r="C1570" s="4" t="s">
        <v>8</v>
      </c>
      <c r="D1570" s="11">
        <v>40692</v>
      </c>
      <c r="E1570" s="7" t="s">
        <v>3142</v>
      </c>
      <c r="F1570" s="4" t="s">
        <v>4793</v>
      </c>
      <c r="G1570" s="12" t="str">
        <f>IF(AND(Tabela1[[#This Row],[Data nascimento]]&gt;=$J$2,Tabela1[[#This Row],[Data nascimento]]&lt;=$I$2),"INFANTIL A",H1570)</f>
        <v>INICIADO</v>
      </c>
      <c r="H1570" s="3" t="str">
        <f>IF(AND(Tabela1[[#This Row],[Data nascimento]]&gt;=$L$2,Tabela1[[#This Row],[Data nascimento]]&lt;=$K$2),"INFANTIL B",I1570)</f>
        <v>INICIADO</v>
      </c>
      <c r="I1570" s="9" t="str">
        <f>IF(AND(Tabela1[[#This Row],[Data nascimento]]&gt;=$N$2,Tabela1[[#This Row],[Data nascimento]]&lt;=$M$2),"INICIADO",J1570)</f>
        <v>INICIADO</v>
      </c>
      <c r="J1570" s="9" t="str">
        <f>IF(AND(Tabela1[[#This Row],[Data nascimento]]&gt;=$P$2,Tabela1[[#This Row],[Data nascimento]]&lt;=$O$2),"JUVENIL","JÚNIOR")</f>
        <v>JÚNIOR</v>
      </c>
    </row>
    <row r="1571" spans="1:10" ht="15" x14ac:dyDescent="0.4">
      <c r="A1571" s="13" t="s">
        <v>3143</v>
      </c>
      <c r="B1571" s="2" t="s">
        <v>3144</v>
      </c>
      <c r="C1571" s="4" t="s">
        <v>8</v>
      </c>
      <c r="D1571" s="11">
        <v>40627</v>
      </c>
      <c r="E1571" s="7" t="s">
        <v>3145</v>
      </c>
      <c r="F1571" s="4" t="s">
        <v>4796</v>
      </c>
      <c r="G1571" s="12" t="str">
        <f>IF(AND(Tabela1[[#This Row],[Data nascimento]]&gt;=$J$2,Tabela1[[#This Row],[Data nascimento]]&lt;=$I$2),"INFANTIL A",H1571)</f>
        <v>INICIADO</v>
      </c>
      <c r="H1571" s="3" t="str">
        <f>IF(AND(Tabela1[[#This Row],[Data nascimento]]&gt;=$L$2,Tabela1[[#This Row],[Data nascimento]]&lt;=$K$2),"INFANTIL B",I1571)</f>
        <v>INICIADO</v>
      </c>
      <c r="I1571" s="9" t="str">
        <f>IF(AND(Tabela1[[#This Row],[Data nascimento]]&gt;=$N$2,Tabela1[[#This Row],[Data nascimento]]&lt;=$M$2),"INICIADO",J1571)</f>
        <v>INICIADO</v>
      </c>
      <c r="J1571" s="9" t="str">
        <f>IF(AND(Tabela1[[#This Row],[Data nascimento]]&gt;=$P$2,Tabela1[[#This Row],[Data nascimento]]&lt;=$O$2),"JUVENIL","JÚNIOR")</f>
        <v>JÚNIOR</v>
      </c>
    </row>
    <row r="1572" spans="1:10" ht="15" x14ac:dyDescent="0.4">
      <c r="A1572" s="13" t="s">
        <v>3146</v>
      </c>
      <c r="B1572" s="2" t="s">
        <v>3147</v>
      </c>
      <c r="C1572" s="4" t="s">
        <v>21</v>
      </c>
      <c r="D1572" s="11">
        <v>40644</v>
      </c>
      <c r="E1572" s="7" t="s">
        <v>3148</v>
      </c>
      <c r="F1572" s="4" t="s">
        <v>4794</v>
      </c>
      <c r="G1572" s="12" t="str">
        <f>IF(AND(Tabela1[[#This Row],[Data nascimento]]&gt;=$J$2,Tabela1[[#This Row],[Data nascimento]]&lt;=$I$2),"INFANTIL A",H1572)</f>
        <v>INICIADO</v>
      </c>
      <c r="H1572" s="3" t="str">
        <f>IF(AND(Tabela1[[#This Row],[Data nascimento]]&gt;=$L$2,Tabela1[[#This Row],[Data nascimento]]&lt;=$K$2),"INFANTIL B",I1572)</f>
        <v>INICIADO</v>
      </c>
      <c r="I1572" s="9" t="str">
        <f>IF(AND(Tabela1[[#This Row],[Data nascimento]]&gt;=$N$2,Tabela1[[#This Row],[Data nascimento]]&lt;=$M$2),"INICIADO",J1572)</f>
        <v>INICIADO</v>
      </c>
      <c r="J1572" s="9" t="str">
        <f>IF(AND(Tabela1[[#This Row],[Data nascimento]]&gt;=$P$2,Tabela1[[#This Row],[Data nascimento]]&lt;=$O$2),"JUVENIL","JÚNIOR")</f>
        <v>JÚNIOR</v>
      </c>
    </row>
    <row r="1573" spans="1:10" ht="15" x14ac:dyDescent="0.4">
      <c r="A1573" s="13" t="s">
        <v>3806</v>
      </c>
      <c r="B1573" s="2" t="s">
        <v>3807</v>
      </c>
      <c r="C1573" s="4" t="s">
        <v>8</v>
      </c>
      <c r="D1573" s="11">
        <v>40350</v>
      </c>
      <c r="E1573" s="7" t="s">
        <v>3808</v>
      </c>
      <c r="F1573" s="4" t="s">
        <v>4794</v>
      </c>
      <c r="G1573" s="12" t="str">
        <f>IF(AND(Tabela1[[#This Row],[Data nascimento]]&gt;=$J$2,Tabela1[[#This Row],[Data nascimento]]&lt;=$I$2),"INFANTIL A",H1573)</f>
        <v>JUVENIL</v>
      </c>
      <c r="H1573" s="3" t="str">
        <f>IF(AND(Tabela1[[#This Row],[Data nascimento]]&gt;=$L$2,Tabela1[[#This Row],[Data nascimento]]&lt;=$K$2),"INFANTIL B",I1573)</f>
        <v>JUVENIL</v>
      </c>
      <c r="I1573" s="9" t="str">
        <f>IF(AND(Tabela1[[#This Row],[Data nascimento]]&gt;=$N$2,Tabela1[[#This Row],[Data nascimento]]&lt;=$M$2),"INICIADO",J1573)</f>
        <v>JUVENIL</v>
      </c>
      <c r="J1573" s="9" t="str">
        <f>IF(AND(Tabela1[[#This Row],[Data nascimento]]&gt;=$P$2,Tabela1[[#This Row],[Data nascimento]]&lt;=$O$2),"JUVENIL","JÚNIOR")</f>
        <v>JUVENIL</v>
      </c>
    </row>
    <row r="1574" spans="1:10" ht="15" x14ac:dyDescent="0.4">
      <c r="A1574" s="13" t="s">
        <v>3809</v>
      </c>
      <c r="B1574" s="2" t="s">
        <v>3810</v>
      </c>
      <c r="C1574" s="4" t="s">
        <v>8</v>
      </c>
      <c r="D1574" s="11">
        <v>40523</v>
      </c>
      <c r="E1574" s="7" t="s">
        <v>3811</v>
      </c>
      <c r="F1574" s="4" t="s">
        <v>4795</v>
      </c>
      <c r="G1574" s="12" t="str">
        <f>IF(AND(Tabela1[[#This Row],[Data nascimento]]&gt;=$J$2,Tabela1[[#This Row],[Data nascimento]]&lt;=$I$2),"INFANTIL A",H1574)</f>
        <v>JUVENIL</v>
      </c>
      <c r="H1574" s="3" t="str">
        <f>IF(AND(Tabela1[[#This Row],[Data nascimento]]&gt;=$L$2,Tabela1[[#This Row],[Data nascimento]]&lt;=$K$2),"INFANTIL B",I1574)</f>
        <v>JUVENIL</v>
      </c>
      <c r="I1574" s="9" t="str">
        <f>IF(AND(Tabela1[[#This Row],[Data nascimento]]&gt;=$N$2,Tabela1[[#This Row],[Data nascimento]]&lt;=$M$2),"INICIADO",J1574)</f>
        <v>JUVENIL</v>
      </c>
      <c r="J1574" s="9" t="str">
        <f>IF(AND(Tabela1[[#This Row],[Data nascimento]]&gt;=$P$2,Tabela1[[#This Row],[Data nascimento]]&lt;=$O$2),"JUVENIL","JÚNIOR")</f>
        <v>JUVENIL</v>
      </c>
    </row>
    <row r="1575" spans="1:10" ht="15" x14ac:dyDescent="0.4">
      <c r="A1575" s="13" t="s">
        <v>3812</v>
      </c>
      <c r="B1575" s="2" t="s">
        <v>3813</v>
      </c>
      <c r="C1575" s="4" t="s">
        <v>21</v>
      </c>
      <c r="D1575" s="11">
        <v>39758</v>
      </c>
      <c r="E1575" s="7" t="s">
        <v>3814</v>
      </c>
      <c r="F1575" s="4" t="s">
        <v>4794</v>
      </c>
      <c r="G1575" s="12" t="str">
        <f>IF(AND(Tabela1[[#This Row],[Data nascimento]]&gt;=$J$2,Tabela1[[#This Row],[Data nascimento]]&lt;=$I$2),"INFANTIL A",H1575)</f>
        <v>JUVENIL</v>
      </c>
      <c r="H1575" s="3" t="str">
        <f>IF(AND(Tabela1[[#This Row],[Data nascimento]]&gt;=$L$2,Tabela1[[#This Row],[Data nascimento]]&lt;=$K$2),"INFANTIL B",I1575)</f>
        <v>JUVENIL</v>
      </c>
      <c r="I1575" s="9" t="str">
        <f>IF(AND(Tabela1[[#This Row],[Data nascimento]]&gt;=$N$2,Tabela1[[#This Row],[Data nascimento]]&lt;=$M$2),"INICIADO",J1575)</f>
        <v>JUVENIL</v>
      </c>
      <c r="J1575" s="9" t="str">
        <f>IF(AND(Tabela1[[#This Row],[Data nascimento]]&gt;=$P$2,Tabela1[[#This Row],[Data nascimento]]&lt;=$O$2),"JUVENIL","JÚNIOR")</f>
        <v>JUVENIL</v>
      </c>
    </row>
    <row r="1576" spans="1:10" ht="15" x14ac:dyDescent="0.4">
      <c r="A1576" s="13" t="s">
        <v>3815</v>
      </c>
      <c r="B1576" s="2" t="s">
        <v>3816</v>
      </c>
      <c r="C1576" s="4" t="s">
        <v>8</v>
      </c>
      <c r="D1576" s="11">
        <v>40768</v>
      </c>
      <c r="E1576" s="7" t="s">
        <v>3817</v>
      </c>
      <c r="F1576" s="4" t="s">
        <v>4795</v>
      </c>
      <c r="G1576" s="12" t="str">
        <f>IF(AND(Tabela1[[#This Row],[Data nascimento]]&gt;=$J$2,Tabela1[[#This Row],[Data nascimento]]&lt;=$I$2),"INFANTIL A",H1576)</f>
        <v>INICIADO</v>
      </c>
      <c r="H1576" s="3" t="str">
        <f>IF(AND(Tabela1[[#This Row],[Data nascimento]]&gt;=$L$2,Tabela1[[#This Row],[Data nascimento]]&lt;=$K$2),"INFANTIL B",I1576)</f>
        <v>INICIADO</v>
      </c>
      <c r="I1576" s="9" t="str">
        <f>IF(AND(Tabela1[[#This Row],[Data nascimento]]&gt;=$N$2,Tabela1[[#This Row],[Data nascimento]]&lt;=$M$2),"INICIADO",J1576)</f>
        <v>INICIADO</v>
      </c>
      <c r="J1576" s="9" t="str">
        <f>IF(AND(Tabela1[[#This Row],[Data nascimento]]&gt;=$P$2,Tabela1[[#This Row],[Data nascimento]]&lt;=$O$2),"JUVENIL","JÚNIOR")</f>
        <v>JÚNIOR</v>
      </c>
    </row>
    <row r="1577" spans="1:10" ht="15" x14ac:dyDescent="0.4">
      <c r="A1577" s="13" t="s">
        <v>4307</v>
      </c>
      <c r="B1577" s="2" t="s">
        <v>4308</v>
      </c>
      <c r="C1577" s="4" t="s">
        <v>21</v>
      </c>
      <c r="D1577" s="11">
        <v>40170</v>
      </c>
      <c r="E1577" s="7" t="s">
        <v>4309</v>
      </c>
      <c r="F1577" s="4" t="s">
        <v>4794</v>
      </c>
      <c r="G1577" s="12" t="str">
        <f>IF(AND(Tabela1[[#This Row],[Data nascimento]]&gt;=$J$2,Tabela1[[#This Row],[Data nascimento]]&lt;=$I$2),"INFANTIL A",H1577)</f>
        <v>JUVENIL</v>
      </c>
      <c r="H1577" s="3" t="str">
        <f>IF(AND(Tabela1[[#This Row],[Data nascimento]]&gt;=$L$2,Tabela1[[#This Row],[Data nascimento]]&lt;=$K$2),"INFANTIL B",I1577)</f>
        <v>JUVENIL</v>
      </c>
      <c r="I1577" s="9" t="str">
        <f>IF(AND(Tabela1[[#This Row],[Data nascimento]]&gt;=$N$2,Tabela1[[#This Row],[Data nascimento]]&lt;=$M$2),"INICIADO",J1577)</f>
        <v>JUVENIL</v>
      </c>
      <c r="J1577" s="9" t="str">
        <f>IF(AND(Tabela1[[#This Row],[Data nascimento]]&gt;=$P$2,Tabela1[[#This Row],[Data nascimento]]&lt;=$O$2),"JUVENIL","JÚNIOR")</f>
        <v>JUVENIL</v>
      </c>
    </row>
    <row r="1578" spans="1:10" ht="15" x14ac:dyDescent="0.4">
      <c r="A1578" s="13" t="s">
        <v>4394</v>
      </c>
      <c r="B1578" s="2" t="s">
        <v>4395</v>
      </c>
      <c r="C1578" s="4" t="s">
        <v>8</v>
      </c>
      <c r="D1578" s="11">
        <v>40676</v>
      </c>
      <c r="E1578" s="7" t="s">
        <v>4396</v>
      </c>
      <c r="F1578" s="4" t="s">
        <v>4796</v>
      </c>
      <c r="G1578" s="12" t="str">
        <f>IF(AND(Tabela1[[#This Row],[Data nascimento]]&gt;=$J$2,Tabela1[[#This Row],[Data nascimento]]&lt;=$I$2),"INFANTIL A",H1578)</f>
        <v>INICIADO</v>
      </c>
      <c r="H1578" s="3" t="str">
        <f>IF(AND(Tabela1[[#This Row],[Data nascimento]]&gt;=$L$2,Tabela1[[#This Row],[Data nascimento]]&lt;=$K$2),"INFANTIL B",I1578)</f>
        <v>INICIADO</v>
      </c>
      <c r="I1578" s="9" t="str">
        <f>IF(AND(Tabela1[[#This Row],[Data nascimento]]&gt;=$N$2,Tabela1[[#This Row],[Data nascimento]]&lt;=$M$2),"INICIADO",J1578)</f>
        <v>INICIADO</v>
      </c>
      <c r="J1578" s="9" t="str">
        <f>IF(AND(Tabela1[[#This Row],[Data nascimento]]&gt;=$P$2,Tabela1[[#This Row],[Data nascimento]]&lt;=$O$2),"JUVENIL","JÚNIOR")</f>
        <v>JÚNIOR</v>
      </c>
    </row>
    <row r="1579" spans="1:10" ht="15" x14ac:dyDescent="0.4">
      <c r="A1579" s="13" t="s">
        <v>4400</v>
      </c>
      <c r="B1579" s="2" t="s">
        <v>4401</v>
      </c>
      <c r="C1579" s="4" t="s">
        <v>21</v>
      </c>
      <c r="D1579" s="11">
        <v>40426</v>
      </c>
      <c r="E1579" s="7" t="s">
        <v>4402</v>
      </c>
      <c r="F1579" s="4" t="s">
        <v>4794</v>
      </c>
      <c r="G1579" s="12" t="str">
        <f>IF(AND(Tabela1[[#This Row],[Data nascimento]]&gt;=$J$2,Tabela1[[#This Row],[Data nascimento]]&lt;=$I$2),"INFANTIL A",H1579)</f>
        <v>JUVENIL</v>
      </c>
      <c r="H1579" s="3" t="str">
        <f>IF(AND(Tabela1[[#This Row],[Data nascimento]]&gt;=$L$2,Tabela1[[#This Row],[Data nascimento]]&lt;=$K$2),"INFANTIL B",I1579)</f>
        <v>JUVENIL</v>
      </c>
      <c r="I1579" s="9" t="str">
        <f>IF(AND(Tabela1[[#This Row],[Data nascimento]]&gt;=$N$2,Tabela1[[#This Row],[Data nascimento]]&lt;=$M$2),"INICIADO",J1579)</f>
        <v>JUVENIL</v>
      </c>
      <c r="J1579" s="9" t="str">
        <f>IF(AND(Tabela1[[#This Row],[Data nascimento]]&gt;=$P$2,Tabela1[[#This Row],[Data nascimento]]&lt;=$O$2),"JUVENIL","JÚNIOR")</f>
        <v>JUVENIL</v>
      </c>
    </row>
    <row r="1580" spans="1:10" ht="15" x14ac:dyDescent="0.4">
      <c r="A1580" s="13" t="s">
        <v>4403</v>
      </c>
      <c r="B1580" s="2" t="s">
        <v>4404</v>
      </c>
      <c r="C1580" s="4" t="s">
        <v>8</v>
      </c>
      <c r="D1580" s="11">
        <v>40721</v>
      </c>
      <c r="E1580" s="7" t="s">
        <v>4405</v>
      </c>
      <c r="F1580" s="4" t="s">
        <v>4794</v>
      </c>
      <c r="G1580" s="12" t="str">
        <f>IF(AND(Tabela1[[#This Row],[Data nascimento]]&gt;=$J$2,Tabela1[[#This Row],[Data nascimento]]&lt;=$I$2),"INFANTIL A",H1580)</f>
        <v>INICIADO</v>
      </c>
      <c r="H1580" s="3" t="str">
        <f>IF(AND(Tabela1[[#This Row],[Data nascimento]]&gt;=$L$2,Tabela1[[#This Row],[Data nascimento]]&lt;=$K$2),"INFANTIL B",I1580)</f>
        <v>INICIADO</v>
      </c>
      <c r="I1580" s="9" t="str">
        <f>IF(AND(Tabela1[[#This Row],[Data nascimento]]&gt;=$N$2,Tabela1[[#This Row],[Data nascimento]]&lt;=$M$2),"INICIADO",J1580)</f>
        <v>INICIADO</v>
      </c>
      <c r="J1580" s="9" t="str">
        <f>IF(AND(Tabela1[[#This Row],[Data nascimento]]&gt;=$P$2,Tabela1[[#This Row],[Data nascimento]]&lt;=$O$2),"JUVENIL","JÚNIOR")</f>
        <v>JÚNIOR</v>
      </c>
    </row>
    <row r="1581" spans="1:10" ht="15" x14ac:dyDescent="0.4">
      <c r="A1581" s="13" t="s">
        <v>4406</v>
      </c>
      <c r="B1581" s="2" t="s">
        <v>4407</v>
      </c>
      <c r="C1581" s="4" t="s">
        <v>8</v>
      </c>
      <c r="D1581" s="11">
        <v>40893</v>
      </c>
      <c r="E1581" s="7" t="s">
        <v>4408</v>
      </c>
      <c r="F1581" s="4" t="s">
        <v>4794</v>
      </c>
      <c r="G1581" s="12" t="str">
        <f>IF(AND(Tabela1[[#This Row],[Data nascimento]]&gt;=$J$2,Tabela1[[#This Row],[Data nascimento]]&lt;=$I$2),"INFANTIL A",H1581)</f>
        <v>INICIADO</v>
      </c>
      <c r="H1581" s="3" t="str">
        <f>IF(AND(Tabela1[[#This Row],[Data nascimento]]&gt;=$L$2,Tabela1[[#This Row],[Data nascimento]]&lt;=$K$2),"INFANTIL B",I1581)</f>
        <v>INICIADO</v>
      </c>
      <c r="I1581" s="9" t="str">
        <f>IF(AND(Tabela1[[#This Row],[Data nascimento]]&gt;=$N$2,Tabela1[[#This Row],[Data nascimento]]&lt;=$M$2),"INICIADO",J1581)</f>
        <v>INICIADO</v>
      </c>
      <c r="J1581" s="9" t="str">
        <f>IF(AND(Tabela1[[#This Row],[Data nascimento]]&gt;=$P$2,Tabela1[[#This Row],[Data nascimento]]&lt;=$O$2),"JUVENIL","JÚNIOR")</f>
        <v>JÚNIOR</v>
      </c>
    </row>
    <row r="1582" spans="1:10" ht="15" x14ac:dyDescent="0.4">
      <c r="A1582" s="13" t="s">
        <v>4409</v>
      </c>
      <c r="B1582" s="2" t="s">
        <v>4410</v>
      </c>
      <c r="C1582" s="4" t="s">
        <v>21</v>
      </c>
      <c r="D1582" s="11">
        <v>40522</v>
      </c>
      <c r="E1582" s="7" t="s">
        <v>4411</v>
      </c>
      <c r="F1582" s="4" t="s">
        <v>4794</v>
      </c>
      <c r="G1582" s="12" t="str">
        <f>IF(AND(Tabela1[[#This Row],[Data nascimento]]&gt;=$J$2,Tabela1[[#This Row],[Data nascimento]]&lt;=$I$2),"INFANTIL A",H1582)</f>
        <v>JUVENIL</v>
      </c>
      <c r="H1582" s="3" t="str">
        <f>IF(AND(Tabela1[[#This Row],[Data nascimento]]&gt;=$L$2,Tabela1[[#This Row],[Data nascimento]]&lt;=$K$2),"INFANTIL B",I1582)</f>
        <v>JUVENIL</v>
      </c>
      <c r="I1582" s="9" t="str">
        <f>IF(AND(Tabela1[[#This Row],[Data nascimento]]&gt;=$N$2,Tabela1[[#This Row],[Data nascimento]]&lt;=$M$2),"INICIADO",J1582)</f>
        <v>JUVENIL</v>
      </c>
      <c r="J1582" s="9" t="str">
        <f>IF(AND(Tabela1[[#This Row],[Data nascimento]]&gt;=$P$2,Tabela1[[#This Row],[Data nascimento]]&lt;=$O$2),"JUVENIL","JÚNIOR")</f>
        <v>JUVENIL</v>
      </c>
    </row>
    <row r="1583" spans="1:10" ht="15" x14ac:dyDescent="0.4">
      <c r="A1583" s="13" t="s">
        <v>4412</v>
      </c>
      <c r="B1583" s="2" t="s">
        <v>4413</v>
      </c>
      <c r="C1583" s="4" t="s">
        <v>21</v>
      </c>
      <c r="D1583" s="11">
        <v>40612</v>
      </c>
      <c r="E1583" s="7" t="s">
        <v>4414</v>
      </c>
      <c r="F1583" s="4" t="s">
        <v>4795</v>
      </c>
      <c r="G1583" s="12" t="str">
        <f>IF(AND(Tabela1[[#This Row],[Data nascimento]]&gt;=$J$2,Tabela1[[#This Row],[Data nascimento]]&lt;=$I$2),"INFANTIL A",H1583)</f>
        <v>INICIADO</v>
      </c>
      <c r="H1583" s="3" t="str">
        <f>IF(AND(Tabela1[[#This Row],[Data nascimento]]&gt;=$L$2,Tabela1[[#This Row],[Data nascimento]]&lt;=$K$2),"INFANTIL B",I1583)</f>
        <v>INICIADO</v>
      </c>
      <c r="I1583" s="9" t="str">
        <f>IF(AND(Tabela1[[#This Row],[Data nascimento]]&gt;=$N$2,Tabela1[[#This Row],[Data nascimento]]&lt;=$M$2),"INICIADO",J1583)</f>
        <v>INICIADO</v>
      </c>
      <c r="J1583" s="9" t="str">
        <f>IF(AND(Tabela1[[#This Row],[Data nascimento]]&gt;=$P$2,Tabela1[[#This Row],[Data nascimento]]&lt;=$O$2),"JUVENIL","JÚNIOR")</f>
        <v>JÚNIOR</v>
      </c>
    </row>
    <row r="1584" spans="1:10" ht="15" x14ac:dyDescent="0.4">
      <c r="A1584" s="13" t="s">
        <v>4415</v>
      </c>
      <c r="B1584" s="2" t="s">
        <v>4416</v>
      </c>
      <c r="C1584" s="4" t="s">
        <v>8</v>
      </c>
      <c r="D1584" s="11">
        <v>40257</v>
      </c>
      <c r="E1584" s="7" t="s">
        <v>4417</v>
      </c>
      <c r="F1584" s="4" t="s">
        <v>4795</v>
      </c>
      <c r="G1584" s="12" t="str">
        <f>IF(AND(Tabela1[[#This Row],[Data nascimento]]&gt;=$J$2,Tabela1[[#This Row],[Data nascimento]]&lt;=$I$2),"INFANTIL A",H1584)</f>
        <v>JUVENIL</v>
      </c>
      <c r="H1584" s="3" t="str">
        <f>IF(AND(Tabela1[[#This Row],[Data nascimento]]&gt;=$L$2,Tabela1[[#This Row],[Data nascimento]]&lt;=$K$2),"INFANTIL B",I1584)</f>
        <v>JUVENIL</v>
      </c>
      <c r="I1584" s="9" t="str">
        <f>IF(AND(Tabela1[[#This Row],[Data nascimento]]&gt;=$N$2,Tabela1[[#This Row],[Data nascimento]]&lt;=$M$2),"INICIADO",J1584)</f>
        <v>JUVENIL</v>
      </c>
      <c r="J1584" s="9" t="str">
        <f>IF(AND(Tabela1[[#This Row],[Data nascimento]]&gt;=$P$2,Tabela1[[#This Row],[Data nascimento]]&lt;=$O$2),"JUVENIL","JÚNIOR")</f>
        <v>JUVENIL</v>
      </c>
    </row>
    <row r="1585" spans="1:10" ht="15" x14ac:dyDescent="0.4">
      <c r="A1585" s="13" t="s">
        <v>4427</v>
      </c>
      <c r="B1585" s="2" t="s">
        <v>4428</v>
      </c>
      <c r="C1585" s="4" t="s">
        <v>8</v>
      </c>
      <c r="D1585" s="11">
        <v>40406</v>
      </c>
      <c r="E1585" s="7" t="s">
        <v>4429</v>
      </c>
      <c r="F1585" s="4" t="s">
        <v>4797</v>
      </c>
      <c r="G1585" s="12" t="str">
        <f>IF(AND(Tabela1[[#This Row],[Data nascimento]]&gt;=$J$2,Tabela1[[#This Row],[Data nascimento]]&lt;=$I$2),"INFANTIL A",H1585)</f>
        <v>JUVENIL</v>
      </c>
      <c r="H1585" s="3" t="str">
        <f>IF(AND(Tabela1[[#This Row],[Data nascimento]]&gt;=$L$2,Tabela1[[#This Row],[Data nascimento]]&lt;=$K$2),"INFANTIL B",I1585)</f>
        <v>JUVENIL</v>
      </c>
      <c r="I1585" s="9" t="str">
        <f>IF(AND(Tabela1[[#This Row],[Data nascimento]]&gt;=$N$2,Tabela1[[#This Row],[Data nascimento]]&lt;=$M$2),"INICIADO",J1585)</f>
        <v>JUVENIL</v>
      </c>
      <c r="J1585" s="9" t="str">
        <f>IF(AND(Tabela1[[#This Row],[Data nascimento]]&gt;=$P$2,Tabela1[[#This Row],[Data nascimento]]&lt;=$O$2),"JUVENIL","JÚNIOR")</f>
        <v>JUVENIL</v>
      </c>
    </row>
    <row r="1586" spans="1:10" ht="15" x14ac:dyDescent="0.4">
      <c r="A1586" s="13" t="s">
        <v>4580</v>
      </c>
      <c r="B1586" s="2" t="s">
        <v>4581</v>
      </c>
      <c r="C1586" s="4" t="s">
        <v>8</v>
      </c>
      <c r="D1586" s="11">
        <v>40543</v>
      </c>
      <c r="E1586" s="7" t="s">
        <v>4582</v>
      </c>
      <c r="F1586" s="4" t="s">
        <v>4797</v>
      </c>
      <c r="G1586" s="12" t="str">
        <f>IF(AND(Tabela1[[#This Row],[Data nascimento]]&gt;=$J$2,Tabela1[[#This Row],[Data nascimento]]&lt;=$I$2),"INFANTIL A",H1586)</f>
        <v>JUVENIL</v>
      </c>
      <c r="H1586" s="3" t="str">
        <f>IF(AND(Tabela1[[#This Row],[Data nascimento]]&gt;=$L$2,Tabela1[[#This Row],[Data nascimento]]&lt;=$K$2),"INFANTIL B",I1586)</f>
        <v>JUVENIL</v>
      </c>
      <c r="I1586" s="9" t="str">
        <f>IF(AND(Tabela1[[#This Row],[Data nascimento]]&gt;=$N$2,Tabela1[[#This Row],[Data nascimento]]&lt;=$M$2),"INICIADO",J1586)</f>
        <v>JUVENIL</v>
      </c>
      <c r="J1586" s="9" t="str">
        <f>IF(AND(Tabela1[[#This Row],[Data nascimento]]&gt;=$P$2,Tabela1[[#This Row],[Data nascimento]]&lt;=$O$2),"JUVENIL","JÚNIOR")</f>
        <v>JUVENIL</v>
      </c>
    </row>
    <row r="1587" spans="1:10" ht="15" x14ac:dyDescent="0.4">
      <c r="A1587" s="13" t="s">
        <v>4616</v>
      </c>
      <c r="B1587" s="2" t="s">
        <v>4617</v>
      </c>
      <c r="C1587" s="4" t="s">
        <v>8</v>
      </c>
      <c r="D1587" s="11">
        <v>40488</v>
      </c>
      <c r="E1587" s="7" t="s">
        <v>4618</v>
      </c>
      <c r="F1587" s="4" t="s">
        <v>4794</v>
      </c>
      <c r="G1587" s="12" t="str">
        <f>IF(AND(Tabela1[[#This Row],[Data nascimento]]&gt;=$J$2,Tabela1[[#This Row],[Data nascimento]]&lt;=$I$2),"INFANTIL A",H1587)</f>
        <v>JUVENIL</v>
      </c>
      <c r="H1587" s="3" t="str">
        <f>IF(AND(Tabela1[[#This Row],[Data nascimento]]&gt;=$L$2,Tabela1[[#This Row],[Data nascimento]]&lt;=$K$2),"INFANTIL B",I1587)</f>
        <v>JUVENIL</v>
      </c>
      <c r="I1587" s="9" t="str">
        <f>IF(AND(Tabela1[[#This Row],[Data nascimento]]&gt;=$N$2,Tabela1[[#This Row],[Data nascimento]]&lt;=$M$2),"INICIADO",J1587)</f>
        <v>JUVENIL</v>
      </c>
      <c r="J1587" s="9" t="str">
        <f>IF(AND(Tabela1[[#This Row],[Data nascimento]]&gt;=$P$2,Tabela1[[#This Row],[Data nascimento]]&lt;=$O$2),"JUVENIL","JÚNIOR")</f>
        <v>JUVENIL</v>
      </c>
    </row>
    <row r="1588" spans="1:10" ht="15" x14ac:dyDescent="0.4">
      <c r="A1588" s="13" t="s">
        <v>4619</v>
      </c>
      <c r="B1588" s="2" t="s">
        <v>4620</v>
      </c>
      <c r="C1588" s="4" t="s">
        <v>21</v>
      </c>
      <c r="D1588" s="11">
        <v>39412</v>
      </c>
      <c r="E1588" s="7" t="s">
        <v>4621</v>
      </c>
      <c r="F1588" s="4" t="s">
        <v>4793</v>
      </c>
      <c r="G1588" s="12" t="str">
        <f>IF(AND(Tabela1[[#This Row],[Data nascimento]]&gt;=$J$2,Tabela1[[#This Row],[Data nascimento]]&lt;=$I$2),"INFANTIL A",H1588)</f>
        <v>JÚNIOR</v>
      </c>
      <c r="H1588" s="3" t="str">
        <f>IF(AND(Tabela1[[#This Row],[Data nascimento]]&gt;=$L$2,Tabela1[[#This Row],[Data nascimento]]&lt;=$K$2),"INFANTIL B",I1588)</f>
        <v>JÚNIOR</v>
      </c>
      <c r="I1588" s="9" t="str">
        <f>IF(AND(Tabela1[[#This Row],[Data nascimento]]&gt;=$N$2,Tabela1[[#This Row],[Data nascimento]]&lt;=$M$2),"INICIADO",J1588)</f>
        <v>JÚNIOR</v>
      </c>
      <c r="J1588" s="9" t="str">
        <f>IF(AND(Tabela1[[#This Row],[Data nascimento]]&gt;=$P$2,Tabela1[[#This Row],[Data nascimento]]&lt;=$O$2),"JUVENIL","JÚNIOR")</f>
        <v>JÚNIOR</v>
      </c>
    </row>
    <row r="1589" spans="1:10" ht="15" x14ac:dyDescent="0.4">
      <c r="A1589" s="13" t="s">
        <v>4622</v>
      </c>
      <c r="B1589" s="2" t="s">
        <v>4623</v>
      </c>
      <c r="C1589" s="4" t="s">
        <v>8</v>
      </c>
      <c r="D1589" s="11">
        <v>40531</v>
      </c>
      <c r="E1589" s="7" t="s">
        <v>4624</v>
      </c>
      <c r="F1589" s="4" t="s">
        <v>4797</v>
      </c>
      <c r="G1589" s="12" t="str">
        <f>IF(AND(Tabela1[[#This Row],[Data nascimento]]&gt;=$J$2,Tabela1[[#This Row],[Data nascimento]]&lt;=$I$2),"INFANTIL A",H1589)</f>
        <v>JUVENIL</v>
      </c>
      <c r="H1589" s="3" t="str">
        <f>IF(AND(Tabela1[[#This Row],[Data nascimento]]&gt;=$L$2,Tabela1[[#This Row],[Data nascimento]]&lt;=$K$2),"INFANTIL B",I1589)</f>
        <v>JUVENIL</v>
      </c>
      <c r="I1589" s="9" t="str">
        <f>IF(AND(Tabela1[[#This Row],[Data nascimento]]&gt;=$N$2,Tabela1[[#This Row],[Data nascimento]]&lt;=$M$2),"INICIADO",J1589)</f>
        <v>JUVENIL</v>
      </c>
      <c r="J1589" s="9" t="str">
        <f>IF(AND(Tabela1[[#This Row],[Data nascimento]]&gt;=$P$2,Tabela1[[#This Row],[Data nascimento]]&lt;=$O$2),"JUVENIL","JÚNIOR")</f>
        <v>JUVENIL</v>
      </c>
    </row>
    <row r="1590" spans="1:10" ht="15" x14ac:dyDescent="0.4">
      <c r="A1590" s="13" t="s">
        <v>4685</v>
      </c>
      <c r="B1590" s="2" t="s">
        <v>4686</v>
      </c>
      <c r="C1590" s="4" t="s">
        <v>21</v>
      </c>
      <c r="D1590" s="11">
        <v>40547</v>
      </c>
      <c r="E1590" s="7" t="s">
        <v>4687</v>
      </c>
      <c r="F1590" s="4" t="s">
        <v>4797</v>
      </c>
      <c r="G1590" s="12" t="str">
        <f>IF(AND(Tabela1[[#This Row],[Data nascimento]]&gt;=$J$2,Tabela1[[#This Row],[Data nascimento]]&lt;=$I$2),"INFANTIL A",H1590)</f>
        <v>INICIADO</v>
      </c>
      <c r="H1590" s="3" t="str">
        <f>IF(AND(Tabela1[[#This Row],[Data nascimento]]&gt;=$L$2,Tabela1[[#This Row],[Data nascimento]]&lt;=$K$2),"INFANTIL B",I1590)</f>
        <v>INICIADO</v>
      </c>
      <c r="I1590" s="9" t="str">
        <f>IF(AND(Tabela1[[#This Row],[Data nascimento]]&gt;=$N$2,Tabela1[[#This Row],[Data nascimento]]&lt;=$M$2),"INICIADO",J1590)</f>
        <v>INICIADO</v>
      </c>
      <c r="J1590" s="9" t="str">
        <f>IF(AND(Tabela1[[#This Row],[Data nascimento]]&gt;=$P$2,Tabela1[[#This Row],[Data nascimento]]&lt;=$O$2),"JUVENIL","JÚNIOR")</f>
        <v>JÚNIOR</v>
      </c>
    </row>
    <row r="1591" spans="1:10" ht="15" x14ac:dyDescent="0.4">
      <c r="A1591" s="13" t="s">
        <v>4694</v>
      </c>
      <c r="B1591" s="2" t="s">
        <v>4695</v>
      </c>
      <c r="C1591" s="4" t="s">
        <v>21</v>
      </c>
      <c r="D1591" s="11">
        <v>40269</v>
      </c>
      <c r="E1591" s="7" t="s">
        <v>4696</v>
      </c>
      <c r="F1591" s="4" t="s">
        <v>4797</v>
      </c>
      <c r="G1591" s="12" t="str">
        <f>IF(AND(Tabela1[[#This Row],[Data nascimento]]&gt;=$J$2,Tabela1[[#This Row],[Data nascimento]]&lt;=$I$2),"INFANTIL A",H1591)</f>
        <v>JUVENIL</v>
      </c>
      <c r="H1591" s="3" t="str">
        <f>IF(AND(Tabela1[[#This Row],[Data nascimento]]&gt;=$L$2,Tabela1[[#This Row],[Data nascimento]]&lt;=$K$2),"INFANTIL B",I1591)</f>
        <v>JUVENIL</v>
      </c>
      <c r="I1591" s="9" t="str">
        <f>IF(AND(Tabela1[[#This Row],[Data nascimento]]&gt;=$N$2,Tabela1[[#This Row],[Data nascimento]]&lt;=$M$2),"INICIADO",J1591)</f>
        <v>JUVENIL</v>
      </c>
      <c r="J1591" s="9" t="str">
        <f>IF(AND(Tabela1[[#This Row],[Data nascimento]]&gt;=$P$2,Tabela1[[#This Row],[Data nascimento]]&lt;=$O$2),"JUVENIL","JÚNIOR")</f>
        <v>JUVENIL</v>
      </c>
    </row>
  </sheetData>
  <phoneticPr fontId="3" type="noConversion"/>
  <conditionalFormatting sqref="C1:C1048576">
    <cfRule type="cellIs" dxfId="2" priority="1" operator="equal">
      <formula>"F"</formula>
    </cfRule>
    <cfRule type="cellIs" dxfId="1" priority="2" operator="equal">
      <formula>"m"</formula>
    </cfRule>
  </conditionalFormatting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Shet1</vt:lpstr>
    </vt:vector>
  </TitlesOfParts>
  <Company>Inovar-Mais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Inovar-Mais</dc:subject>
  <dc:creator>Utilizador</dc:creator>
  <cp:lastModifiedBy>Rui Silva</cp:lastModifiedBy>
  <dcterms:created xsi:type="dcterms:W3CDTF">2025-10-20T14:34:11Z</dcterms:created>
  <dcterms:modified xsi:type="dcterms:W3CDTF">2025-11-15T00:11:01Z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